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22582\Downloads\"/>
    </mc:Choice>
  </mc:AlternateContent>
  <xr:revisionPtr revIDLastSave="0" documentId="13_ncr:1_{A85F7C6B-60DB-4300-9C65-33F21740CA0A}" xr6:coauthVersionLast="46" xr6:coauthVersionMax="46" xr10:uidLastSave="{00000000-0000-0000-0000-000000000000}"/>
  <bookViews>
    <workbookView xWindow="-120" yWindow="-120" windowWidth="20730" windowHeight="11160" tabRatio="925" xr2:uid="{00000000-000D-0000-FFFF-FFFF00000000}"/>
  </bookViews>
  <sheets>
    <sheet name="Capa" sheetId="10" r:id="rId1"/>
    <sheet name="Email_Regional_Tabela" sheetId="4" r:id="rId2"/>
    <sheet name="TD ATACADO" sheetId="5" state="hidden" r:id="rId3"/>
    <sheet name="ListaEnvio" sheetId="9" r:id="rId4"/>
    <sheet name="BASE_MES_ATUAL" sheetId="7" r:id="rId5"/>
    <sheet name="BASE_MES_ANTERIOR" sheetId="12" r:id="rId6"/>
    <sheet name="EVOLUÇÃO REGIONAL" sheetId="11" r:id="rId7"/>
  </sheets>
  <functionGroups builtInGroupCount="19"/>
  <definedNames>
    <definedName name="_xlnm._FilterDatabase" localSheetId="5" hidden="1">BASE_MES_ANTERIOR!$A$1:$M$1142</definedName>
    <definedName name="_xlnm._FilterDatabase" localSheetId="4" hidden="1">BASE_MES_ATUAL!$A$1:$N$1143</definedName>
    <definedName name="_xlnm._FilterDatabase" localSheetId="1" hidden="1">Email_Regional_Tabela!$B$13:$F$13</definedName>
    <definedName name="_xlnm._FilterDatabase" localSheetId="6" hidden="1">'EVOLUÇÃO REGIONAL'!$W$4:$X$14</definedName>
    <definedName name="_xlnm._FilterDatabase" localSheetId="2" hidden="1">'TD ATACADO'!$A$3:$E$9</definedName>
  </definedNames>
  <calcPr calcId="191029"/>
  <pivotCaches>
    <pivotCache cacheId="29" r:id="rId8"/>
    <pivotCache cacheId="30" r:id="rId9"/>
    <pivotCache cacheId="36" r:id="rId10"/>
    <pivotCache cacheId="39" r:id="rId11"/>
    <pivotCache cacheId="4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9" l="1"/>
  <c r="E5" i="9"/>
  <c r="E6" i="9"/>
  <c r="E7" i="9"/>
  <c r="E8" i="9"/>
  <c r="E9" i="9"/>
  <c r="E10" i="9"/>
  <c r="E11" i="9"/>
  <c r="E12" i="9"/>
  <c r="E13" i="9"/>
  <c r="E3" i="9"/>
  <c r="B12" i="9"/>
  <c r="B13" i="9"/>
  <c r="T7" i="11" l="1"/>
  <c r="T10" i="11"/>
  <c r="T6" i="11"/>
  <c r="U5" i="11"/>
  <c r="T5" i="11"/>
  <c r="U15" i="11"/>
  <c r="T15" i="11"/>
  <c r="U14" i="11"/>
  <c r="T14" i="11"/>
  <c r="U13" i="11"/>
  <c r="T13" i="11"/>
  <c r="U12" i="11"/>
  <c r="T12" i="11"/>
  <c r="U11" i="11"/>
  <c r="T11" i="11"/>
  <c r="U10" i="11"/>
  <c r="U9" i="11"/>
  <c r="T9" i="11"/>
  <c r="U8" i="11"/>
  <c r="T8" i="11"/>
  <c r="U7" i="11"/>
  <c r="U6" i="11"/>
  <c r="T16" i="11"/>
  <c r="U16" i="11"/>
  <c r="C11" i="4" l="1"/>
  <c r="B4" i="9" l="1"/>
  <c r="B5" i="9"/>
  <c r="B6" i="9"/>
  <c r="B7" i="9"/>
  <c r="B8" i="9"/>
  <c r="B9" i="9"/>
  <c r="B10" i="9"/>
  <c r="B11" i="9"/>
  <c r="B3" i="9"/>
</calcChain>
</file>

<file path=xl/sharedStrings.xml><?xml version="1.0" encoding="utf-8"?>
<sst xmlns="http://schemas.openxmlformats.org/spreadsheetml/2006/main" count="20777" uniqueCount="1759">
  <si>
    <t>MAT RM</t>
  </si>
  <si>
    <t>COLABORADOR</t>
  </si>
  <si>
    <t>DIRETORIA</t>
  </si>
  <si>
    <t>REGIONAL</t>
  </si>
  <si>
    <t>AREA</t>
  </si>
  <si>
    <t>GESTOR</t>
  </si>
  <si>
    <t>TIPO DE SALDO</t>
  </si>
  <si>
    <t>NEGATIVO</t>
  </si>
  <si>
    <t>POSITIVO</t>
  </si>
  <si>
    <t>CARGO</t>
  </si>
  <si>
    <t>ÁREA</t>
  </si>
  <si>
    <t>NEGATIVO I</t>
  </si>
  <si>
    <t>POSITIVO I</t>
  </si>
  <si>
    <t>RSSAO</t>
  </si>
  <si>
    <t>RSGSP</t>
  </si>
  <si>
    <t>RSSUL</t>
  </si>
  <si>
    <t>RSCOE</t>
  </si>
  <si>
    <t>RSRIO</t>
  </si>
  <si>
    <t>RSNOR</t>
  </si>
  <si>
    <t>RSNDE</t>
  </si>
  <si>
    <t>RSSPI</t>
  </si>
  <si>
    <t>RSCEN</t>
  </si>
  <si>
    <t>AUX. MOVIMENTACAO DE FROTA</t>
  </si>
  <si>
    <t>LJSPA</t>
  </si>
  <si>
    <t>EXECUTIVO DE VENDAS I</t>
  </si>
  <si>
    <t>LJASO</t>
  </si>
  <si>
    <t>LJGRJ</t>
  </si>
  <si>
    <t>LJASI</t>
  </si>
  <si>
    <t>RSCDN</t>
  </si>
  <si>
    <t>LJAND</t>
  </si>
  <si>
    <t>Total Geral</t>
  </si>
  <si>
    <t>REGIONAL2</t>
  </si>
  <si>
    <t>ZERAR EV</t>
  </si>
  <si>
    <t>Regional</t>
  </si>
  <si>
    <t>SALDO</t>
  </si>
  <si>
    <t>Assunto:</t>
  </si>
  <si>
    <t>Olá!</t>
  </si>
  <si>
    <t>Assunto</t>
  </si>
  <si>
    <t>Para</t>
  </si>
  <si>
    <t>Com Cópia</t>
  </si>
  <si>
    <t>Segue acompanhamento semanal do banco de horas da sua regional.</t>
  </si>
  <si>
    <t>Obs: As tratativas devem ser realizadas semanalmente até Sexta-Feira.</t>
  </si>
  <si>
    <t>Local do Anexo</t>
  </si>
  <si>
    <t>BANCO DE HORAS_REGIONAL</t>
  </si>
  <si>
    <t>Comparativo</t>
  </si>
  <si>
    <t>+</t>
  </si>
  <si>
    <t>-</t>
  </si>
  <si>
    <t>Rótulos de Linha</t>
  </si>
  <si>
    <t>Contagem de COLABORADOR</t>
  </si>
  <si>
    <t>.</t>
  </si>
  <si>
    <t>RSNDL</t>
  </si>
  <si>
    <t>RSSSE</t>
  </si>
  <si>
    <t>26.10.2020</t>
  </si>
  <si>
    <t>03.11.2020</t>
  </si>
  <si>
    <t>Grupo de Risco</t>
  </si>
  <si>
    <t>People1</t>
  </si>
  <si>
    <t>People2</t>
  </si>
  <si>
    <t>People3</t>
  </si>
  <si>
    <t>People4</t>
  </si>
  <si>
    <t>People5</t>
  </si>
  <si>
    <t>People6</t>
  </si>
  <si>
    <t>People7</t>
  </si>
  <si>
    <t>People8</t>
  </si>
  <si>
    <t>People9</t>
  </si>
  <si>
    <t>People10</t>
  </si>
  <si>
    <t>People11</t>
  </si>
  <si>
    <t>People12</t>
  </si>
  <si>
    <t>People13</t>
  </si>
  <si>
    <t>People14</t>
  </si>
  <si>
    <t>People15</t>
  </si>
  <si>
    <t>People16</t>
  </si>
  <si>
    <t>People17</t>
  </si>
  <si>
    <t>People18</t>
  </si>
  <si>
    <t>People19</t>
  </si>
  <si>
    <t>People20</t>
  </si>
  <si>
    <t>People21</t>
  </si>
  <si>
    <t>People22</t>
  </si>
  <si>
    <t>People23</t>
  </si>
  <si>
    <t>People24</t>
  </si>
  <si>
    <t>People25</t>
  </si>
  <si>
    <t>People26</t>
  </si>
  <si>
    <t>People27</t>
  </si>
  <si>
    <t>People28</t>
  </si>
  <si>
    <t>People29</t>
  </si>
  <si>
    <t>People30</t>
  </si>
  <si>
    <t>People31</t>
  </si>
  <si>
    <t>People32</t>
  </si>
  <si>
    <t>People33</t>
  </si>
  <si>
    <t>People34</t>
  </si>
  <si>
    <t>People35</t>
  </si>
  <si>
    <t>People36</t>
  </si>
  <si>
    <t>People37</t>
  </si>
  <si>
    <t>People38</t>
  </si>
  <si>
    <t>People39</t>
  </si>
  <si>
    <t>People40</t>
  </si>
  <si>
    <t>People41</t>
  </si>
  <si>
    <t>People42</t>
  </si>
  <si>
    <t>People43</t>
  </si>
  <si>
    <t>People44</t>
  </si>
  <si>
    <t>People45</t>
  </si>
  <si>
    <t>People46</t>
  </si>
  <si>
    <t>People47</t>
  </si>
  <si>
    <t>People48</t>
  </si>
  <si>
    <t>People49</t>
  </si>
  <si>
    <t>People50</t>
  </si>
  <si>
    <t>People51</t>
  </si>
  <si>
    <t>People52</t>
  </si>
  <si>
    <t>People53</t>
  </si>
  <si>
    <t>People54</t>
  </si>
  <si>
    <t>People55</t>
  </si>
  <si>
    <t>People56</t>
  </si>
  <si>
    <t>People57</t>
  </si>
  <si>
    <t>People58</t>
  </si>
  <si>
    <t>People59</t>
  </si>
  <si>
    <t>People60</t>
  </si>
  <si>
    <t>People61</t>
  </si>
  <si>
    <t>People62</t>
  </si>
  <si>
    <t>People63</t>
  </si>
  <si>
    <t>People64</t>
  </si>
  <si>
    <t>People65</t>
  </si>
  <si>
    <t>People66</t>
  </si>
  <si>
    <t>People67</t>
  </si>
  <si>
    <t>People68</t>
  </si>
  <si>
    <t>People69</t>
  </si>
  <si>
    <t>People70</t>
  </si>
  <si>
    <t>People71</t>
  </si>
  <si>
    <t>People72</t>
  </si>
  <si>
    <t>People73</t>
  </si>
  <si>
    <t>People74</t>
  </si>
  <si>
    <t>People75</t>
  </si>
  <si>
    <t>People76</t>
  </si>
  <si>
    <t>People77</t>
  </si>
  <si>
    <t>People78</t>
  </si>
  <si>
    <t>People79</t>
  </si>
  <si>
    <t>People80</t>
  </si>
  <si>
    <t>People81</t>
  </si>
  <si>
    <t>People82</t>
  </si>
  <si>
    <t>People83</t>
  </si>
  <si>
    <t>People84</t>
  </si>
  <si>
    <t>People85</t>
  </si>
  <si>
    <t>People86</t>
  </si>
  <si>
    <t>People87</t>
  </si>
  <si>
    <t>People88</t>
  </si>
  <si>
    <t>People89</t>
  </si>
  <si>
    <t>People90</t>
  </si>
  <si>
    <t>People91</t>
  </si>
  <si>
    <t>People92</t>
  </si>
  <si>
    <t>People93</t>
  </si>
  <si>
    <t>People94</t>
  </si>
  <si>
    <t>People95</t>
  </si>
  <si>
    <t>People96</t>
  </si>
  <si>
    <t>People97</t>
  </si>
  <si>
    <t>People98</t>
  </si>
  <si>
    <t>People99</t>
  </si>
  <si>
    <t>People100</t>
  </si>
  <si>
    <t>People101</t>
  </si>
  <si>
    <t>People102</t>
  </si>
  <si>
    <t>People103</t>
  </si>
  <si>
    <t>People104</t>
  </si>
  <si>
    <t>People105</t>
  </si>
  <si>
    <t>People106</t>
  </si>
  <si>
    <t>People107</t>
  </si>
  <si>
    <t>People108</t>
  </si>
  <si>
    <t>People109</t>
  </si>
  <si>
    <t>People110</t>
  </si>
  <si>
    <t>People111</t>
  </si>
  <si>
    <t>People112</t>
  </si>
  <si>
    <t>People113</t>
  </si>
  <si>
    <t>People114</t>
  </si>
  <si>
    <t>People115</t>
  </si>
  <si>
    <t>People116</t>
  </si>
  <si>
    <t>People117</t>
  </si>
  <si>
    <t>People118</t>
  </si>
  <si>
    <t>People119</t>
  </si>
  <si>
    <t>People120</t>
  </si>
  <si>
    <t>People121</t>
  </si>
  <si>
    <t>People122</t>
  </si>
  <si>
    <t>People123</t>
  </si>
  <si>
    <t>People124</t>
  </si>
  <si>
    <t>People125</t>
  </si>
  <si>
    <t>People126</t>
  </si>
  <si>
    <t>People127</t>
  </si>
  <si>
    <t>People128</t>
  </si>
  <si>
    <t>People129</t>
  </si>
  <si>
    <t>People130</t>
  </si>
  <si>
    <t>People131</t>
  </si>
  <si>
    <t>People132</t>
  </si>
  <si>
    <t>People133</t>
  </si>
  <si>
    <t>People134</t>
  </si>
  <si>
    <t>People135</t>
  </si>
  <si>
    <t>People136</t>
  </si>
  <si>
    <t>People137</t>
  </si>
  <si>
    <t>People138</t>
  </si>
  <si>
    <t>People139</t>
  </si>
  <si>
    <t>People140</t>
  </si>
  <si>
    <t>People141</t>
  </si>
  <si>
    <t>People142</t>
  </si>
  <si>
    <t>People143</t>
  </si>
  <si>
    <t>People144</t>
  </si>
  <si>
    <t>People145</t>
  </si>
  <si>
    <t>People146</t>
  </si>
  <si>
    <t>People147</t>
  </si>
  <si>
    <t>People148</t>
  </si>
  <si>
    <t>People149</t>
  </si>
  <si>
    <t>People150</t>
  </si>
  <si>
    <t>People151</t>
  </si>
  <si>
    <t>People152</t>
  </si>
  <si>
    <t>People153</t>
  </si>
  <si>
    <t>People154</t>
  </si>
  <si>
    <t>People155</t>
  </si>
  <si>
    <t>People156</t>
  </si>
  <si>
    <t>People157</t>
  </si>
  <si>
    <t>People158</t>
  </si>
  <si>
    <t>People159</t>
  </si>
  <si>
    <t>People160</t>
  </si>
  <si>
    <t>People161</t>
  </si>
  <si>
    <t>People162</t>
  </si>
  <si>
    <t>People163</t>
  </si>
  <si>
    <t>People164</t>
  </si>
  <si>
    <t>People165</t>
  </si>
  <si>
    <t>People166</t>
  </si>
  <si>
    <t>People167</t>
  </si>
  <si>
    <t>People168</t>
  </si>
  <si>
    <t>People169</t>
  </si>
  <si>
    <t>People170</t>
  </si>
  <si>
    <t>People171</t>
  </si>
  <si>
    <t>People172</t>
  </si>
  <si>
    <t>People173</t>
  </si>
  <si>
    <t>People174</t>
  </si>
  <si>
    <t>People175</t>
  </si>
  <si>
    <t>People176</t>
  </si>
  <si>
    <t>People177</t>
  </si>
  <si>
    <t>People178</t>
  </si>
  <si>
    <t>People179</t>
  </si>
  <si>
    <t>People180</t>
  </si>
  <si>
    <t>People181</t>
  </si>
  <si>
    <t>People182</t>
  </si>
  <si>
    <t>People183</t>
  </si>
  <si>
    <t>People184</t>
  </si>
  <si>
    <t>People185</t>
  </si>
  <si>
    <t>People186</t>
  </si>
  <si>
    <t>People187</t>
  </si>
  <si>
    <t>People188</t>
  </si>
  <si>
    <t>People189</t>
  </si>
  <si>
    <t>People190</t>
  </si>
  <si>
    <t>People191</t>
  </si>
  <si>
    <t>People192</t>
  </si>
  <si>
    <t>People193</t>
  </si>
  <si>
    <t>People194</t>
  </si>
  <si>
    <t>People195</t>
  </si>
  <si>
    <t>People196</t>
  </si>
  <si>
    <t>People197</t>
  </si>
  <si>
    <t>People198</t>
  </si>
  <si>
    <t>People199</t>
  </si>
  <si>
    <t>People200</t>
  </si>
  <si>
    <t>People201</t>
  </si>
  <si>
    <t>People202</t>
  </si>
  <si>
    <t>People203</t>
  </si>
  <si>
    <t>People204</t>
  </si>
  <si>
    <t>People205</t>
  </si>
  <si>
    <t>People206</t>
  </si>
  <si>
    <t>People207</t>
  </si>
  <si>
    <t>People208</t>
  </si>
  <si>
    <t>People209</t>
  </si>
  <si>
    <t>People210</t>
  </si>
  <si>
    <t>People211</t>
  </si>
  <si>
    <t>People212</t>
  </si>
  <si>
    <t>People213</t>
  </si>
  <si>
    <t>People214</t>
  </si>
  <si>
    <t>People215</t>
  </si>
  <si>
    <t>People216</t>
  </si>
  <si>
    <t>People217</t>
  </si>
  <si>
    <t>People218</t>
  </si>
  <si>
    <t>People219</t>
  </si>
  <si>
    <t>People220</t>
  </si>
  <si>
    <t>People221</t>
  </si>
  <si>
    <t>People222</t>
  </si>
  <si>
    <t>People223</t>
  </si>
  <si>
    <t>People224</t>
  </si>
  <si>
    <t>People225</t>
  </si>
  <si>
    <t>People226</t>
  </si>
  <si>
    <t>People227</t>
  </si>
  <si>
    <t>People228</t>
  </si>
  <si>
    <t>People229</t>
  </si>
  <si>
    <t>People230</t>
  </si>
  <si>
    <t>People231</t>
  </si>
  <si>
    <t>People232</t>
  </si>
  <si>
    <t>People233</t>
  </si>
  <si>
    <t>People234</t>
  </si>
  <si>
    <t>People235</t>
  </si>
  <si>
    <t>People236</t>
  </si>
  <si>
    <t>People237</t>
  </si>
  <si>
    <t>People238</t>
  </si>
  <si>
    <t>People239</t>
  </si>
  <si>
    <t>People240</t>
  </si>
  <si>
    <t>People241</t>
  </si>
  <si>
    <t>People242</t>
  </si>
  <si>
    <t>People243</t>
  </si>
  <si>
    <t>People244</t>
  </si>
  <si>
    <t>People245</t>
  </si>
  <si>
    <t>People246</t>
  </si>
  <si>
    <t>People247</t>
  </si>
  <si>
    <t>People248</t>
  </si>
  <si>
    <t>People249</t>
  </si>
  <si>
    <t>People250</t>
  </si>
  <si>
    <t>People251</t>
  </si>
  <si>
    <t>People252</t>
  </si>
  <si>
    <t>People253</t>
  </si>
  <si>
    <t>People254</t>
  </si>
  <si>
    <t>People255</t>
  </si>
  <si>
    <t>People256</t>
  </si>
  <si>
    <t>People257</t>
  </si>
  <si>
    <t>People258</t>
  </si>
  <si>
    <t>People259</t>
  </si>
  <si>
    <t>People260</t>
  </si>
  <si>
    <t>People261</t>
  </si>
  <si>
    <t>People262</t>
  </si>
  <si>
    <t>People263</t>
  </si>
  <si>
    <t>People264</t>
  </si>
  <si>
    <t>People265</t>
  </si>
  <si>
    <t>People266</t>
  </si>
  <si>
    <t>People267</t>
  </si>
  <si>
    <t>People268</t>
  </si>
  <si>
    <t>People269</t>
  </si>
  <si>
    <t>People270</t>
  </si>
  <si>
    <t>People271</t>
  </si>
  <si>
    <t>People272</t>
  </si>
  <si>
    <t>People273</t>
  </si>
  <si>
    <t>People274</t>
  </si>
  <si>
    <t>People275</t>
  </si>
  <si>
    <t>People276</t>
  </si>
  <si>
    <t>People277</t>
  </si>
  <si>
    <t>People278</t>
  </si>
  <si>
    <t>People279</t>
  </si>
  <si>
    <t>People280</t>
  </si>
  <si>
    <t>People281</t>
  </si>
  <si>
    <t>People282</t>
  </si>
  <si>
    <t>People283</t>
  </si>
  <si>
    <t>People284</t>
  </si>
  <si>
    <t>People285</t>
  </si>
  <si>
    <t>People286</t>
  </si>
  <si>
    <t>People287</t>
  </si>
  <si>
    <t>People288</t>
  </si>
  <si>
    <t>People289</t>
  </si>
  <si>
    <t>People290</t>
  </si>
  <si>
    <t>People291</t>
  </si>
  <si>
    <t>People292</t>
  </si>
  <si>
    <t>People293</t>
  </si>
  <si>
    <t>People294</t>
  </si>
  <si>
    <t>People295</t>
  </si>
  <si>
    <t>People296</t>
  </si>
  <si>
    <t>People297</t>
  </si>
  <si>
    <t>People298</t>
  </si>
  <si>
    <t>People299</t>
  </si>
  <si>
    <t>People300</t>
  </si>
  <si>
    <t>People301</t>
  </si>
  <si>
    <t>People302</t>
  </si>
  <si>
    <t>People303</t>
  </si>
  <si>
    <t>People304</t>
  </si>
  <si>
    <t>People305</t>
  </si>
  <si>
    <t>People306</t>
  </si>
  <si>
    <t>People307</t>
  </si>
  <si>
    <t>People308</t>
  </si>
  <si>
    <t>People309</t>
  </si>
  <si>
    <t>People310</t>
  </si>
  <si>
    <t>People311</t>
  </si>
  <si>
    <t>People312</t>
  </si>
  <si>
    <t>People313</t>
  </si>
  <si>
    <t>People314</t>
  </si>
  <si>
    <t>People315</t>
  </si>
  <si>
    <t>People316</t>
  </si>
  <si>
    <t>People317</t>
  </si>
  <si>
    <t>People318</t>
  </si>
  <si>
    <t>People319</t>
  </si>
  <si>
    <t>People320</t>
  </si>
  <si>
    <t>People321</t>
  </si>
  <si>
    <t>People322</t>
  </si>
  <si>
    <t>People323</t>
  </si>
  <si>
    <t>People324</t>
  </si>
  <si>
    <t>People325</t>
  </si>
  <si>
    <t>People326</t>
  </si>
  <si>
    <t>People327</t>
  </si>
  <si>
    <t>People328</t>
  </si>
  <si>
    <t>People329</t>
  </si>
  <si>
    <t>People330</t>
  </si>
  <si>
    <t>People331</t>
  </si>
  <si>
    <t>People332</t>
  </si>
  <si>
    <t>People333</t>
  </si>
  <si>
    <t>People334</t>
  </si>
  <si>
    <t>People335</t>
  </si>
  <si>
    <t>People336</t>
  </si>
  <si>
    <t>People337</t>
  </si>
  <si>
    <t>People338</t>
  </si>
  <si>
    <t>People339</t>
  </si>
  <si>
    <t>People340</t>
  </si>
  <si>
    <t>People341</t>
  </si>
  <si>
    <t>People342</t>
  </si>
  <si>
    <t>People343</t>
  </si>
  <si>
    <t>People344</t>
  </si>
  <si>
    <t>People345</t>
  </si>
  <si>
    <t>People346</t>
  </si>
  <si>
    <t>People347</t>
  </si>
  <si>
    <t>People348</t>
  </si>
  <si>
    <t>People349</t>
  </si>
  <si>
    <t>People350</t>
  </si>
  <si>
    <t>People351</t>
  </si>
  <si>
    <t>People352</t>
  </si>
  <si>
    <t>People353</t>
  </si>
  <si>
    <t>People354</t>
  </si>
  <si>
    <t>People355</t>
  </si>
  <si>
    <t>People356</t>
  </si>
  <si>
    <t>People357</t>
  </si>
  <si>
    <t>People358</t>
  </si>
  <si>
    <t>People359</t>
  </si>
  <si>
    <t>People360</t>
  </si>
  <si>
    <t>People361</t>
  </si>
  <si>
    <t>People362</t>
  </si>
  <si>
    <t>People363</t>
  </si>
  <si>
    <t>People364</t>
  </si>
  <si>
    <t>People365</t>
  </si>
  <si>
    <t>People366</t>
  </si>
  <si>
    <t>People367</t>
  </si>
  <si>
    <t>People368</t>
  </si>
  <si>
    <t>People369</t>
  </si>
  <si>
    <t>People370</t>
  </si>
  <si>
    <t>People371</t>
  </si>
  <si>
    <t>People372</t>
  </si>
  <si>
    <t>People373</t>
  </si>
  <si>
    <t>People374</t>
  </si>
  <si>
    <t>People375</t>
  </si>
  <si>
    <t>People376</t>
  </si>
  <si>
    <t>People377</t>
  </si>
  <si>
    <t>People378</t>
  </si>
  <si>
    <t>People379</t>
  </si>
  <si>
    <t>People380</t>
  </si>
  <si>
    <t>People381</t>
  </si>
  <si>
    <t>People382</t>
  </si>
  <si>
    <t>People383</t>
  </si>
  <si>
    <t>People384</t>
  </si>
  <si>
    <t>People385</t>
  </si>
  <si>
    <t>People386</t>
  </si>
  <si>
    <t>People387</t>
  </si>
  <si>
    <t>People388</t>
  </si>
  <si>
    <t>People389</t>
  </si>
  <si>
    <t>People390</t>
  </si>
  <si>
    <t>People391</t>
  </si>
  <si>
    <t>People392</t>
  </si>
  <si>
    <t>People393</t>
  </si>
  <si>
    <t>People394</t>
  </si>
  <si>
    <t>People395</t>
  </si>
  <si>
    <t>People396</t>
  </si>
  <si>
    <t>People397</t>
  </si>
  <si>
    <t>People398</t>
  </si>
  <si>
    <t>People399</t>
  </si>
  <si>
    <t>People400</t>
  </si>
  <si>
    <t>People401</t>
  </si>
  <si>
    <t>People402</t>
  </si>
  <si>
    <t>People403</t>
  </si>
  <si>
    <t>People404</t>
  </si>
  <si>
    <t>People405</t>
  </si>
  <si>
    <t>People406</t>
  </si>
  <si>
    <t>People407</t>
  </si>
  <si>
    <t>People408</t>
  </si>
  <si>
    <t>People409</t>
  </si>
  <si>
    <t>People410</t>
  </si>
  <si>
    <t>People411</t>
  </si>
  <si>
    <t>People412</t>
  </si>
  <si>
    <t>People413</t>
  </si>
  <si>
    <t>People414</t>
  </si>
  <si>
    <t>People415</t>
  </si>
  <si>
    <t>People416</t>
  </si>
  <si>
    <t>People417</t>
  </si>
  <si>
    <t>People418</t>
  </si>
  <si>
    <t>People419</t>
  </si>
  <si>
    <t>People420</t>
  </si>
  <si>
    <t>People421</t>
  </si>
  <si>
    <t>People422</t>
  </si>
  <si>
    <t>People423</t>
  </si>
  <si>
    <t>People424</t>
  </si>
  <si>
    <t>People425</t>
  </si>
  <si>
    <t>People426</t>
  </si>
  <si>
    <t>People427</t>
  </si>
  <si>
    <t>People428</t>
  </si>
  <si>
    <t>People429</t>
  </si>
  <si>
    <t>People430</t>
  </si>
  <si>
    <t>People431</t>
  </si>
  <si>
    <t>People432</t>
  </si>
  <si>
    <t>People433</t>
  </si>
  <si>
    <t>People434</t>
  </si>
  <si>
    <t>People435</t>
  </si>
  <si>
    <t>People436</t>
  </si>
  <si>
    <t>People437</t>
  </si>
  <si>
    <t>People438</t>
  </si>
  <si>
    <t>People439</t>
  </si>
  <si>
    <t>People440</t>
  </si>
  <si>
    <t>People441</t>
  </si>
  <si>
    <t>People442</t>
  </si>
  <si>
    <t>People443</t>
  </si>
  <si>
    <t>People444</t>
  </si>
  <si>
    <t>People445</t>
  </si>
  <si>
    <t>People446</t>
  </si>
  <si>
    <t>People447</t>
  </si>
  <si>
    <t>People448</t>
  </si>
  <si>
    <t>People449</t>
  </si>
  <si>
    <t>People450</t>
  </si>
  <si>
    <t>People451</t>
  </si>
  <si>
    <t>People452</t>
  </si>
  <si>
    <t>People453</t>
  </si>
  <si>
    <t>People454</t>
  </si>
  <si>
    <t>People455</t>
  </si>
  <si>
    <t>People456</t>
  </si>
  <si>
    <t>People457</t>
  </si>
  <si>
    <t>People458</t>
  </si>
  <si>
    <t>People459</t>
  </si>
  <si>
    <t>People460</t>
  </si>
  <si>
    <t>People461</t>
  </si>
  <si>
    <t>People462</t>
  </si>
  <si>
    <t>People463</t>
  </si>
  <si>
    <t>People464</t>
  </si>
  <si>
    <t>People465</t>
  </si>
  <si>
    <t>People466</t>
  </si>
  <si>
    <t>People467</t>
  </si>
  <si>
    <t>People468</t>
  </si>
  <si>
    <t>People469</t>
  </si>
  <si>
    <t>People470</t>
  </si>
  <si>
    <t>People471</t>
  </si>
  <si>
    <t>People472</t>
  </si>
  <si>
    <t>People473</t>
  </si>
  <si>
    <t>People474</t>
  </si>
  <si>
    <t>People475</t>
  </si>
  <si>
    <t>People476</t>
  </si>
  <si>
    <t>People477</t>
  </si>
  <si>
    <t>People478</t>
  </si>
  <si>
    <t>People479</t>
  </si>
  <si>
    <t>People480</t>
  </si>
  <si>
    <t>People481</t>
  </si>
  <si>
    <t>People482</t>
  </si>
  <si>
    <t>People483</t>
  </si>
  <si>
    <t>People484</t>
  </si>
  <si>
    <t>People485</t>
  </si>
  <si>
    <t>People486</t>
  </si>
  <si>
    <t>People487</t>
  </si>
  <si>
    <t>People488</t>
  </si>
  <si>
    <t>People489</t>
  </si>
  <si>
    <t>People490</t>
  </si>
  <si>
    <t>People491</t>
  </si>
  <si>
    <t>People492</t>
  </si>
  <si>
    <t>People493</t>
  </si>
  <si>
    <t>People494</t>
  </si>
  <si>
    <t>People495</t>
  </si>
  <si>
    <t>People496</t>
  </si>
  <si>
    <t>People497</t>
  </si>
  <si>
    <t>People498</t>
  </si>
  <si>
    <t>People499</t>
  </si>
  <si>
    <t>People500</t>
  </si>
  <si>
    <t>People501</t>
  </si>
  <si>
    <t>People502</t>
  </si>
  <si>
    <t>People503</t>
  </si>
  <si>
    <t>People504</t>
  </si>
  <si>
    <t>People505</t>
  </si>
  <si>
    <t>People506</t>
  </si>
  <si>
    <t>People507</t>
  </si>
  <si>
    <t>People508</t>
  </si>
  <si>
    <t>People509</t>
  </si>
  <si>
    <t>People510</t>
  </si>
  <si>
    <t>People511</t>
  </si>
  <si>
    <t>People512</t>
  </si>
  <si>
    <t>People513</t>
  </si>
  <si>
    <t>People514</t>
  </si>
  <si>
    <t>People515</t>
  </si>
  <si>
    <t>People516</t>
  </si>
  <si>
    <t>People517</t>
  </si>
  <si>
    <t>People518</t>
  </si>
  <si>
    <t>People519</t>
  </si>
  <si>
    <t>People520</t>
  </si>
  <si>
    <t>People521</t>
  </si>
  <si>
    <t>People522</t>
  </si>
  <si>
    <t>People523</t>
  </si>
  <si>
    <t>People524</t>
  </si>
  <si>
    <t>People525</t>
  </si>
  <si>
    <t>People526</t>
  </si>
  <si>
    <t>People527</t>
  </si>
  <si>
    <t>People528</t>
  </si>
  <si>
    <t>People529</t>
  </si>
  <si>
    <t>People530</t>
  </si>
  <si>
    <t>People531</t>
  </si>
  <si>
    <t>People532</t>
  </si>
  <si>
    <t>People533</t>
  </si>
  <si>
    <t>People534</t>
  </si>
  <si>
    <t>People535</t>
  </si>
  <si>
    <t>People536</t>
  </si>
  <si>
    <t>People537</t>
  </si>
  <si>
    <t>People538</t>
  </si>
  <si>
    <t>People539</t>
  </si>
  <si>
    <t>People540</t>
  </si>
  <si>
    <t>People541</t>
  </si>
  <si>
    <t>People542</t>
  </si>
  <si>
    <t>People543</t>
  </si>
  <si>
    <t>People544</t>
  </si>
  <si>
    <t>People545</t>
  </si>
  <si>
    <t>People546</t>
  </si>
  <si>
    <t>People547</t>
  </si>
  <si>
    <t>People548</t>
  </si>
  <si>
    <t>People549</t>
  </si>
  <si>
    <t>People550</t>
  </si>
  <si>
    <t>People551</t>
  </si>
  <si>
    <t>People552</t>
  </si>
  <si>
    <t>People553</t>
  </si>
  <si>
    <t>People554</t>
  </si>
  <si>
    <t>People555</t>
  </si>
  <si>
    <t>People556</t>
  </si>
  <si>
    <t>People557</t>
  </si>
  <si>
    <t>People558</t>
  </si>
  <si>
    <t>People559</t>
  </si>
  <si>
    <t>People560</t>
  </si>
  <si>
    <t>People561</t>
  </si>
  <si>
    <t>People562</t>
  </si>
  <si>
    <t>People563</t>
  </si>
  <si>
    <t>People564</t>
  </si>
  <si>
    <t>People565</t>
  </si>
  <si>
    <t>People566</t>
  </si>
  <si>
    <t>People567</t>
  </si>
  <si>
    <t>People568</t>
  </si>
  <si>
    <t>People569</t>
  </si>
  <si>
    <t>People570</t>
  </si>
  <si>
    <t>People571</t>
  </si>
  <si>
    <t>People572</t>
  </si>
  <si>
    <t>People573</t>
  </si>
  <si>
    <t>People574</t>
  </si>
  <si>
    <t>People575</t>
  </si>
  <si>
    <t>People576</t>
  </si>
  <si>
    <t>People577</t>
  </si>
  <si>
    <t>People578</t>
  </si>
  <si>
    <t>People579</t>
  </si>
  <si>
    <t>People580</t>
  </si>
  <si>
    <t>People581</t>
  </si>
  <si>
    <t>People582</t>
  </si>
  <si>
    <t>People583</t>
  </si>
  <si>
    <t>People584</t>
  </si>
  <si>
    <t>People585</t>
  </si>
  <si>
    <t>People586</t>
  </si>
  <si>
    <t>People587</t>
  </si>
  <si>
    <t>People588</t>
  </si>
  <si>
    <t>People589</t>
  </si>
  <si>
    <t>People590</t>
  </si>
  <si>
    <t>People591</t>
  </si>
  <si>
    <t>People592</t>
  </si>
  <si>
    <t>People593</t>
  </si>
  <si>
    <t>People594</t>
  </si>
  <si>
    <t>People595</t>
  </si>
  <si>
    <t>People596</t>
  </si>
  <si>
    <t>People597</t>
  </si>
  <si>
    <t>People598</t>
  </si>
  <si>
    <t>People599</t>
  </si>
  <si>
    <t>People600</t>
  </si>
  <si>
    <t>People601</t>
  </si>
  <si>
    <t>People602</t>
  </si>
  <si>
    <t>People603</t>
  </si>
  <si>
    <t>People604</t>
  </si>
  <si>
    <t>People605</t>
  </si>
  <si>
    <t>People606</t>
  </si>
  <si>
    <t>People607</t>
  </si>
  <si>
    <t>People608</t>
  </si>
  <si>
    <t>People609</t>
  </si>
  <si>
    <t>People610</t>
  </si>
  <si>
    <t>People611</t>
  </si>
  <si>
    <t>People612</t>
  </si>
  <si>
    <t>People613</t>
  </si>
  <si>
    <t>People614</t>
  </si>
  <si>
    <t>People615</t>
  </si>
  <si>
    <t>People616</t>
  </si>
  <si>
    <t>People617</t>
  </si>
  <si>
    <t>People618</t>
  </si>
  <si>
    <t>People619</t>
  </si>
  <si>
    <t>People620</t>
  </si>
  <si>
    <t>People621</t>
  </si>
  <si>
    <t>People622</t>
  </si>
  <si>
    <t>People623</t>
  </si>
  <si>
    <t>People624</t>
  </si>
  <si>
    <t>People625</t>
  </si>
  <si>
    <t>People626</t>
  </si>
  <si>
    <t>People627</t>
  </si>
  <si>
    <t>People628</t>
  </si>
  <si>
    <t>People629</t>
  </si>
  <si>
    <t>People630</t>
  </si>
  <si>
    <t>People631</t>
  </si>
  <si>
    <t>People632</t>
  </si>
  <si>
    <t>People633</t>
  </si>
  <si>
    <t>People634</t>
  </si>
  <si>
    <t>People635</t>
  </si>
  <si>
    <t>People636</t>
  </si>
  <si>
    <t>People637</t>
  </si>
  <si>
    <t>People638</t>
  </si>
  <si>
    <t>People639</t>
  </si>
  <si>
    <t>People640</t>
  </si>
  <si>
    <t>People641</t>
  </si>
  <si>
    <t>People642</t>
  </si>
  <si>
    <t>People643</t>
  </si>
  <si>
    <t>People644</t>
  </si>
  <si>
    <t>People645</t>
  </si>
  <si>
    <t>People646</t>
  </si>
  <si>
    <t>People647</t>
  </si>
  <si>
    <t>People648</t>
  </si>
  <si>
    <t>People649</t>
  </si>
  <si>
    <t>People650</t>
  </si>
  <si>
    <t>People651</t>
  </si>
  <si>
    <t>People652</t>
  </si>
  <si>
    <t>People653</t>
  </si>
  <si>
    <t>People654</t>
  </si>
  <si>
    <t>People655</t>
  </si>
  <si>
    <t>People656</t>
  </si>
  <si>
    <t>People657</t>
  </si>
  <si>
    <t>People658</t>
  </si>
  <si>
    <t>People659</t>
  </si>
  <si>
    <t>People660</t>
  </si>
  <si>
    <t>People661</t>
  </si>
  <si>
    <t>People662</t>
  </si>
  <si>
    <t>People663</t>
  </si>
  <si>
    <t>People664</t>
  </si>
  <si>
    <t>People665</t>
  </si>
  <si>
    <t>People666</t>
  </si>
  <si>
    <t>People667</t>
  </si>
  <si>
    <t>People668</t>
  </si>
  <si>
    <t>People669</t>
  </si>
  <si>
    <t>People670</t>
  </si>
  <si>
    <t>People671</t>
  </si>
  <si>
    <t>People672</t>
  </si>
  <si>
    <t>People673</t>
  </si>
  <si>
    <t>People674</t>
  </si>
  <si>
    <t>People675</t>
  </si>
  <si>
    <t>People676</t>
  </si>
  <si>
    <t>People677</t>
  </si>
  <si>
    <t>People678</t>
  </si>
  <si>
    <t>People679</t>
  </si>
  <si>
    <t>People680</t>
  </si>
  <si>
    <t>People681</t>
  </si>
  <si>
    <t>People682</t>
  </si>
  <si>
    <t>People683</t>
  </si>
  <si>
    <t>People684</t>
  </si>
  <si>
    <t>People685</t>
  </si>
  <si>
    <t>People686</t>
  </si>
  <si>
    <t>People687</t>
  </si>
  <si>
    <t>People688</t>
  </si>
  <si>
    <t>People689</t>
  </si>
  <si>
    <t>People690</t>
  </si>
  <si>
    <t>People691</t>
  </si>
  <si>
    <t>People692</t>
  </si>
  <si>
    <t>People693</t>
  </si>
  <si>
    <t>People694</t>
  </si>
  <si>
    <t>People695</t>
  </si>
  <si>
    <t>People696</t>
  </si>
  <si>
    <t>People697</t>
  </si>
  <si>
    <t>People698</t>
  </si>
  <si>
    <t>People699</t>
  </si>
  <si>
    <t>People700</t>
  </si>
  <si>
    <t>People701</t>
  </si>
  <si>
    <t>People702</t>
  </si>
  <si>
    <t>People703</t>
  </si>
  <si>
    <t>People704</t>
  </si>
  <si>
    <t>People705</t>
  </si>
  <si>
    <t>People706</t>
  </si>
  <si>
    <t>People707</t>
  </si>
  <si>
    <t>People708</t>
  </si>
  <si>
    <t>People709</t>
  </si>
  <si>
    <t>People710</t>
  </si>
  <si>
    <t>People711</t>
  </si>
  <si>
    <t>People712</t>
  </si>
  <si>
    <t>People713</t>
  </si>
  <si>
    <t>People714</t>
  </si>
  <si>
    <t>People715</t>
  </si>
  <si>
    <t>People716</t>
  </si>
  <si>
    <t>People717</t>
  </si>
  <si>
    <t>People718</t>
  </si>
  <si>
    <t>People719</t>
  </si>
  <si>
    <t>People720</t>
  </si>
  <si>
    <t>People721</t>
  </si>
  <si>
    <t>People722</t>
  </si>
  <si>
    <t>People723</t>
  </si>
  <si>
    <t>People724</t>
  </si>
  <si>
    <t>People725</t>
  </si>
  <si>
    <t>People726</t>
  </si>
  <si>
    <t>People727</t>
  </si>
  <si>
    <t>People728</t>
  </si>
  <si>
    <t>People729</t>
  </si>
  <si>
    <t>People730</t>
  </si>
  <si>
    <t>People731</t>
  </si>
  <si>
    <t>People732</t>
  </si>
  <si>
    <t>People733</t>
  </si>
  <si>
    <t>People734</t>
  </si>
  <si>
    <t>People735</t>
  </si>
  <si>
    <t>People736</t>
  </si>
  <si>
    <t>People737</t>
  </si>
  <si>
    <t>People738</t>
  </si>
  <si>
    <t>People739</t>
  </si>
  <si>
    <t>People740</t>
  </si>
  <si>
    <t>People741</t>
  </si>
  <si>
    <t>People742</t>
  </si>
  <si>
    <t>People743</t>
  </si>
  <si>
    <t>People744</t>
  </si>
  <si>
    <t>People745</t>
  </si>
  <si>
    <t>People746</t>
  </si>
  <si>
    <t>People747</t>
  </si>
  <si>
    <t>People748</t>
  </si>
  <si>
    <t>People749</t>
  </si>
  <si>
    <t>People750</t>
  </si>
  <si>
    <t>People751</t>
  </si>
  <si>
    <t>People752</t>
  </si>
  <si>
    <t>People753</t>
  </si>
  <si>
    <t>People754</t>
  </si>
  <si>
    <t>People755</t>
  </si>
  <si>
    <t>People756</t>
  </si>
  <si>
    <t>People757</t>
  </si>
  <si>
    <t>People758</t>
  </si>
  <si>
    <t>People759</t>
  </si>
  <si>
    <t>People760</t>
  </si>
  <si>
    <t>People761</t>
  </si>
  <si>
    <t>People762</t>
  </si>
  <si>
    <t>People763</t>
  </si>
  <si>
    <t>People764</t>
  </si>
  <si>
    <t>People765</t>
  </si>
  <si>
    <t>People766</t>
  </si>
  <si>
    <t>People767</t>
  </si>
  <si>
    <t>People768</t>
  </si>
  <si>
    <t>People769</t>
  </si>
  <si>
    <t>People770</t>
  </si>
  <si>
    <t>People771</t>
  </si>
  <si>
    <t>People772</t>
  </si>
  <si>
    <t>People773</t>
  </si>
  <si>
    <t>People774</t>
  </si>
  <si>
    <t>People775</t>
  </si>
  <si>
    <t>People776</t>
  </si>
  <si>
    <t>People777</t>
  </si>
  <si>
    <t>People778</t>
  </si>
  <si>
    <t>People779</t>
  </si>
  <si>
    <t>People780</t>
  </si>
  <si>
    <t>People781</t>
  </si>
  <si>
    <t>People782</t>
  </si>
  <si>
    <t>People783</t>
  </si>
  <si>
    <t>People784</t>
  </si>
  <si>
    <t>People785</t>
  </si>
  <si>
    <t>People786</t>
  </si>
  <si>
    <t>People787</t>
  </si>
  <si>
    <t>People788</t>
  </si>
  <si>
    <t>People789</t>
  </si>
  <si>
    <t>People790</t>
  </si>
  <si>
    <t>People791</t>
  </si>
  <si>
    <t>People792</t>
  </si>
  <si>
    <t>People793</t>
  </si>
  <si>
    <t>People794</t>
  </si>
  <si>
    <t>People795</t>
  </si>
  <si>
    <t>People796</t>
  </si>
  <si>
    <t>People797</t>
  </si>
  <si>
    <t>People798</t>
  </si>
  <si>
    <t>People799</t>
  </si>
  <si>
    <t>People800</t>
  </si>
  <si>
    <t>People801</t>
  </si>
  <si>
    <t>People802</t>
  </si>
  <si>
    <t>People803</t>
  </si>
  <si>
    <t>People804</t>
  </si>
  <si>
    <t>People805</t>
  </si>
  <si>
    <t>People806</t>
  </si>
  <si>
    <t>People807</t>
  </si>
  <si>
    <t>People808</t>
  </si>
  <si>
    <t>People809</t>
  </si>
  <si>
    <t>People810</t>
  </si>
  <si>
    <t>People811</t>
  </si>
  <si>
    <t>People812</t>
  </si>
  <si>
    <t>People813</t>
  </si>
  <si>
    <t>People814</t>
  </si>
  <si>
    <t>People815</t>
  </si>
  <si>
    <t>People816</t>
  </si>
  <si>
    <t>People817</t>
  </si>
  <si>
    <t>People818</t>
  </si>
  <si>
    <t>People819</t>
  </si>
  <si>
    <t>People820</t>
  </si>
  <si>
    <t>People821</t>
  </si>
  <si>
    <t>People822</t>
  </si>
  <si>
    <t>People823</t>
  </si>
  <si>
    <t>People824</t>
  </si>
  <si>
    <t>People825</t>
  </si>
  <si>
    <t>People826</t>
  </si>
  <si>
    <t>People827</t>
  </si>
  <si>
    <t>People828</t>
  </si>
  <si>
    <t>People829</t>
  </si>
  <si>
    <t>People830</t>
  </si>
  <si>
    <t>People831</t>
  </si>
  <si>
    <t>People832</t>
  </si>
  <si>
    <t>People833</t>
  </si>
  <si>
    <t>People834</t>
  </si>
  <si>
    <t>People835</t>
  </si>
  <si>
    <t>People836</t>
  </si>
  <si>
    <t>People837</t>
  </si>
  <si>
    <t>People838</t>
  </si>
  <si>
    <t>People839</t>
  </si>
  <si>
    <t>People840</t>
  </si>
  <si>
    <t>People841</t>
  </si>
  <si>
    <t>People842</t>
  </si>
  <si>
    <t>People843</t>
  </si>
  <si>
    <t>People844</t>
  </si>
  <si>
    <t>People845</t>
  </si>
  <si>
    <t>People846</t>
  </si>
  <si>
    <t>People847</t>
  </si>
  <si>
    <t>People848</t>
  </si>
  <si>
    <t>People849</t>
  </si>
  <si>
    <t>People850</t>
  </si>
  <si>
    <t>People851</t>
  </si>
  <si>
    <t>People852</t>
  </si>
  <si>
    <t>People853</t>
  </si>
  <si>
    <t>People854</t>
  </si>
  <si>
    <t>People855</t>
  </si>
  <si>
    <t>People856</t>
  </si>
  <si>
    <t>People857</t>
  </si>
  <si>
    <t>People858</t>
  </si>
  <si>
    <t>People859</t>
  </si>
  <si>
    <t>People860</t>
  </si>
  <si>
    <t>People861</t>
  </si>
  <si>
    <t>People862</t>
  </si>
  <si>
    <t>People863</t>
  </si>
  <si>
    <t>People864</t>
  </si>
  <si>
    <t>People865</t>
  </si>
  <si>
    <t>People866</t>
  </si>
  <si>
    <t>People867</t>
  </si>
  <si>
    <t>People868</t>
  </si>
  <si>
    <t>People869</t>
  </si>
  <si>
    <t>People870</t>
  </si>
  <si>
    <t>People871</t>
  </si>
  <si>
    <t>People872</t>
  </si>
  <si>
    <t>People873</t>
  </si>
  <si>
    <t>People874</t>
  </si>
  <si>
    <t>People875</t>
  </si>
  <si>
    <t>People876</t>
  </si>
  <si>
    <t>People877</t>
  </si>
  <si>
    <t>People878</t>
  </si>
  <si>
    <t>People879</t>
  </si>
  <si>
    <t>People880</t>
  </si>
  <si>
    <t>People881</t>
  </si>
  <si>
    <t>People882</t>
  </si>
  <si>
    <t>People883</t>
  </si>
  <si>
    <t>People884</t>
  </si>
  <si>
    <t>People885</t>
  </si>
  <si>
    <t>People886</t>
  </si>
  <si>
    <t>People887</t>
  </si>
  <si>
    <t>People888</t>
  </si>
  <si>
    <t>People889</t>
  </si>
  <si>
    <t>People890</t>
  </si>
  <si>
    <t>People891</t>
  </si>
  <si>
    <t>People892</t>
  </si>
  <si>
    <t>People893</t>
  </si>
  <si>
    <t>People894</t>
  </si>
  <si>
    <t>People895</t>
  </si>
  <si>
    <t>People896</t>
  </si>
  <si>
    <t>People897</t>
  </si>
  <si>
    <t>People898</t>
  </si>
  <si>
    <t>People899</t>
  </si>
  <si>
    <t>People900</t>
  </si>
  <si>
    <t>People901</t>
  </si>
  <si>
    <t>People902</t>
  </si>
  <si>
    <t>People903</t>
  </si>
  <si>
    <t>People904</t>
  </si>
  <si>
    <t>People905</t>
  </si>
  <si>
    <t>People906</t>
  </si>
  <si>
    <t>People907</t>
  </si>
  <si>
    <t>People908</t>
  </si>
  <si>
    <t>People909</t>
  </si>
  <si>
    <t>People910</t>
  </si>
  <si>
    <t>People911</t>
  </si>
  <si>
    <t>People912</t>
  </si>
  <si>
    <t>People913</t>
  </si>
  <si>
    <t>People914</t>
  </si>
  <si>
    <t>People915</t>
  </si>
  <si>
    <t>People916</t>
  </si>
  <si>
    <t>People917</t>
  </si>
  <si>
    <t>People918</t>
  </si>
  <si>
    <t>People919</t>
  </si>
  <si>
    <t>People920</t>
  </si>
  <si>
    <t>People921</t>
  </si>
  <si>
    <t>People922</t>
  </si>
  <si>
    <t>People923</t>
  </si>
  <si>
    <t>People924</t>
  </si>
  <si>
    <t>People925</t>
  </si>
  <si>
    <t>People926</t>
  </si>
  <si>
    <t>People927</t>
  </si>
  <si>
    <t>People928</t>
  </si>
  <si>
    <t>People929</t>
  </si>
  <si>
    <t>People930</t>
  </si>
  <si>
    <t>People931</t>
  </si>
  <si>
    <t>People932</t>
  </si>
  <si>
    <t>People933</t>
  </si>
  <si>
    <t>People934</t>
  </si>
  <si>
    <t>People935</t>
  </si>
  <si>
    <t>People936</t>
  </si>
  <si>
    <t>People937</t>
  </si>
  <si>
    <t>People938</t>
  </si>
  <si>
    <t>People939</t>
  </si>
  <si>
    <t>People940</t>
  </si>
  <si>
    <t>People941</t>
  </si>
  <si>
    <t>People942</t>
  </si>
  <si>
    <t>People943</t>
  </si>
  <si>
    <t>People944</t>
  </si>
  <si>
    <t>People945</t>
  </si>
  <si>
    <t>People946</t>
  </si>
  <si>
    <t>People947</t>
  </si>
  <si>
    <t>People948</t>
  </si>
  <si>
    <t>People949</t>
  </si>
  <si>
    <t>People950</t>
  </si>
  <si>
    <t>People951</t>
  </si>
  <si>
    <t>People952</t>
  </si>
  <si>
    <t>People953</t>
  </si>
  <si>
    <t>People954</t>
  </si>
  <si>
    <t>People955</t>
  </si>
  <si>
    <t>People956</t>
  </si>
  <si>
    <t>People957</t>
  </si>
  <si>
    <t>People958</t>
  </si>
  <si>
    <t>People959</t>
  </si>
  <si>
    <t>People960</t>
  </si>
  <si>
    <t>People961</t>
  </si>
  <si>
    <t>People962</t>
  </si>
  <si>
    <t>People963</t>
  </si>
  <si>
    <t>People964</t>
  </si>
  <si>
    <t>People965</t>
  </si>
  <si>
    <t>People966</t>
  </si>
  <si>
    <t>People967</t>
  </si>
  <si>
    <t>People968</t>
  </si>
  <si>
    <t>People969</t>
  </si>
  <si>
    <t>People970</t>
  </si>
  <si>
    <t>People971</t>
  </si>
  <si>
    <t>People972</t>
  </si>
  <si>
    <t>People973</t>
  </si>
  <si>
    <t>People974</t>
  </si>
  <si>
    <t>People975</t>
  </si>
  <si>
    <t>People976</t>
  </si>
  <si>
    <t>People977</t>
  </si>
  <si>
    <t>People978</t>
  </si>
  <si>
    <t>People979</t>
  </si>
  <si>
    <t>People980</t>
  </si>
  <si>
    <t>People981</t>
  </si>
  <si>
    <t>People982</t>
  </si>
  <si>
    <t>People983</t>
  </si>
  <si>
    <t>People984</t>
  </si>
  <si>
    <t>People985</t>
  </si>
  <si>
    <t>People986</t>
  </si>
  <si>
    <t>People987</t>
  </si>
  <si>
    <t>People988</t>
  </si>
  <si>
    <t>People989</t>
  </si>
  <si>
    <t>People990</t>
  </si>
  <si>
    <t>People991</t>
  </si>
  <si>
    <t>People992</t>
  </si>
  <si>
    <t>People993</t>
  </si>
  <si>
    <t>People994</t>
  </si>
  <si>
    <t>People995</t>
  </si>
  <si>
    <t>People996</t>
  </si>
  <si>
    <t>People997</t>
  </si>
  <si>
    <t>People998</t>
  </si>
  <si>
    <t>People999</t>
  </si>
  <si>
    <t>People1000</t>
  </si>
  <si>
    <t>People1001</t>
  </si>
  <si>
    <t>People1002</t>
  </si>
  <si>
    <t>People1003</t>
  </si>
  <si>
    <t>People1004</t>
  </si>
  <si>
    <t>People1005</t>
  </si>
  <si>
    <t>People1006</t>
  </si>
  <si>
    <t>People1007</t>
  </si>
  <si>
    <t>People1008</t>
  </si>
  <si>
    <t>People1009</t>
  </si>
  <si>
    <t>People1010</t>
  </si>
  <si>
    <t>People1011</t>
  </si>
  <si>
    <t>People1012</t>
  </si>
  <si>
    <t>People1013</t>
  </si>
  <si>
    <t>People1014</t>
  </si>
  <si>
    <t>People1015</t>
  </si>
  <si>
    <t>People1016</t>
  </si>
  <si>
    <t>People1017</t>
  </si>
  <si>
    <t>People1018</t>
  </si>
  <si>
    <t>People1019</t>
  </si>
  <si>
    <t>People1020</t>
  </si>
  <si>
    <t>People1021</t>
  </si>
  <si>
    <t>People1022</t>
  </si>
  <si>
    <t>People1023</t>
  </si>
  <si>
    <t>People1024</t>
  </si>
  <si>
    <t>People1025</t>
  </si>
  <si>
    <t>People1026</t>
  </si>
  <si>
    <t>People1027</t>
  </si>
  <si>
    <t>People1028</t>
  </si>
  <si>
    <t>People1029</t>
  </si>
  <si>
    <t>People1030</t>
  </si>
  <si>
    <t>People1031</t>
  </si>
  <si>
    <t>People1032</t>
  </si>
  <si>
    <t>People1033</t>
  </si>
  <si>
    <t>People1034</t>
  </si>
  <si>
    <t>People1035</t>
  </si>
  <si>
    <t>People1036</t>
  </si>
  <si>
    <t>People1037</t>
  </si>
  <si>
    <t>People1038</t>
  </si>
  <si>
    <t>People1039</t>
  </si>
  <si>
    <t>People1040</t>
  </si>
  <si>
    <t>People1041</t>
  </si>
  <si>
    <t>People1042</t>
  </si>
  <si>
    <t>People1043</t>
  </si>
  <si>
    <t>People1044</t>
  </si>
  <si>
    <t>People1045</t>
  </si>
  <si>
    <t>People1046</t>
  </si>
  <si>
    <t>People1047</t>
  </si>
  <si>
    <t>People1048</t>
  </si>
  <si>
    <t>People1049</t>
  </si>
  <si>
    <t>People1050</t>
  </si>
  <si>
    <t>People1051</t>
  </si>
  <si>
    <t>People1052</t>
  </si>
  <si>
    <t>People1053</t>
  </si>
  <si>
    <t>People1054</t>
  </si>
  <si>
    <t>People1055</t>
  </si>
  <si>
    <t>People1056</t>
  </si>
  <si>
    <t>People1057</t>
  </si>
  <si>
    <t>People1058</t>
  </si>
  <si>
    <t>People1059</t>
  </si>
  <si>
    <t>People1060</t>
  </si>
  <si>
    <t>People1061</t>
  </si>
  <si>
    <t>People1062</t>
  </si>
  <si>
    <t>People1063</t>
  </si>
  <si>
    <t>People1064</t>
  </si>
  <si>
    <t>People1065</t>
  </si>
  <si>
    <t>People1066</t>
  </si>
  <si>
    <t>People1067</t>
  </si>
  <si>
    <t>People1068</t>
  </si>
  <si>
    <t>People1069</t>
  </si>
  <si>
    <t>People1070</t>
  </si>
  <si>
    <t>People1071</t>
  </si>
  <si>
    <t>People1072</t>
  </si>
  <si>
    <t>People1073</t>
  </si>
  <si>
    <t>People1074</t>
  </si>
  <si>
    <t>People1075</t>
  </si>
  <si>
    <t>People1076</t>
  </si>
  <si>
    <t>People1077</t>
  </si>
  <si>
    <t>People1078</t>
  </si>
  <si>
    <t>People1079</t>
  </si>
  <si>
    <t>People1080</t>
  </si>
  <si>
    <t>People1081</t>
  </si>
  <si>
    <t>People1082</t>
  </si>
  <si>
    <t>People1083</t>
  </si>
  <si>
    <t>People1084</t>
  </si>
  <si>
    <t>People1085</t>
  </si>
  <si>
    <t>People1086</t>
  </si>
  <si>
    <t>People1087</t>
  </si>
  <si>
    <t>People1088</t>
  </si>
  <si>
    <t>People1089</t>
  </si>
  <si>
    <t>People1090</t>
  </si>
  <si>
    <t>People1091</t>
  </si>
  <si>
    <t>People1092</t>
  </si>
  <si>
    <t>People1093</t>
  </si>
  <si>
    <t>People1094</t>
  </si>
  <si>
    <t>People1095</t>
  </si>
  <si>
    <t>People1096</t>
  </si>
  <si>
    <t>People1097</t>
  </si>
  <si>
    <t>People1098</t>
  </si>
  <si>
    <t>People1099</t>
  </si>
  <si>
    <t>People1100</t>
  </si>
  <si>
    <t>People1101</t>
  </si>
  <si>
    <t>People1102</t>
  </si>
  <si>
    <t>People1103</t>
  </si>
  <si>
    <t>People1104</t>
  </si>
  <si>
    <t>People1105</t>
  </si>
  <si>
    <t>People1106</t>
  </si>
  <si>
    <t>People1107</t>
  </si>
  <si>
    <t>People1108</t>
  </si>
  <si>
    <t>People1109</t>
  </si>
  <si>
    <t>People1110</t>
  </si>
  <si>
    <t>People1111</t>
  </si>
  <si>
    <t>People1112</t>
  </si>
  <si>
    <t>People1113</t>
  </si>
  <si>
    <t>People1114</t>
  </si>
  <si>
    <t>People1115</t>
  </si>
  <si>
    <t>People1116</t>
  </si>
  <si>
    <t>People1117</t>
  </si>
  <si>
    <t>People1118</t>
  </si>
  <si>
    <t>People1119</t>
  </si>
  <si>
    <t>People1120</t>
  </si>
  <si>
    <t>People1121</t>
  </si>
  <si>
    <t>People1122</t>
  </si>
  <si>
    <t>People1123</t>
  </si>
  <si>
    <t>People1124</t>
  </si>
  <si>
    <t>People1125</t>
  </si>
  <si>
    <t>People1126</t>
  </si>
  <si>
    <t>People1127</t>
  </si>
  <si>
    <t>People1128</t>
  </si>
  <si>
    <t>People1129</t>
  </si>
  <si>
    <t>People1130</t>
  </si>
  <si>
    <t>People1131</t>
  </si>
  <si>
    <t>People1132</t>
  </si>
  <si>
    <t>People1133</t>
  </si>
  <si>
    <t>People1134</t>
  </si>
  <si>
    <t>People1135</t>
  </si>
  <si>
    <t>People1136</t>
  </si>
  <si>
    <t>People1137</t>
  </si>
  <si>
    <t>People1138</t>
  </si>
  <si>
    <t>People1139</t>
  </si>
  <si>
    <t>People1140</t>
  </si>
  <si>
    <t>People1141</t>
  </si>
  <si>
    <t>department</t>
  </si>
  <si>
    <t>REGION1</t>
  </si>
  <si>
    <t>REGION2</t>
  </si>
  <si>
    <t>REGION3</t>
  </si>
  <si>
    <t>REGION4</t>
  </si>
  <si>
    <t>REGION5</t>
  </si>
  <si>
    <t>REGION6</t>
  </si>
  <si>
    <t>REGION7</t>
  </si>
  <si>
    <t>REGION8</t>
  </si>
  <si>
    <t>REGION9</t>
  </si>
  <si>
    <t>STORE1</t>
  </si>
  <si>
    <t>STORE2</t>
  </si>
  <si>
    <t>STORE3</t>
  </si>
  <si>
    <t>STORE4</t>
  </si>
  <si>
    <t>STORE5</t>
  </si>
  <si>
    <t>STORE6</t>
  </si>
  <si>
    <t>STORE7</t>
  </si>
  <si>
    <t>STORE8</t>
  </si>
  <si>
    <t>STORE9</t>
  </si>
  <si>
    <t>STORE10</t>
  </si>
  <si>
    <t>STORE11</t>
  </si>
  <si>
    <t>STORE12</t>
  </si>
  <si>
    <t>STORE13</t>
  </si>
  <si>
    <t>STORE14</t>
  </si>
  <si>
    <t>STORE15</t>
  </si>
  <si>
    <t>STORE16</t>
  </si>
  <si>
    <t>STORE17</t>
  </si>
  <si>
    <t>STORE18</t>
  </si>
  <si>
    <t>STORE19</t>
  </si>
  <si>
    <t>STORE20</t>
  </si>
  <si>
    <t>STORE21</t>
  </si>
  <si>
    <t>STORE22</t>
  </si>
  <si>
    <t>STORE23</t>
  </si>
  <si>
    <t>STORE24</t>
  </si>
  <si>
    <t>STORE25</t>
  </si>
  <si>
    <t>STORE26</t>
  </si>
  <si>
    <t>STORE27</t>
  </si>
  <si>
    <t>STORE28</t>
  </si>
  <si>
    <t>STORE29</t>
  </si>
  <si>
    <t>STORE30</t>
  </si>
  <si>
    <t>STORE31</t>
  </si>
  <si>
    <t>STORE32</t>
  </si>
  <si>
    <t>STORE33</t>
  </si>
  <si>
    <t>STORE34</t>
  </si>
  <si>
    <t>STORE35</t>
  </si>
  <si>
    <t>STORE36</t>
  </si>
  <si>
    <t>STORE37</t>
  </si>
  <si>
    <t>STORE38</t>
  </si>
  <si>
    <t>STORE39</t>
  </si>
  <si>
    <t>STORE40</t>
  </si>
  <si>
    <t>STORE41</t>
  </si>
  <si>
    <t>STORE42</t>
  </si>
  <si>
    <t>STORE43</t>
  </si>
  <si>
    <t>STORE44</t>
  </si>
  <si>
    <t>STORE45</t>
  </si>
  <si>
    <t>STORE46</t>
  </si>
  <si>
    <t>STORE47</t>
  </si>
  <si>
    <t>STORE48</t>
  </si>
  <si>
    <t>STORE49</t>
  </si>
  <si>
    <t>STORE50</t>
  </si>
  <si>
    <t>STORE51</t>
  </si>
  <si>
    <t>STORE52</t>
  </si>
  <si>
    <t>STORE53</t>
  </si>
  <si>
    <t>STORE54</t>
  </si>
  <si>
    <t>STORE55</t>
  </si>
  <si>
    <t>STORE56</t>
  </si>
  <si>
    <t>STORE57</t>
  </si>
  <si>
    <t>STORE58</t>
  </si>
  <si>
    <t>STORE59</t>
  </si>
  <si>
    <t>STORE60</t>
  </si>
  <si>
    <t>STORE61</t>
  </si>
  <si>
    <t>STORE62</t>
  </si>
  <si>
    <t>STORE63</t>
  </si>
  <si>
    <t>STORE64</t>
  </si>
  <si>
    <t>STORE65</t>
  </si>
  <si>
    <t>STORE66</t>
  </si>
  <si>
    <t>STORE67</t>
  </si>
  <si>
    <t>STORE68</t>
  </si>
  <si>
    <t>STORE69</t>
  </si>
  <si>
    <t>STORE70</t>
  </si>
  <si>
    <t>STORE71</t>
  </si>
  <si>
    <t>STORE72</t>
  </si>
  <si>
    <t>STORE73</t>
  </si>
  <si>
    <t>STORE74</t>
  </si>
  <si>
    <t>STORE75</t>
  </si>
  <si>
    <t>STORE76</t>
  </si>
  <si>
    <t>STORE77</t>
  </si>
  <si>
    <t>STORE78</t>
  </si>
  <si>
    <t>STORE79</t>
  </si>
  <si>
    <t>STORE80</t>
  </si>
  <si>
    <t>STORE81</t>
  </si>
  <si>
    <t>STORE82</t>
  </si>
  <si>
    <t>STORE83</t>
  </si>
  <si>
    <t>STORE84</t>
  </si>
  <si>
    <t>STORE85</t>
  </si>
  <si>
    <t>STORE86</t>
  </si>
  <si>
    <t>STORE87</t>
  </si>
  <si>
    <t>STORE88</t>
  </si>
  <si>
    <t>STORE89</t>
  </si>
  <si>
    <t>STORE90</t>
  </si>
  <si>
    <t>STORE91</t>
  </si>
  <si>
    <t>STORE92</t>
  </si>
  <si>
    <t>STORE93</t>
  </si>
  <si>
    <t>STORE94</t>
  </si>
  <si>
    <t>STORE95</t>
  </si>
  <si>
    <t>STORE96</t>
  </si>
  <si>
    <t>STORE97</t>
  </si>
  <si>
    <t>STORE98</t>
  </si>
  <si>
    <t>STORE99</t>
  </si>
  <si>
    <t>STORE100</t>
  </si>
  <si>
    <t>STORE101</t>
  </si>
  <si>
    <t>STORE102</t>
  </si>
  <si>
    <t>STORE103</t>
  </si>
  <si>
    <t>STORE104</t>
  </si>
  <si>
    <t>STORE105</t>
  </si>
  <si>
    <t>STORE106</t>
  </si>
  <si>
    <t>STORE107</t>
  </si>
  <si>
    <t>STORE108</t>
  </si>
  <si>
    <t>STORE109</t>
  </si>
  <si>
    <t>STORE110</t>
  </si>
  <si>
    <t>STORE111</t>
  </si>
  <si>
    <t>STORE112</t>
  </si>
  <si>
    <t>STORE113</t>
  </si>
  <si>
    <t>STORE114</t>
  </si>
  <si>
    <t>STORE115</t>
  </si>
  <si>
    <t>STORE116</t>
  </si>
  <si>
    <t>STORE117</t>
  </si>
  <si>
    <t>STORE118</t>
  </si>
  <si>
    <t>STORE119</t>
  </si>
  <si>
    <t>STORE120</t>
  </si>
  <si>
    <t>STORE121</t>
  </si>
  <si>
    <t>STORE122</t>
  </si>
  <si>
    <t>STORE123</t>
  </si>
  <si>
    <t>STORE124</t>
  </si>
  <si>
    <t>STORE125</t>
  </si>
  <si>
    <t>STORE126</t>
  </si>
  <si>
    <t>STORE127</t>
  </si>
  <si>
    <t>STORE128</t>
  </si>
  <si>
    <t>STORE129</t>
  </si>
  <si>
    <t>STORE130</t>
  </si>
  <si>
    <t>STORE131</t>
  </si>
  <si>
    <t>STORE132</t>
  </si>
  <si>
    <t>STORE133</t>
  </si>
  <si>
    <t>STORE134</t>
  </si>
  <si>
    <t>STORE135</t>
  </si>
  <si>
    <t>STORE136</t>
  </si>
  <si>
    <t>STORE137</t>
  </si>
  <si>
    <t>STORE138</t>
  </si>
  <si>
    <t>STORE139</t>
  </si>
  <si>
    <t>STORE140</t>
  </si>
  <si>
    <t>STORE141</t>
  </si>
  <si>
    <t>STORE142</t>
  </si>
  <si>
    <t>STORE143</t>
  </si>
  <si>
    <t>STORE144</t>
  </si>
  <si>
    <t>STORE145</t>
  </si>
  <si>
    <t>STORE146</t>
  </si>
  <si>
    <t>STORE147</t>
  </si>
  <si>
    <t>STORE148</t>
  </si>
  <si>
    <t>STORE149</t>
  </si>
  <si>
    <t>STORE150</t>
  </si>
  <si>
    <t>STORE151</t>
  </si>
  <si>
    <t>STORE152</t>
  </si>
  <si>
    <t>STORE153</t>
  </si>
  <si>
    <t>STORE154</t>
  </si>
  <si>
    <t>STORE155</t>
  </si>
  <si>
    <t>STORE156</t>
  </si>
  <si>
    <t>STORE157</t>
  </si>
  <si>
    <t>STORE158</t>
  </si>
  <si>
    <t>STORE159</t>
  </si>
  <si>
    <t>STORE160</t>
  </si>
  <si>
    <t>STORE161</t>
  </si>
  <si>
    <t>STORE162</t>
  </si>
  <si>
    <t>STORE163</t>
  </si>
  <si>
    <t>STORE164</t>
  </si>
  <si>
    <t>STORE165</t>
  </si>
  <si>
    <t>STORE166</t>
  </si>
  <si>
    <t>STORE167</t>
  </si>
  <si>
    <t>STORE168</t>
  </si>
  <si>
    <t>STORE169</t>
  </si>
  <si>
    <t>STORE170</t>
  </si>
  <si>
    <t>STORE171</t>
  </si>
  <si>
    <t>STORE172</t>
  </si>
  <si>
    <t>STORE173</t>
  </si>
  <si>
    <t>STORE174</t>
  </si>
  <si>
    <t>STORE175</t>
  </si>
  <si>
    <t>STORE176</t>
  </si>
  <si>
    <t>STORE177</t>
  </si>
  <si>
    <t>STORE178</t>
  </si>
  <si>
    <t>STORE179</t>
  </si>
  <si>
    <t>STORE180</t>
  </si>
  <si>
    <t>STORE181</t>
  </si>
  <si>
    <t>STORE182</t>
  </si>
  <si>
    <t>STORE183</t>
  </si>
  <si>
    <t>STORE184</t>
  </si>
  <si>
    <t>STORE185</t>
  </si>
  <si>
    <t>STORE186</t>
  </si>
  <si>
    <t>STORE187</t>
  </si>
  <si>
    <t>STORE188</t>
  </si>
  <si>
    <t>STORE189</t>
  </si>
  <si>
    <t>STORE190</t>
  </si>
  <si>
    <t>STORE191</t>
  </si>
  <si>
    <t>STORE192</t>
  </si>
  <si>
    <t>STORE193</t>
  </si>
  <si>
    <t>STORE194</t>
  </si>
  <si>
    <t>STORE195</t>
  </si>
  <si>
    <t>STORE196</t>
  </si>
  <si>
    <t>STORE197</t>
  </si>
  <si>
    <t>STORE198</t>
  </si>
  <si>
    <t>STORE199</t>
  </si>
  <si>
    <t>STORE200</t>
  </si>
  <si>
    <t>STORE201</t>
  </si>
  <si>
    <t>STORE202</t>
  </si>
  <si>
    <t>STORE203</t>
  </si>
  <si>
    <t>STORE204</t>
  </si>
  <si>
    <t>STORE205</t>
  </si>
  <si>
    <t>STORE206</t>
  </si>
  <si>
    <t>STORE207</t>
  </si>
  <si>
    <t>STORE208</t>
  </si>
  <si>
    <t>STORE209</t>
  </si>
  <si>
    <t>STORE210</t>
  </si>
  <si>
    <t>STORE211</t>
  </si>
  <si>
    <t>STORE212</t>
  </si>
  <si>
    <t>STORE213</t>
  </si>
  <si>
    <t>STORE214</t>
  </si>
  <si>
    <t>STORE215</t>
  </si>
  <si>
    <t>STORE216</t>
  </si>
  <si>
    <t>STORE217</t>
  </si>
  <si>
    <t>STORE218</t>
  </si>
  <si>
    <t>STORE219</t>
  </si>
  <si>
    <t>STORE220</t>
  </si>
  <si>
    <t>STORE221</t>
  </si>
  <si>
    <t>STORE222</t>
  </si>
  <si>
    <t>STORE223</t>
  </si>
  <si>
    <t>STORE224</t>
  </si>
  <si>
    <t>STORE225</t>
  </si>
  <si>
    <t>STORE226</t>
  </si>
  <si>
    <t>STORE227</t>
  </si>
  <si>
    <t>STORE228</t>
  </si>
  <si>
    <t>STORE229</t>
  </si>
  <si>
    <t>STORE230</t>
  </si>
  <si>
    <t>STORE231</t>
  </si>
  <si>
    <t>STORE232</t>
  </si>
  <si>
    <t>STORE233</t>
  </si>
  <si>
    <t>STORE234</t>
  </si>
  <si>
    <t>STORE235</t>
  </si>
  <si>
    <t>STORE236</t>
  </si>
  <si>
    <t>STORE237</t>
  </si>
  <si>
    <t>STORE238</t>
  </si>
  <si>
    <t>STORE239</t>
  </si>
  <si>
    <t>STORE240</t>
  </si>
  <si>
    <t>STORE241</t>
  </si>
  <si>
    <t>STORE242</t>
  </si>
  <si>
    <t>STORE243</t>
  </si>
  <si>
    <t>STORE244</t>
  </si>
  <si>
    <t>STORE245</t>
  </si>
  <si>
    <t>STORE246</t>
  </si>
  <si>
    <t>STORE247</t>
  </si>
  <si>
    <t>STORE248</t>
  </si>
  <si>
    <t>STORE249</t>
  </si>
  <si>
    <t>STORE250</t>
  </si>
  <si>
    <t>STORE251</t>
  </si>
  <si>
    <t>STORE252</t>
  </si>
  <si>
    <t>STORE253</t>
  </si>
  <si>
    <t>STORE254</t>
  </si>
  <si>
    <t>STORE255</t>
  </si>
  <si>
    <t>STORE256</t>
  </si>
  <si>
    <t>STORE257</t>
  </si>
  <si>
    <t>STORE258</t>
  </si>
  <si>
    <t>STORE259</t>
  </si>
  <si>
    <t>STORE260</t>
  </si>
  <si>
    <t>STORE261</t>
  </si>
  <si>
    <t>STORE262</t>
  </si>
  <si>
    <t>STORE263</t>
  </si>
  <si>
    <t>STORE264</t>
  </si>
  <si>
    <t>STORE265</t>
  </si>
  <si>
    <t>STORE266</t>
  </si>
  <si>
    <t>STORE267</t>
  </si>
  <si>
    <t>STORE268</t>
  </si>
  <si>
    <t>STORE269</t>
  </si>
  <si>
    <t>STORE270</t>
  </si>
  <si>
    <t>STORE271</t>
  </si>
  <si>
    <t>STORE272</t>
  </si>
  <si>
    <t>STORE273</t>
  </si>
  <si>
    <t>STORE274</t>
  </si>
  <si>
    <t>STORE275</t>
  </si>
  <si>
    <t>STORE276</t>
  </si>
  <si>
    <t>STORE277</t>
  </si>
  <si>
    <t>STORE278</t>
  </si>
  <si>
    <t>STORE279</t>
  </si>
  <si>
    <t>STORE280</t>
  </si>
  <si>
    <t>STORE281</t>
  </si>
  <si>
    <t>STORE282</t>
  </si>
  <si>
    <t>STORE283</t>
  </si>
  <si>
    <t>STORE284</t>
  </si>
  <si>
    <t>STORE285</t>
  </si>
  <si>
    <t>STORE286</t>
  </si>
  <si>
    <t>STORE287</t>
  </si>
  <si>
    <t>STORE288</t>
  </si>
  <si>
    <t>STORE289</t>
  </si>
  <si>
    <t>STORE290</t>
  </si>
  <si>
    <t>STORE291</t>
  </si>
  <si>
    <t>STORE292</t>
  </si>
  <si>
    <t>STORE293</t>
  </si>
  <si>
    <t>STORE294</t>
  </si>
  <si>
    <t>STORE295</t>
  </si>
  <si>
    <t>STORE296</t>
  </si>
  <si>
    <t>STORE297</t>
  </si>
  <si>
    <t>STORE298</t>
  </si>
  <si>
    <t>STORE299</t>
  </si>
  <si>
    <t>STORE300</t>
  </si>
  <si>
    <t>STORE301</t>
  </si>
  <si>
    <t>STORE302</t>
  </si>
  <si>
    <t>STORE303</t>
  </si>
  <si>
    <t>STORE304</t>
  </si>
  <si>
    <t>STORE305</t>
  </si>
  <si>
    <t>STORE306</t>
  </si>
  <si>
    <t>STORE307</t>
  </si>
  <si>
    <t>STORE308</t>
  </si>
  <si>
    <t>STORE309</t>
  </si>
  <si>
    <t>STORE310</t>
  </si>
  <si>
    <t>STORE311</t>
  </si>
  <si>
    <t>STORE312</t>
  </si>
  <si>
    <t>STORE313</t>
  </si>
  <si>
    <t>STORE314</t>
  </si>
  <si>
    <t>STORE315</t>
  </si>
  <si>
    <t>STORE316</t>
  </si>
  <si>
    <t>STORE317</t>
  </si>
  <si>
    <t>STORE318</t>
  </si>
  <si>
    <t>STORE319</t>
  </si>
  <si>
    <t>STORE320</t>
  </si>
  <si>
    <t>STORE321</t>
  </si>
  <si>
    <t>STORE322</t>
  </si>
  <si>
    <t>STORE323</t>
  </si>
  <si>
    <t>STORE324</t>
  </si>
  <si>
    <t>STORE325</t>
  </si>
  <si>
    <t>STORE326</t>
  </si>
  <si>
    <t>STORE327</t>
  </si>
  <si>
    <t>STORE328</t>
  </si>
  <si>
    <t>STORE329</t>
  </si>
  <si>
    <t>STORE330</t>
  </si>
  <si>
    <t>STORE331</t>
  </si>
  <si>
    <t>STORE332</t>
  </si>
  <si>
    <t>STORE333</t>
  </si>
  <si>
    <t>STORE334</t>
  </si>
  <si>
    <t>STORE335</t>
  </si>
  <si>
    <t>STORE336</t>
  </si>
  <si>
    <t>STORE337</t>
  </si>
  <si>
    <t>STORE338</t>
  </si>
  <si>
    <t>STORE339</t>
  </si>
  <si>
    <t>STORE340</t>
  </si>
  <si>
    <t>STORE341</t>
  </si>
  <si>
    <t>STORE342</t>
  </si>
  <si>
    <t>STORE343</t>
  </si>
  <si>
    <t>STORE344</t>
  </si>
  <si>
    <t>STORE345</t>
  </si>
  <si>
    <t>STORE346</t>
  </si>
  <si>
    <t>STORE347</t>
  </si>
  <si>
    <t>STORE348</t>
  </si>
  <si>
    <t>STORE349</t>
  </si>
  <si>
    <t>STORE350</t>
  </si>
  <si>
    <t>STORE351</t>
  </si>
  <si>
    <t>STORE352</t>
  </si>
  <si>
    <t>STORE353</t>
  </si>
  <si>
    <t>STORE354</t>
  </si>
  <si>
    <t>STORE355</t>
  </si>
  <si>
    <t>STORE356</t>
  </si>
  <si>
    <t>STORE357</t>
  </si>
  <si>
    <t>STORE358</t>
  </si>
  <si>
    <t>STORE359</t>
  </si>
  <si>
    <t>STORE360</t>
  </si>
  <si>
    <t>STORE361</t>
  </si>
  <si>
    <t>STORE362</t>
  </si>
  <si>
    <t>STORE363</t>
  </si>
  <si>
    <t>STORE364</t>
  </si>
  <si>
    <t>STORE365</t>
  </si>
  <si>
    <t>STORE366</t>
  </si>
  <si>
    <t>STORE367</t>
  </si>
  <si>
    <t>STORE368</t>
  </si>
  <si>
    <t>STORE369</t>
  </si>
  <si>
    <t>STORE370</t>
  </si>
  <si>
    <t>STORE371</t>
  </si>
  <si>
    <t>STORE372</t>
  </si>
  <si>
    <t>STORE373</t>
  </si>
  <si>
    <t>STORE374</t>
  </si>
  <si>
    <t>STORE375</t>
  </si>
  <si>
    <t>STORE376</t>
  </si>
  <si>
    <t>STORE377</t>
  </si>
  <si>
    <t>STORE378</t>
  </si>
  <si>
    <t>STORE379</t>
  </si>
  <si>
    <t>MANAGER1</t>
  </si>
  <si>
    <t>MANAGER2</t>
  </si>
  <si>
    <t>MANAGER3</t>
  </si>
  <si>
    <t>MANAGER4</t>
  </si>
  <si>
    <t>MANAGER5</t>
  </si>
  <si>
    <t>MANAGER6</t>
  </si>
  <si>
    <t>MANAGER7</t>
  </si>
  <si>
    <t>MANAGER8</t>
  </si>
  <si>
    <t>MANAGER9</t>
  </si>
  <si>
    <t>MANAGER10</t>
  </si>
  <si>
    <t>MANAGER11</t>
  </si>
  <si>
    <t>MANAGER12</t>
  </si>
  <si>
    <t>MANAGER13</t>
  </si>
  <si>
    <t>MANAGER14</t>
  </si>
  <si>
    <t>MANAGER15</t>
  </si>
  <si>
    <t>MANAGER16</t>
  </si>
  <si>
    <t>MANAGER17</t>
  </si>
  <si>
    <t>MANAGER18</t>
  </si>
  <si>
    <t>MANAGER19</t>
  </si>
  <si>
    <t>MANAGER20</t>
  </si>
  <si>
    <t>MANAGER21</t>
  </si>
  <si>
    <t>MANAGER22</t>
  </si>
  <si>
    <t>MANAGER23</t>
  </si>
  <si>
    <t>MANAGER24</t>
  </si>
  <si>
    <t>MANAGER25</t>
  </si>
  <si>
    <t>MANAGER26</t>
  </si>
  <si>
    <t>MANAGER27</t>
  </si>
  <si>
    <t>MANAGER28</t>
  </si>
  <si>
    <t>MANAGER29</t>
  </si>
  <si>
    <t>MANAGER30</t>
  </si>
  <si>
    <t>MANAGER31</t>
  </si>
  <si>
    <t>MANAGER32</t>
  </si>
  <si>
    <t>MANAGER33</t>
  </si>
  <si>
    <t>MANAGER34</t>
  </si>
  <si>
    <t>MANAGER35</t>
  </si>
  <si>
    <t>MANAGER36</t>
  </si>
  <si>
    <t>MANAGER37</t>
  </si>
  <si>
    <t>MANAGER38</t>
  </si>
  <si>
    <t>MANAGER39</t>
  </si>
  <si>
    <t>MANAGER40</t>
  </si>
  <si>
    <t>MANAGER41</t>
  </si>
  <si>
    <t>MANAGER42</t>
  </si>
  <si>
    <t>MANAGER43</t>
  </si>
  <si>
    <t>MANAGER44</t>
  </si>
  <si>
    <t>MANAGER45</t>
  </si>
  <si>
    <t>MANAGER46</t>
  </si>
  <si>
    <t>MANAGER47</t>
  </si>
  <si>
    <t>MANAGER48</t>
  </si>
  <si>
    <t>MANAGER49</t>
  </si>
  <si>
    <t>MANAGER50</t>
  </si>
  <si>
    <t>MANAGER51</t>
  </si>
  <si>
    <t>MANAGER52</t>
  </si>
  <si>
    <t>MANAGER53</t>
  </si>
  <si>
    <t>MANAGER54</t>
  </si>
  <si>
    <t>MANAGER55</t>
  </si>
  <si>
    <t>MANAGER56</t>
  </si>
  <si>
    <t>MANAGER57</t>
  </si>
  <si>
    <t>MANAGER58</t>
  </si>
  <si>
    <t>MANAGER59</t>
  </si>
  <si>
    <t>MANAGER60</t>
  </si>
  <si>
    <t>MANAGER61</t>
  </si>
  <si>
    <t>MANAGER62</t>
  </si>
  <si>
    <t>MANAGER63</t>
  </si>
  <si>
    <t>MANAGER64</t>
  </si>
  <si>
    <t>MANAGER65</t>
  </si>
  <si>
    <t>MANAGER66</t>
  </si>
  <si>
    <t>MANAGER67</t>
  </si>
  <si>
    <t>MANAGER68</t>
  </si>
  <si>
    <t>MANAGER69</t>
  </si>
  <si>
    <t>MANAGER70</t>
  </si>
  <si>
    <t>MANAGER71</t>
  </si>
  <si>
    <t>MANAGER72</t>
  </si>
  <si>
    <t>MANAGER73</t>
  </si>
  <si>
    <t>MANAGER74</t>
  </si>
  <si>
    <t>MANAGER75</t>
  </si>
  <si>
    <t>MANAGER76</t>
  </si>
  <si>
    <t>MANAGER77</t>
  </si>
  <si>
    <t>MANAGER78</t>
  </si>
  <si>
    <t>MANAGER79</t>
  </si>
  <si>
    <t>MANAGER80</t>
  </si>
  <si>
    <t>MANAGER81</t>
  </si>
  <si>
    <t>MANAGER82</t>
  </si>
  <si>
    <t>MANAGER83</t>
  </si>
  <si>
    <t>MANAGER84</t>
  </si>
  <si>
    <t>MANAGER85</t>
  </si>
  <si>
    <t>MANAGER86</t>
  </si>
  <si>
    <t>MANAGER87</t>
  </si>
  <si>
    <t>MANAGER88</t>
  </si>
  <si>
    <t>MANAGER89</t>
  </si>
  <si>
    <t>MANAGER90</t>
  </si>
  <si>
    <t>MANAGER91</t>
  </si>
  <si>
    <t>MANAGER92</t>
  </si>
  <si>
    <t>MANAGER93</t>
  </si>
  <si>
    <t>MANAGER94</t>
  </si>
  <si>
    <t>MANAGER95</t>
  </si>
  <si>
    <t>MANAGER96</t>
  </si>
  <si>
    <t>MANAGER97</t>
  </si>
  <si>
    <t>MANAGER98</t>
  </si>
  <si>
    <t>MANAGER99</t>
  </si>
  <si>
    <t>MANAGER100</t>
  </si>
  <si>
    <t>MANAGER101</t>
  </si>
  <si>
    <t>MANAGER102</t>
  </si>
  <si>
    <t>MANAGER103</t>
  </si>
  <si>
    <t>MANAGER104</t>
  </si>
  <si>
    <t>MANAGER105</t>
  </si>
  <si>
    <t>MANAGER106</t>
  </si>
  <si>
    <t>MANAGER107</t>
  </si>
  <si>
    <t>MANAGER108</t>
  </si>
  <si>
    <t>MANAGER109</t>
  </si>
  <si>
    <t>MANAGER110</t>
  </si>
  <si>
    <t>MANAGER111</t>
  </si>
  <si>
    <t>MANAGER112</t>
  </si>
  <si>
    <t>MANAGER113</t>
  </si>
  <si>
    <t>MANAGER114</t>
  </si>
  <si>
    <t>MANAGER115</t>
  </si>
  <si>
    <t>MANAGER116</t>
  </si>
  <si>
    <t>MANAGER117</t>
  </si>
  <si>
    <t>MANAGER118</t>
  </si>
  <si>
    <t>MANAGER119</t>
  </si>
  <si>
    <t>MANAGER120</t>
  </si>
  <si>
    <t>MANAGER121</t>
  </si>
  <si>
    <t>MANAGER122</t>
  </si>
  <si>
    <t>MANAGER123</t>
  </si>
  <si>
    <t>MANAGER124</t>
  </si>
  <si>
    <t>MANAGER125</t>
  </si>
  <si>
    <t>MANAGER126</t>
  </si>
  <si>
    <t>MANAGER127</t>
  </si>
  <si>
    <t>MANAGER128</t>
  </si>
  <si>
    <t>MANAGER129</t>
  </si>
  <si>
    <t>MANAGER130</t>
  </si>
  <si>
    <t>MANAGER131</t>
  </si>
  <si>
    <t>MANAGER132</t>
  </si>
  <si>
    <t>MANAGER133</t>
  </si>
  <si>
    <t>POSITION1</t>
  </si>
  <si>
    <t>POSITION2</t>
  </si>
  <si>
    <t>POSITION3</t>
  </si>
  <si>
    <t>POSITION4</t>
  </si>
  <si>
    <t>POSITION5</t>
  </si>
  <si>
    <t>POSITION6</t>
  </si>
  <si>
    <t>POSITION7</t>
  </si>
  <si>
    <t>POSITION8</t>
  </si>
  <si>
    <t>POSITION9</t>
  </si>
  <si>
    <t>POSITION10</t>
  </si>
  <si>
    <t>POSITION11</t>
  </si>
  <si>
    <t>People1142</t>
  </si>
  <si>
    <t>Acompanhamento Semanal do Banco de Horas</t>
  </si>
  <si>
    <t>Contamos com você para alinhar com os líderes a programação da compensação de horas junto aos colaboradores de sua filial.</t>
  </si>
  <si>
    <t>VAMOS PRIORIZAR A REDUÇÃO DO BANCO DE HORAS</t>
  </si>
  <si>
    <t>REGION10</t>
  </si>
  <si>
    <t>REGION11</t>
  </si>
  <si>
    <t>EMAIL1@company.com</t>
  </si>
  <si>
    <t>EMAIL12@company.com</t>
  </si>
  <si>
    <t>EMAIL2@company.com</t>
  </si>
  <si>
    <t>EMAIL13@company.com</t>
  </si>
  <si>
    <t>EMAIL3@company.com</t>
  </si>
  <si>
    <t>EMAIL14@company.com</t>
  </si>
  <si>
    <t>EMAIL4@company.com</t>
  </si>
  <si>
    <t>EMAIL15@company.com</t>
  </si>
  <si>
    <t>EMAIL5@company.com</t>
  </si>
  <si>
    <t>EMAIL16@company.com</t>
  </si>
  <si>
    <t>EMAIL6@company.com</t>
  </si>
  <si>
    <t>EMAIL17@company.com</t>
  </si>
  <si>
    <t>EMAIL7@company.com</t>
  </si>
  <si>
    <t>EMAIL18@company.com</t>
  </si>
  <si>
    <t>EMAIL8@company.com</t>
  </si>
  <si>
    <t>EMAIL19@company.com</t>
  </si>
  <si>
    <t>EMAIL9@company.com</t>
  </si>
  <si>
    <t>EMAIL20@company.com</t>
  </si>
  <si>
    <t>EMAIL10@company.com</t>
  </si>
  <si>
    <t>EMAIL21@company.com</t>
  </si>
  <si>
    <t>EMAIL11@company.com</t>
  </si>
  <si>
    <t>EMAIL22@company.com</t>
  </si>
  <si>
    <t>STORE380</t>
  </si>
  <si>
    <t>REGION1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</si>
</sst>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h]:mm"/>
    <numFmt numFmtId="165" formatCode="[h]:mm:ss;@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66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EE7203"/>
        <bgColor indexed="64"/>
      </patternFill>
    </fill>
    <fill>
      <patternFill patternType="solid">
        <fgColor rgb="FF008C3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E7203"/>
        <bgColor theme="5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rgb="FF7F1810"/>
      </top>
      <bottom style="medium">
        <color rgb="FF7F1810"/>
      </bottom>
      <diagonal/>
    </border>
    <border>
      <left/>
      <right/>
      <top style="medium">
        <color rgb="FF7F181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165" fontId="2" fillId="4" borderId="1" xfId="0" applyNumberFormat="1" applyFont="1" applyFill="1" applyBorder="1" applyAlignment="1">
      <alignment horizontal="center" vertical="center" wrapText="1"/>
    </xf>
    <xf numFmtId="0" fontId="0" fillId="3" borderId="0" xfId="0" applyFill="1"/>
    <xf numFmtId="165" fontId="0" fillId="3" borderId="0" xfId="0" applyNumberFormat="1" applyFill="1" applyAlignment="1">
      <alignment horizontal="center"/>
    </xf>
    <xf numFmtId="0" fontId="0" fillId="0" borderId="0" xfId="0" applyAlignment="1">
      <alignment horizontal="right"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4" fillId="5" borderId="1" xfId="0" applyFont="1" applyFill="1" applyBorder="1"/>
    <xf numFmtId="0" fontId="7" fillId="0" borderId="0" xfId="0" applyFont="1"/>
    <xf numFmtId="0" fontId="0" fillId="0" borderId="2" xfId="0" applyBorder="1"/>
    <xf numFmtId="0" fontId="7" fillId="0" borderId="2" xfId="0" applyFont="1" applyBorder="1"/>
    <xf numFmtId="0" fontId="7" fillId="0" borderId="3" xfId="0" applyFont="1" applyBorder="1"/>
    <xf numFmtId="0" fontId="0" fillId="0" borderId="3" xfId="0" applyBorder="1"/>
    <xf numFmtId="0" fontId="0" fillId="0" borderId="0" xfId="0" applyBorder="1"/>
    <xf numFmtId="165" fontId="0" fillId="0" borderId="0" xfId="0" applyNumberFormat="1" applyBorder="1" applyAlignment="1">
      <alignment horizontal="center"/>
    </xf>
    <xf numFmtId="0" fontId="0" fillId="0" borderId="4" xfId="0" applyFill="1" applyBorder="1"/>
    <xf numFmtId="0" fontId="0" fillId="0" borderId="4" xfId="0" applyBorder="1"/>
    <xf numFmtId="165" fontId="0" fillId="0" borderId="4" xfId="0" applyNumberFormat="1" applyBorder="1" applyAlignment="1">
      <alignment horizontal="center"/>
    </xf>
    <xf numFmtId="0" fontId="7" fillId="3" borderId="5" xfId="0" applyFont="1" applyFill="1" applyBorder="1"/>
    <xf numFmtId="165" fontId="7" fillId="3" borderId="5" xfId="0" applyNumberFormat="1" applyFont="1" applyFill="1" applyBorder="1" applyAlignment="1">
      <alignment horizont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vertical="top" wrapText="1"/>
    </xf>
    <xf numFmtId="0" fontId="4" fillId="0" borderId="1" xfId="0" applyFont="1" applyBorder="1"/>
    <xf numFmtId="0" fontId="0" fillId="0" borderId="0" xfId="0" applyAlignment="1">
      <alignment vertical="center"/>
    </xf>
    <xf numFmtId="0" fontId="10" fillId="0" borderId="0" xfId="0" applyFont="1"/>
    <xf numFmtId="165" fontId="10" fillId="0" borderId="0" xfId="0" applyNumberFormat="1" applyFont="1"/>
    <xf numFmtId="165" fontId="10" fillId="0" borderId="0" xfId="0" applyNumberFormat="1" applyFont="1" applyAlignment="1">
      <alignment horizontal="center"/>
    </xf>
    <xf numFmtId="165" fontId="10" fillId="3" borderId="2" xfId="0" applyNumberFormat="1" applyFont="1" applyFill="1" applyBorder="1" applyAlignment="1">
      <alignment horizontal="center"/>
    </xf>
    <xf numFmtId="0" fontId="12" fillId="3" borderId="2" xfId="0" applyFont="1" applyFill="1" applyBorder="1"/>
    <xf numFmtId="165" fontId="12" fillId="3" borderId="2" xfId="0" applyNumberFormat="1" applyFont="1" applyFill="1" applyBorder="1" applyAlignment="1">
      <alignment horizontal="center"/>
    </xf>
    <xf numFmtId="0" fontId="10" fillId="0" borderId="2" xfId="0" applyFont="1" applyBorder="1"/>
    <xf numFmtId="165" fontId="10" fillId="0" borderId="2" xfId="0" applyNumberFormat="1" applyFont="1" applyBorder="1" applyAlignment="1">
      <alignment horizontal="center"/>
    </xf>
    <xf numFmtId="165" fontId="0" fillId="0" borderId="2" xfId="0" applyNumberFormat="1" applyBorder="1"/>
    <xf numFmtId="0" fontId="0" fillId="0" borderId="0" xfId="0" applyAlignment="1">
      <alignment horizontal="left"/>
    </xf>
    <xf numFmtId="0" fontId="10" fillId="0" borderId="8" xfId="0" applyFont="1" applyBorder="1"/>
    <xf numFmtId="165" fontId="10" fillId="0" borderId="8" xfId="0" applyNumberFormat="1" applyFont="1" applyBorder="1" applyAlignment="1">
      <alignment horizontal="center"/>
    </xf>
    <xf numFmtId="0" fontId="13" fillId="0" borderId="2" xfId="0" applyFont="1" applyBorder="1"/>
    <xf numFmtId="0" fontId="12" fillId="0" borderId="0" xfId="0" applyFont="1"/>
    <xf numFmtId="0" fontId="10" fillId="0" borderId="0" xfId="0" applyFont="1" applyAlignment="1">
      <alignment horizontal="center"/>
    </xf>
    <xf numFmtId="0" fontId="10" fillId="3" borderId="2" xfId="0" applyNumberFormat="1" applyFont="1" applyFill="1" applyBorder="1" applyAlignment="1"/>
    <xf numFmtId="0" fontId="0" fillId="0" borderId="0" xfId="0" pivotButton="1"/>
    <xf numFmtId="0" fontId="0" fillId="0" borderId="0" xfId="0" applyNumberFormat="1"/>
    <xf numFmtId="0" fontId="14" fillId="0" borderId="0" xfId="0" applyFont="1" applyFill="1"/>
    <xf numFmtId="165" fontId="10" fillId="0" borderId="0" xfId="0" applyNumberFormat="1" applyFont="1" applyFill="1"/>
    <xf numFmtId="165" fontId="10" fillId="0" borderId="0" xfId="0" applyNumberFormat="1" applyFont="1" applyFill="1" applyAlignment="1">
      <alignment horizontal="center"/>
    </xf>
    <xf numFmtId="165" fontId="15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7" fillId="0" borderId="1" xfId="0" applyFont="1" applyBorder="1" applyAlignment="1" applyProtection="1">
      <alignment horizontal="center" vertical="top"/>
      <protection locked="0"/>
    </xf>
    <xf numFmtId="164" fontId="16" fillId="0" borderId="1" xfId="0" applyNumberFormat="1" applyFont="1" applyBorder="1" applyAlignment="1">
      <alignment horizontal="center" vertical="top"/>
    </xf>
    <xf numFmtId="165" fontId="18" fillId="0" borderId="1" xfId="0" applyNumberFormat="1" applyFont="1" applyBorder="1" applyAlignment="1">
      <alignment horizontal="center"/>
    </xf>
    <xf numFmtId="0" fontId="18" fillId="0" borderId="1" xfId="0" applyFont="1" applyBorder="1"/>
    <xf numFmtId="0" fontId="18" fillId="0" borderId="1" xfId="0" applyFont="1" applyBorder="1" applyAlignment="1">
      <alignment horizontal="center"/>
    </xf>
    <xf numFmtId="0" fontId="18" fillId="0" borderId="0" xfId="0" applyFont="1"/>
    <xf numFmtId="0" fontId="17" fillId="0" borderId="1" xfId="0" applyFont="1" applyBorder="1" applyAlignment="1" applyProtection="1">
      <alignment horizontal="left" vertical="top"/>
      <protection locked="0"/>
    </xf>
    <xf numFmtId="0" fontId="16" fillId="0" borderId="1" xfId="0" applyFont="1" applyBorder="1" applyAlignment="1" applyProtection="1">
      <alignment vertical="top"/>
      <protection locked="0"/>
    </xf>
    <xf numFmtId="164" fontId="16" fillId="0" borderId="1" xfId="0" applyNumberFormat="1" applyFont="1" applyBorder="1" applyAlignment="1">
      <alignment horizontal="right" vertical="top"/>
    </xf>
    <xf numFmtId="0" fontId="16" fillId="0" borderId="1" xfId="0" applyFont="1" applyBorder="1" applyAlignment="1" applyProtection="1">
      <alignment horizontal="left" vertical="top"/>
      <protection locked="0"/>
    </xf>
    <xf numFmtId="0" fontId="8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0" xfId="0" applyFont="1" applyFill="1" applyAlignment="1">
      <alignment horizontal="center" vertical="center" wrapText="1"/>
    </xf>
    <xf numFmtId="14" fontId="11" fillId="6" borderId="6" xfId="0" applyNumberFormat="1" applyFont="1" applyFill="1" applyBorder="1" applyAlignment="1">
      <alignment horizontal="center"/>
    </xf>
    <xf numFmtId="14" fontId="11" fillId="6" borderId="7" xfId="0" applyNumberFormat="1" applyFont="1" applyFill="1" applyBorder="1" applyAlignment="1">
      <alignment horizontal="center"/>
    </xf>
    <xf numFmtId="14" fontId="11" fillId="6" borderId="3" xfId="0" applyNumberFormat="1" applyFont="1" applyFill="1" applyBorder="1" applyAlignment="1">
      <alignment horizontal="center"/>
    </xf>
    <xf numFmtId="14" fontId="11" fillId="6" borderId="2" xfId="0" applyNumberFormat="1" applyFont="1" applyFill="1" applyBorder="1" applyAlignment="1">
      <alignment horizontal="center"/>
    </xf>
    <xf numFmtId="0" fontId="16" fillId="0" borderId="1" xfId="0" applyNumberFormat="1" applyFont="1" applyBorder="1" applyAlignment="1">
      <alignment horizontal="left" vertical="top"/>
    </xf>
  </cellXfs>
  <cellStyles count="1">
    <cellStyle name="Normal" xfId="0" builtinId="0"/>
  </cellStyles>
  <dxfs count="131">
    <dxf>
      <font>
        <color rgb="FF7F1810"/>
      </font>
      <fill>
        <patternFill>
          <bgColor rgb="FF7F1810"/>
        </patternFill>
      </fill>
    </dxf>
    <dxf>
      <font>
        <color rgb="FFCBDB2A"/>
      </font>
      <fill>
        <patternFill>
          <bgColor rgb="FFCBDB2A"/>
        </patternFill>
      </fill>
    </dxf>
    <dxf>
      <border>
        <top style="thin">
          <color indexed="64"/>
        </top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rgb="FFEE7203"/>
        </patternFill>
      </fill>
    </dxf>
    <dxf>
      <fill>
        <patternFill>
          <bgColor rgb="FFEE7203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>
        <bottom style="thin">
          <color rgb="FF008C3C"/>
        </bottom>
      </border>
    </dxf>
    <dxf>
      <border>
        <bottom style="thin">
          <color rgb="FF008C3C"/>
        </bottom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numFmt numFmtId="165" formatCode="[h]:mm:ss;@"/>
    </dxf>
    <dxf>
      <numFmt numFmtId="165" formatCode="[h]:mm:ss;@"/>
    </dxf>
    <dxf>
      <border>
        <top style="thin">
          <color indexed="64"/>
        </top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rgb="FFEE7203"/>
        </patternFill>
      </fill>
    </dxf>
    <dxf>
      <fill>
        <patternFill>
          <bgColor rgb="FFEE7203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>
        <bottom style="thin">
          <color rgb="FF008C3C"/>
        </bottom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numFmt numFmtId="165" formatCode="[h]:mm:ss;@"/>
    </dxf>
    <dxf>
      <numFmt numFmtId="165" formatCode="[h]:mm:ss;@"/>
    </dxf>
    <dxf>
      <fill>
        <patternFill patternType="solid">
          <bgColor rgb="FFEE7203"/>
        </patternFill>
      </fill>
    </dxf>
    <dxf>
      <fill>
        <patternFill patternType="solid">
          <bgColor rgb="FFEE7203"/>
        </patternFill>
      </fill>
    </dxf>
    <dxf>
      <fill>
        <patternFill patternType="solid">
          <bgColor rgb="FFEE7203"/>
        </patternFill>
      </fill>
    </dxf>
    <dxf>
      <fill>
        <patternFill patternType="solid">
          <bgColor rgb="FFEE7203"/>
        </patternFill>
      </fill>
    </dxf>
    <dxf>
      <alignment horizontal="center"/>
    </dxf>
    <dxf>
      <alignment horizontal="center"/>
    </dxf>
    <dxf>
      <numFmt numFmtId="165" formatCode="[h]:mm:ss;@"/>
    </dxf>
    <dxf>
      <numFmt numFmtId="165" formatCode="[h]:mm:ss;@"/>
    </dxf>
    <dxf>
      <border>
        <top style="medium">
          <color rgb="FF7F1810"/>
        </top>
      </border>
    </dxf>
    <dxf>
      <border>
        <top style="medium">
          <color rgb="FF7F1810"/>
        </top>
      </border>
    </dxf>
    <dxf>
      <border>
        <top style="medium">
          <color rgb="FF7F1810"/>
        </top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border>
        <top style="medium">
          <color rgb="FF7F1810"/>
        </top>
        <bottom style="medium">
          <color rgb="FF7F1810"/>
        </bottom>
        <horizontal style="medium">
          <color rgb="FF7F1810"/>
        </horizontal>
      </border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EE7203"/>
        </patternFill>
      </fill>
    </dxf>
    <dxf>
      <fill>
        <patternFill patternType="solid">
          <bgColor rgb="FFEE7203"/>
        </patternFill>
      </fill>
    </dxf>
    <dxf>
      <fill>
        <patternFill patternType="solid">
          <bgColor rgb="FFEE7203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auto="1"/>
        </patternFill>
      </fill>
    </dxf>
    <dxf>
      <alignment horizontal="center"/>
    </dxf>
    <dxf>
      <alignment horizontal="center"/>
    </dxf>
    <dxf>
      <numFmt numFmtId="165" formatCode="[h]:mm:ss;@"/>
    </dxf>
    <dxf>
      <numFmt numFmtId="165" formatCode="[h]:mm:ss;@"/>
    </dxf>
    <dxf>
      <fill>
        <patternFill>
          <bgColor rgb="FFEE7203"/>
        </patternFill>
      </fill>
      <border>
        <bottom/>
      </border>
    </dxf>
    <dxf>
      <fill>
        <patternFill>
          <bgColor rgb="FFFFB469"/>
        </patternFill>
      </fill>
    </dxf>
    <dxf>
      <fill>
        <patternFill>
          <bgColor rgb="FFFFFFFF"/>
        </patternFill>
      </fill>
    </dxf>
    <dxf>
      <fill>
        <patternFill>
          <bgColor rgb="FFEE7203"/>
        </patternFill>
      </fill>
      <border>
        <top style="thick">
          <color rgb="FFD4310F"/>
        </top>
      </border>
    </dxf>
  </dxfs>
  <tableStyles count="2" defaultTableStyle="TableStyleMedium2" defaultPivotStyle="PivotStyleLight16">
    <tableStyle name="Estilo de Tabela Dinâmica 1" table="0" count="4" xr9:uid="{00000000-0011-0000-FFFF-FFFF00000000}">
      <tableStyleElement type="headerRow" dxfId="130"/>
      <tableStyleElement type="firstRowStripe" dxfId="129"/>
      <tableStyleElement type="secondRowStripe" dxfId="128"/>
      <tableStyleElement type="firstSubtotalRow" dxfId="127"/>
    </tableStyle>
    <tableStyle name="Invisible" pivot="0" table="0" count="0" xr9:uid="{233B69F2-3B96-43B5-87E8-C06A1D4DAB9F}"/>
  </tableStyles>
  <colors>
    <mruColors>
      <color rgb="FFEE7203"/>
      <color rgb="FF7F1810"/>
      <color rgb="FF008C3C"/>
      <color rgb="FFCBDB2A"/>
      <color rgb="FFFFB469"/>
      <color rgb="FFFFFFFF"/>
      <color rgb="FFD431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[BANCO_DE_HORAS.xlsm]Email_Regional_Tabela!TabelaRegionais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EE7203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rgbClr val="008C3C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8C3C"/>
          </a:solidFill>
          <a:ln>
            <a:noFill/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c:spPr>
      </c:pivotFmt>
      <c:pivotFmt>
        <c:idx val="11"/>
        <c:spPr>
          <a:solidFill>
            <a:srgbClr val="EE7203"/>
          </a:solidFill>
          <a:ln>
            <a:noFill/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D4310F"/>
          </a:solidFill>
          <a:ln>
            <a:noFill/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Email_Regional_Tabela!$E$13</c:f>
              <c:strCache>
                <c:ptCount val="1"/>
                <c:pt idx="0">
                  <c:v>POSITIVO</c:v>
                </c:pt>
              </c:strCache>
            </c:strRef>
          </c:tx>
          <c:spPr>
            <a:solidFill>
              <a:srgbClr val="EE7203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multiLvlStrRef>
              <c:f>Email_Regional_Tabela!$C$14:$D$46</c:f>
              <c:multiLvlStrCache>
                <c:ptCount val="32"/>
                <c:lvl>
                  <c:pt idx="0">
                    <c:v>STORE6</c:v>
                  </c:pt>
                  <c:pt idx="1">
                    <c:v>STORE17</c:v>
                  </c:pt>
                  <c:pt idx="2">
                    <c:v>STORE15</c:v>
                  </c:pt>
                  <c:pt idx="3">
                    <c:v>STORE14</c:v>
                  </c:pt>
                  <c:pt idx="4">
                    <c:v>STORE4</c:v>
                  </c:pt>
                  <c:pt idx="5">
                    <c:v>STORE28</c:v>
                  </c:pt>
                  <c:pt idx="6">
                    <c:v>STORE18</c:v>
                  </c:pt>
                  <c:pt idx="7">
                    <c:v>STORE5</c:v>
                  </c:pt>
                  <c:pt idx="8">
                    <c:v>STORE29</c:v>
                  </c:pt>
                  <c:pt idx="9">
                    <c:v>STORE27</c:v>
                  </c:pt>
                  <c:pt idx="10">
                    <c:v>STORE7</c:v>
                  </c:pt>
                  <c:pt idx="11">
                    <c:v>STORE3</c:v>
                  </c:pt>
                  <c:pt idx="12">
                    <c:v>STORE25</c:v>
                  </c:pt>
                  <c:pt idx="13">
                    <c:v>STORE1</c:v>
                  </c:pt>
                  <c:pt idx="14">
                    <c:v>STORE21</c:v>
                  </c:pt>
                  <c:pt idx="15">
                    <c:v>STORE10</c:v>
                  </c:pt>
                  <c:pt idx="16">
                    <c:v>STORE23</c:v>
                  </c:pt>
                  <c:pt idx="17">
                    <c:v>STORE30</c:v>
                  </c:pt>
                  <c:pt idx="18">
                    <c:v>STORE9</c:v>
                  </c:pt>
                  <c:pt idx="19">
                    <c:v>STORE31</c:v>
                  </c:pt>
                  <c:pt idx="20">
                    <c:v>STORE32</c:v>
                  </c:pt>
                  <c:pt idx="21">
                    <c:v>STORE2</c:v>
                  </c:pt>
                  <c:pt idx="22">
                    <c:v>STORE12</c:v>
                  </c:pt>
                  <c:pt idx="23">
                    <c:v>STORE22</c:v>
                  </c:pt>
                  <c:pt idx="24">
                    <c:v>STORE8</c:v>
                  </c:pt>
                  <c:pt idx="25">
                    <c:v>STORE13</c:v>
                  </c:pt>
                  <c:pt idx="26">
                    <c:v>STORE20</c:v>
                  </c:pt>
                  <c:pt idx="27">
                    <c:v>STORE19</c:v>
                  </c:pt>
                  <c:pt idx="28">
                    <c:v>STORE11</c:v>
                  </c:pt>
                  <c:pt idx="29">
                    <c:v>STORE26</c:v>
                  </c:pt>
                  <c:pt idx="30">
                    <c:v>STORE24</c:v>
                  </c:pt>
                  <c:pt idx="31">
                    <c:v>STORE16</c:v>
                  </c:pt>
                </c:lvl>
                <c:lvl>
                  <c:pt idx="0">
                    <c:v>REGION1</c:v>
                  </c:pt>
                </c:lvl>
              </c:multiLvlStrCache>
            </c:multiLvlStrRef>
          </c:cat>
          <c:val>
            <c:numRef>
              <c:f>Email_Regional_Tabela!$E$14:$E$46</c:f>
              <c:numCache>
                <c:formatCode>[h]:mm:ss;@</c:formatCode>
                <c:ptCount val="32"/>
                <c:pt idx="0">
                  <c:v>6.5833333333333339</c:v>
                </c:pt>
                <c:pt idx="1">
                  <c:v>3.4854166666666662</c:v>
                </c:pt>
                <c:pt idx="2">
                  <c:v>3.4472222222222224</c:v>
                </c:pt>
                <c:pt idx="3">
                  <c:v>1.2104166666666667</c:v>
                </c:pt>
                <c:pt idx="4">
                  <c:v>0.9951388888888888</c:v>
                </c:pt>
                <c:pt idx="5">
                  <c:v>0.87847222222222221</c:v>
                </c:pt>
                <c:pt idx="6">
                  <c:v>0.79652777777777783</c:v>
                </c:pt>
                <c:pt idx="7">
                  <c:v>0.78194444444444444</c:v>
                </c:pt>
                <c:pt idx="8">
                  <c:v>0.70277777777777783</c:v>
                </c:pt>
                <c:pt idx="9">
                  <c:v>0.64513888888888882</c:v>
                </c:pt>
                <c:pt idx="10">
                  <c:v>0.58194444444444449</c:v>
                </c:pt>
                <c:pt idx="11">
                  <c:v>0.3041666666666667</c:v>
                </c:pt>
                <c:pt idx="12">
                  <c:v>0.21527777777777776</c:v>
                </c:pt>
                <c:pt idx="13">
                  <c:v>0.20138888888888887</c:v>
                </c:pt>
                <c:pt idx="14">
                  <c:v>0.18194444444444444</c:v>
                </c:pt>
                <c:pt idx="15">
                  <c:v>0.17777777777777778</c:v>
                </c:pt>
                <c:pt idx="16">
                  <c:v>9.5138888888888884E-2</c:v>
                </c:pt>
                <c:pt idx="17">
                  <c:v>8.819444444444445E-2</c:v>
                </c:pt>
                <c:pt idx="18">
                  <c:v>6.8749999999999992E-2</c:v>
                </c:pt>
                <c:pt idx="19">
                  <c:v>1.5972222222222224E-2</c:v>
                </c:pt>
                <c:pt idx="20">
                  <c:v>1.3194444444444444E-2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E4-483E-A2B9-093B1FA09A2D}"/>
            </c:ext>
          </c:extLst>
        </c:ser>
        <c:ser>
          <c:idx val="1"/>
          <c:order val="1"/>
          <c:tx>
            <c:strRef>
              <c:f>Email_Regional_Tabela!$F$13</c:f>
              <c:strCache>
                <c:ptCount val="1"/>
                <c:pt idx="0">
                  <c:v>NEGATIVO</c:v>
                </c:pt>
              </c:strCache>
            </c:strRef>
          </c:tx>
          <c:spPr>
            <a:solidFill>
              <a:srgbClr val="D4310F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multiLvlStrRef>
              <c:f>Email_Regional_Tabela!$C$14:$D$46</c:f>
              <c:multiLvlStrCache>
                <c:ptCount val="32"/>
                <c:lvl>
                  <c:pt idx="0">
                    <c:v>STORE6</c:v>
                  </c:pt>
                  <c:pt idx="1">
                    <c:v>STORE17</c:v>
                  </c:pt>
                  <c:pt idx="2">
                    <c:v>STORE15</c:v>
                  </c:pt>
                  <c:pt idx="3">
                    <c:v>STORE14</c:v>
                  </c:pt>
                  <c:pt idx="4">
                    <c:v>STORE4</c:v>
                  </c:pt>
                  <c:pt idx="5">
                    <c:v>STORE28</c:v>
                  </c:pt>
                  <c:pt idx="6">
                    <c:v>STORE18</c:v>
                  </c:pt>
                  <c:pt idx="7">
                    <c:v>STORE5</c:v>
                  </c:pt>
                  <c:pt idx="8">
                    <c:v>STORE29</c:v>
                  </c:pt>
                  <c:pt idx="9">
                    <c:v>STORE27</c:v>
                  </c:pt>
                  <c:pt idx="10">
                    <c:v>STORE7</c:v>
                  </c:pt>
                  <c:pt idx="11">
                    <c:v>STORE3</c:v>
                  </c:pt>
                  <c:pt idx="12">
                    <c:v>STORE25</c:v>
                  </c:pt>
                  <c:pt idx="13">
                    <c:v>STORE1</c:v>
                  </c:pt>
                  <c:pt idx="14">
                    <c:v>STORE21</c:v>
                  </c:pt>
                  <c:pt idx="15">
                    <c:v>STORE10</c:v>
                  </c:pt>
                  <c:pt idx="16">
                    <c:v>STORE23</c:v>
                  </c:pt>
                  <c:pt idx="17">
                    <c:v>STORE30</c:v>
                  </c:pt>
                  <c:pt idx="18">
                    <c:v>STORE9</c:v>
                  </c:pt>
                  <c:pt idx="19">
                    <c:v>STORE31</c:v>
                  </c:pt>
                  <c:pt idx="20">
                    <c:v>STORE32</c:v>
                  </c:pt>
                  <c:pt idx="21">
                    <c:v>STORE2</c:v>
                  </c:pt>
                  <c:pt idx="22">
                    <c:v>STORE12</c:v>
                  </c:pt>
                  <c:pt idx="23">
                    <c:v>STORE22</c:v>
                  </c:pt>
                  <c:pt idx="24">
                    <c:v>STORE8</c:v>
                  </c:pt>
                  <c:pt idx="25">
                    <c:v>STORE13</c:v>
                  </c:pt>
                  <c:pt idx="26">
                    <c:v>STORE20</c:v>
                  </c:pt>
                  <c:pt idx="27">
                    <c:v>STORE19</c:v>
                  </c:pt>
                  <c:pt idx="28">
                    <c:v>STORE11</c:v>
                  </c:pt>
                  <c:pt idx="29">
                    <c:v>STORE26</c:v>
                  </c:pt>
                  <c:pt idx="30">
                    <c:v>STORE24</c:v>
                  </c:pt>
                  <c:pt idx="31">
                    <c:v>STORE16</c:v>
                  </c:pt>
                </c:lvl>
                <c:lvl>
                  <c:pt idx="0">
                    <c:v>REGION1</c:v>
                  </c:pt>
                </c:lvl>
              </c:multiLvlStrCache>
            </c:multiLvlStrRef>
          </c:cat>
          <c:val>
            <c:numRef>
              <c:f>Email_Regional_Tabela!$F$14:$F$46</c:f>
              <c:numCache>
                <c:formatCode>[h]:mm:ss;@</c:formatCode>
                <c:ptCount val="32"/>
                <c:pt idx="0">
                  <c:v>0.85138888888888886</c:v>
                </c:pt>
                <c:pt idx="1">
                  <c:v>5.9506944444444443</c:v>
                </c:pt>
                <c:pt idx="2">
                  <c:v>16.947916666666664</c:v>
                </c:pt>
                <c:pt idx="3">
                  <c:v>17.083333333333332</c:v>
                </c:pt>
                <c:pt idx="4">
                  <c:v>6.0048611111111114</c:v>
                </c:pt>
                <c:pt idx="6">
                  <c:v>12.043055555555554</c:v>
                </c:pt>
                <c:pt idx="7">
                  <c:v>0.88124999999999998</c:v>
                </c:pt>
                <c:pt idx="9">
                  <c:v>29</c:v>
                </c:pt>
                <c:pt idx="10">
                  <c:v>40.737500000000004</c:v>
                </c:pt>
                <c:pt idx="11">
                  <c:v>11.165972222222223</c:v>
                </c:pt>
                <c:pt idx="12">
                  <c:v>1.963888888888889</c:v>
                </c:pt>
                <c:pt idx="13">
                  <c:v>0.18333333333333332</c:v>
                </c:pt>
                <c:pt idx="14">
                  <c:v>10.877777777777778</c:v>
                </c:pt>
                <c:pt idx="15">
                  <c:v>2.0763888888888888</c:v>
                </c:pt>
                <c:pt idx="16">
                  <c:v>0.69236111111111109</c:v>
                </c:pt>
                <c:pt idx="18">
                  <c:v>15.38125</c:v>
                </c:pt>
                <c:pt idx="21">
                  <c:v>0.88611111111111107</c:v>
                </c:pt>
                <c:pt idx="22">
                  <c:v>1.6625000000000001</c:v>
                </c:pt>
                <c:pt idx="23">
                  <c:v>23.46736111111111</c:v>
                </c:pt>
                <c:pt idx="24">
                  <c:v>0.23958333333333331</c:v>
                </c:pt>
                <c:pt idx="25">
                  <c:v>22.151388888888889</c:v>
                </c:pt>
                <c:pt idx="26">
                  <c:v>2.5902777777777777</c:v>
                </c:pt>
                <c:pt idx="27">
                  <c:v>24.2</c:v>
                </c:pt>
                <c:pt idx="28">
                  <c:v>5.5013888888888882</c:v>
                </c:pt>
                <c:pt idx="29">
                  <c:v>0.3666666666666667</c:v>
                </c:pt>
                <c:pt idx="30">
                  <c:v>1.2923611111111111</c:v>
                </c:pt>
                <c:pt idx="31">
                  <c:v>20.680555555555557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E4-483E-A2B9-093B1FA09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2045981792"/>
        <c:axId val="2045972224"/>
      </c:barChart>
      <c:catAx>
        <c:axId val="20459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5972224"/>
        <c:crosses val="autoZero"/>
        <c:auto val="1"/>
        <c:lblAlgn val="ctr"/>
        <c:lblOffset val="100"/>
        <c:noMultiLvlLbl val="0"/>
      </c:catAx>
      <c:valAx>
        <c:axId val="20459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598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7F181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[BANCO_DE_HORAS.xlsm]TD ATACADO!Tabela dinâmica3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EE7203"/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baseline="0">
                <a:solidFill>
                  <a:srgbClr val="EE7203"/>
                </a:solidFill>
                <a:effectLst/>
              </a:rPr>
              <a:t>BANCO DE HORAS _ SN ATA</a:t>
            </a:r>
            <a:endParaRPr lang="pt-BR" sz="1400">
              <a:solidFill>
                <a:srgbClr val="EE7203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EE7203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C3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EE72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ATACADO'!$D$3</c:f>
              <c:strCache>
                <c:ptCount val="1"/>
                <c:pt idx="0">
                  <c:v>POSITIVO</c:v>
                </c:pt>
              </c:strCache>
            </c:strRef>
          </c:tx>
          <c:spPr>
            <a:solidFill>
              <a:srgbClr val="008C3C"/>
            </a:solidFill>
            <a:ln>
              <a:noFill/>
            </a:ln>
            <a:effectLst/>
          </c:spPr>
          <c:invertIfNegative val="0"/>
          <c:cat>
            <c:multiLvlStrRef>
              <c:f>'TD ATACADO'!$A$4:$C$9</c:f>
              <c:multiLvlStrCache>
                <c:ptCount val="5"/>
                <c:lvl>
                  <c:pt idx="0">
                    <c:v>LJASI</c:v>
                  </c:pt>
                  <c:pt idx="1">
                    <c:v>LJASO</c:v>
                  </c:pt>
                  <c:pt idx="2">
                    <c:v>LJGRJ</c:v>
                  </c:pt>
                  <c:pt idx="3">
                    <c:v>LJSPA</c:v>
                  </c:pt>
                  <c:pt idx="4">
                    <c:v>LJAND</c:v>
                  </c:pt>
                </c:lvl>
                <c:lvl>
                  <c:pt idx="0">
                    <c:v>EXECUTIVO DE VENDAS I</c:v>
                  </c:pt>
                  <c:pt idx="1">
                    <c:v>EXECUTIVO DE VENDAS I</c:v>
                  </c:pt>
                  <c:pt idx="2">
                    <c:v>AUX. MOVIMENTACAO DE FROTA</c:v>
                  </c:pt>
                  <c:pt idx="3">
                    <c:v>AUX. MOVIMENTACAO DE FROTA</c:v>
                  </c:pt>
                  <c:pt idx="4">
                    <c:v>EXECUTIVO DE VENDAS I</c:v>
                  </c:pt>
                </c:lvl>
                <c:lvl>
                  <c:pt idx="0">
                    <c:v>LJASI</c:v>
                  </c:pt>
                  <c:pt idx="1">
                    <c:v>LJASO</c:v>
                  </c:pt>
                  <c:pt idx="2">
                    <c:v>LJGRJ</c:v>
                  </c:pt>
                  <c:pt idx="3">
                    <c:v>LJSPA</c:v>
                  </c:pt>
                  <c:pt idx="4">
                    <c:v>RSCDN</c:v>
                  </c:pt>
                </c:lvl>
              </c:multiLvlStrCache>
            </c:multiLvlStrRef>
          </c:cat>
          <c:val>
            <c:numRef>
              <c:f>'TD ATACADO'!$D$4:$D$9</c:f>
              <c:numCache>
                <c:formatCode>[h]:mm:ss;@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66-4AC4-9D21-824F66E8C05A}"/>
            </c:ext>
          </c:extLst>
        </c:ser>
        <c:ser>
          <c:idx val="1"/>
          <c:order val="1"/>
          <c:tx>
            <c:strRef>
              <c:f>'TD ATACADO'!$E$3</c:f>
              <c:strCache>
                <c:ptCount val="1"/>
                <c:pt idx="0">
                  <c:v>NEGATIVO</c:v>
                </c:pt>
              </c:strCache>
            </c:strRef>
          </c:tx>
          <c:spPr>
            <a:solidFill>
              <a:srgbClr val="EE7203"/>
            </a:solidFill>
            <a:ln>
              <a:noFill/>
            </a:ln>
            <a:effectLst/>
          </c:spPr>
          <c:invertIfNegative val="0"/>
          <c:cat>
            <c:multiLvlStrRef>
              <c:f>'TD ATACADO'!$A$4:$C$9</c:f>
              <c:multiLvlStrCache>
                <c:ptCount val="5"/>
                <c:lvl>
                  <c:pt idx="0">
                    <c:v>LJASI</c:v>
                  </c:pt>
                  <c:pt idx="1">
                    <c:v>LJASO</c:v>
                  </c:pt>
                  <c:pt idx="2">
                    <c:v>LJGRJ</c:v>
                  </c:pt>
                  <c:pt idx="3">
                    <c:v>LJSPA</c:v>
                  </c:pt>
                  <c:pt idx="4">
                    <c:v>LJAND</c:v>
                  </c:pt>
                </c:lvl>
                <c:lvl>
                  <c:pt idx="0">
                    <c:v>EXECUTIVO DE VENDAS I</c:v>
                  </c:pt>
                  <c:pt idx="1">
                    <c:v>EXECUTIVO DE VENDAS I</c:v>
                  </c:pt>
                  <c:pt idx="2">
                    <c:v>AUX. MOVIMENTACAO DE FROTA</c:v>
                  </c:pt>
                  <c:pt idx="3">
                    <c:v>AUX. MOVIMENTACAO DE FROTA</c:v>
                  </c:pt>
                  <c:pt idx="4">
                    <c:v>EXECUTIVO DE VENDAS I</c:v>
                  </c:pt>
                </c:lvl>
                <c:lvl>
                  <c:pt idx="0">
                    <c:v>LJASI</c:v>
                  </c:pt>
                  <c:pt idx="1">
                    <c:v>LJASO</c:v>
                  </c:pt>
                  <c:pt idx="2">
                    <c:v>LJGRJ</c:v>
                  </c:pt>
                  <c:pt idx="3">
                    <c:v>LJSPA</c:v>
                  </c:pt>
                  <c:pt idx="4">
                    <c:v>RSCDN</c:v>
                  </c:pt>
                </c:lvl>
              </c:multiLvlStrCache>
            </c:multiLvlStrRef>
          </c:cat>
          <c:val>
            <c:numRef>
              <c:f>'TD ATACADO'!$E$4:$E$9</c:f>
              <c:numCache>
                <c:formatCode>[h]:mm:ss;@</c:formatCode>
                <c:ptCount val="5"/>
                <c:pt idx="0">
                  <c:v>0</c:v>
                </c:pt>
                <c:pt idx="1">
                  <c:v>24.200000000000003</c:v>
                </c:pt>
                <c:pt idx="2">
                  <c:v>10.171527777777778</c:v>
                </c:pt>
                <c:pt idx="3">
                  <c:v>5.6534722222222218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66-4AC4-9D21-824F66E8C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3973280"/>
        <c:axId val="1273080336"/>
      </c:barChart>
      <c:catAx>
        <c:axId val="187397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080336"/>
        <c:crosses val="autoZero"/>
        <c:auto val="1"/>
        <c:lblAlgn val="ctr"/>
        <c:lblOffset val="100"/>
        <c:noMultiLvlLbl val="0"/>
      </c:catAx>
      <c:valAx>
        <c:axId val="127308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397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[BANCO_DE_HORAS.xlsm]EVOLUÇÃO REGIONAL!Tabela dinâmica3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8C3C"/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rgbClr val="EE7203"/>
                </a:solidFill>
              </a:rPr>
              <a:t>BANCO</a:t>
            </a:r>
            <a:r>
              <a:rPr lang="pt-BR" sz="1400" b="1" baseline="0">
                <a:solidFill>
                  <a:srgbClr val="EE7203"/>
                </a:solidFill>
              </a:rPr>
              <a:t> DE HORAS_SN REGIONAIS_26/10/2020</a:t>
            </a:r>
            <a:endParaRPr lang="pt-BR" sz="1400" b="1">
              <a:solidFill>
                <a:srgbClr val="EE7203"/>
              </a:solidFill>
            </a:endParaRPr>
          </a:p>
        </c:rich>
      </c:tx>
      <c:layout>
        <c:manualLayout>
          <c:xMode val="edge"/>
          <c:yMode val="edge"/>
          <c:x val="0.26859983297748702"/>
          <c:y val="7.74144540353281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8C3C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E7203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7F181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EE7203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7F181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7.3770526322209616E-3"/>
              <c:y val="-2.9456216783839206E-2"/>
            </c:manualLayout>
          </c:layout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1.4728108391919603E-2"/>
            </c:manualLayout>
          </c:layout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EE7203"/>
          </a:solidFill>
          <a:ln>
            <a:noFill/>
          </a:ln>
          <a:effectLst/>
        </c:spPr>
        <c:dLbl>
          <c:idx val="0"/>
          <c:layout>
            <c:manualLayout>
              <c:x val="-1.8442631580553081E-3"/>
              <c:y val="0"/>
            </c:manualLayout>
          </c:layout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3.4683954225676931E-2"/>
              <c:y val="-0.11414284003737693"/>
            </c:manualLayout>
          </c:layout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1.1561318075225643E-2"/>
              <c:y val="-0.1251889213313167"/>
            </c:manualLayout>
          </c:layout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EE7203"/>
          </a:solidFill>
          <a:ln>
            <a:noFill/>
          </a:ln>
          <a:effectLst/>
        </c:spPr>
        <c:dLbl>
          <c:idx val="0"/>
          <c:layout>
            <c:manualLayout>
              <c:x val="9.6344317293547022E-3"/>
              <c:y val="-3.6820270979799008E-2"/>
            </c:manualLayout>
          </c:layout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5.7806590376127511E-3"/>
              <c:y val="-0.14728108391919609"/>
            </c:manualLayout>
          </c:layout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EE7203"/>
          </a:solidFill>
          <a:ln>
            <a:noFill/>
          </a:ln>
          <a:effectLst/>
        </c:spPr>
        <c:dLbl>
          <c:idx val="0"/>
          <c:layout>
            <c:manualLayout>
              <c:x val="5.7806590376127511E-3"/>
              <c:y val="-0.11782486713535689"/>
            </c:manualLayout>
          </c:layout>
          <c:numFmt formatCode="[h]:mm:ss;@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'EVOLUÇÃO REGIONAL'!$H$4</c:f>
              <c:strCache>
                <c:ptCount val="1"/>
                <c:pt idx="0">
                  <c:v>POSITIVO</c:v>
                </c:pt>
              </c:strCache>
            </c:strRef>
          </c:tx>
          <c:spPr>
            <a:solidFill>
              <a:srgbClr val="EE7203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33D-4855-92A6-EEE0D2FDA02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5F36-4FBE-822F-99820FED42F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33D-4855-92A6-EEE0D2FDA020}"/>
              </c:ext>
            </c:extLst>
          </c:dPt>
          <c:dLbls>
            <c:numFmt formatCode="[h]:mm:ss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'EVOLUÇÃO REGIONAL'!$G$5:$G$14</c:f>
              <c:strCache>
                <c:ptCount val="9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  <c:pt idx="4">
                  <c:v>REGION5</c:v>
                </c:pt>
                <c:pt idx="5">
                  <c:v>REGION6</c:v>
                </c:pt>
                <c:pt idx="6">
                  <c:v>REGION7</c:v>
                </c:pt>
                <c:pt idx="7">
                  <c:v>REGION8</c:v>
                </c:pt>
                <c:pt idx="8">
                  <c:v>REGION9</c:v>
                </c:pt>
              </c:strCache>
            </c:strRef>
          </c:cat>
          <c:val>
            <c:numRef>
              <c:f>'EVOLUÇÃO REGIONAL'!$H$5:$H$14</c:f>
              <c:numCache>
                <c:formatCode>[h]:mm:ss;@</c:formatCode>
                <c:ptCount val="9"/>
                <c:pt idx="0">
                  <c:v>22.591666666666669</c:v>
                </c:pt>
                <c:pt idx="1">
                  <c:v>37.073611111111113</c:v>
                </c:pt>
                <c:pt idx="2">
                  <c:v>32.225694444444443</c:v>
                </c:pt>
                <c:pt idx="3">
                  <c:v>59.859027777777762</c:v>
                </c:pt>
                <c:pt idx="4">
                  <c:v>59.674305555555556</c:v>
                </c:pt>
                <c:pt idx="5">
                  <c:v>85.074305555555569</c:v>
                </c:pt>
                <c:pt idx="6">
                  <c:v>30.388194444444437</c:v>
                </c:pt>
                <c:pt idx="7">
                  <c:v>95.767361111111114</c:v>
                </c:pt>
                <c:pt idx="8">
                  <c:v>42.42638888888888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B-4D9C-8B8A-668D7269771E}"/>
            </c:ext>
          </c:extLst>
        </c:ser>
        <c:ser>
          <c:idx val="1"/>
          <c:order val="1"/>
          <c:tx>
            <c:strRef>
              <c:f>'EVOLUÇÃO REGIONAL'!$I$4</c:f>
              <c:strCache>
                <c:ptCount val="1"/>
                <c:pt idx="0">
                  <c:v>NEGATIVO</c:v>
                </c:pt>
              </c:strCache>
            </c:strRef>
          </c:tx>
          <c:spPr>
            <a:solidFill>
              <a:srgbClr val="7F181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F36-4FBE-822F-99820FED42F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F36-4FBE-822F-99820FED42F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33D-4855-92A6-EEE0D2FDA020}"/>
              </c:ext>
            </c:extLst>
          </c:dPt>
          <c:dLbls>
            <c:numFmt formatCode="[h]:mm:ss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'EVOLUÇÃO REGIONAL'!$G$5:$G$14</c:f>
              <c:strCache>
                <c:ptCount val="9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  <c:pt idx="4">
                  <c:v>REGION5</c:v>
                </c:pt>
                <c:pt idx="5">
                  <c:v>REGION6</c:v>
                </c:pt>
                <c:pt idx="6">
                  <c:v>REGION7</c:v>
                </c:pt>
                <c:pt idx="7">
                  <c:v>REGION8</c:v>
                </c:pt>
                <c:pt idx="8">
                  <c:v>REGION9</c:v>
                </c:pt>
              </c:strCache>
            </c:strRef>
          </c:cat>
          <c:val>
            <c:numRef>
              <c:f>'EVOLUÇÃO REGIONAL'!$I$5:$I$14</c:f>
              <c:numCache>
                <c:formatCode>[h]:mm:ss;@</c:formatCode>
                <c:ptCount val="9"/>
                <c:pt idx="0">
                  <c:v>270.95069444444442</c:v>
                </c:pt>
                <c:pt idx="1">
                  <c:v>85.805555555555529</c:v>
                </c:pt>
                <c:pt idx="2">
                  <c:v>58.489583333333357</c:v>
                </c:pt>
                <c:pt idx="3">
                  <c:v>87.959722222222226</c:v>
                </c:pt>
                <c:pt idx="4">
                  <c:v>354.58125000000001</c:v>
                </c:pt>
                <c:pt idx="5">
                  <c:v>109.54930555555555</c:v>
                </c:pt>
                <c:pt idx="6">
                  <c:v>142.28055555555551</c:v>
                </c:pt>
                <c:pt idx="7">
                  <c:v>145.20694444444442</c:v>
                </c:pt>
                <c:pt idx="8">
                  <c:v>266.00138888888887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B-4D9C-8B8A-668D726977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40171936"/>
        <c:axId val="1276238400"/>
      </c:barChart>
      <c:catAx>
        <c:axId val="8401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6238400"/>
        <c:crosses val="autoZero"/>
        <c:auto val="1"/>
        <c:lblAlgn val="ctr"/>
        <c:lblOffset val="100"/>
        <c:noMultiLvlLbl val="0"/>
      </c:catAx>
      <c:valAx>
        <c:axId val="1276238400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8401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[BANCO_DE_HORAS.xlsm]EVOLUÇÃO REGIONAL!Tabela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Colaborador / Regional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EE72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E72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'EVOLUÇÃO REGIONAL'!$X$4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E720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'EVOLUÇÃO REGIONAL'!$W$5:$W$14</c:f>
              <c:strCache>
                <c:ptCount val="9"/>
                <c:pt idx="0">
                  <c:v>RSSUL</c:v>
                </c:pt>
                <c:pt idx="1">
                  <c:v>RSSAO</c:v>
                </c:pt>
                <c:pt idx="2">
                  <c:v>RSRIO</c:v>
                </c:pt>
                <c:pt idx="3">
                  <c:v>RSSPI</c:v>
                </c:pt>
                <c:pt idx="4">
                  <c:v>RSNOR</c:v>
                </c:pt>
                <c:pt idx="5">
                  <c:v>RSNDE</c:v>
                </c:pt>
                <c:pt idx="6">
                  <c:v>RSGSP</c:v>
                </c:pt>
                <c:pt idx="7">
                  <c:v>RSCEN</c:v>
                </c:pt>
                <c:pt idx="8">
                  <c:v>RSCOE</c:v>
                </c:pt>
              </c:strCache>
            </c:strRef>
          </c:cat>
          <c:val>
            <c:numRef>
              <c:f>'EVOLUÇÃO REGIONAL'!$X$5:$X$14</c:f>
              <c:numCache>
                <c:formatCode>General</c:formatCode>
                <c:ptCount val="9"/>
                <c:pt idx="0">
                  <c:v>138</c:v>
                </c:pt>
                <c:pt idx="1">
                  <c:v>136</c:v>
                </c:pt>
                <c:pt idx="2">
                  <c:v>118</c:v>
                </c:pt>
                <c:pt idx="3">
                  <c:v>116</c:v>
                </c:pt>
                <c:pt idx="4">
                  <c:v>107</c:v>
                </c:pt>
                <c:pt idx="5">
                  <c:v>105</c:v>
                </c:pt>
                <c:pt idx="6">
                  <c:v>105</c:v>
                </c:pt>
                <c:pt idx="7">
                  <c:v>89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8-42FD-BB7C-A1B4CABF3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8679535"/>
        <c:axId val="877819311"/>
      </c:barChart>
      <c:catAx>
        <c:axId val="18686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7819311"/>
        <c:crosses val="autoZero"/>
        <c:auto val="1"/>
        <c:lblAlgn val="ctr"/>
        <c:lblOffset val="100"/>
        <c:noMultiLvlLbl val="0"/>
      </c:catAx>
      <c:valAx>
        <c:axId val="87781931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686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[BANCO_DE_HORAS.xlsm]EVOLUÇÃO REGIONAL!Tabela dinâmica4</c:name>
    <c:fmtId val="5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baseline="0">
                <a:solidFill>
                  <a:srgbClr val="EE7203"/>
                </a:solidFill>
                <a:effectLst/>
              </a:rPr>
              <a:t>BANCO DE HORAS_SN REGIONAIS_03/11/2020</a:t>
            </a:r>
            <a:endParaRPr lang="pt-BR" sz="1050">
              <a:solidFill>
                <a:srgbClr val="EE7203"/>
              </a:solidFill>
              <a:effectLst/>
            </a:endParaRPr>
          </a:p>
        </c:rich>
      </c:tx>
      <c:layout>
        <c:manualLayout>
          <c:xMode val="edge"/>
          <c:yMode val="edge"/>
          <c:x val="0.26740053270504044"/>
          <c:y val="7.2828746230633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EE72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F181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E72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7F181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5.3890162513493762E-3"/>
              <c:y val="-3.68663487452088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E7203"/>
          </a:solidFill>
          <a:ln>
            <a:noFill/>
          </a:ln>
          <a:effectLst/>
        </c:spPr>
        <c:dLbl>
          <c:idx val="0"/>
          <c:layout>
            <c:manualLayout>
              <c:x val="-3.2932496652567947E-17"/>
              <c:y val="-1.8433174372604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2.2285094587703835E-2"/>
              <c:y val="-9.95391416120638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-3.4603015156870825E-17"/>
              <c:y val="-2.94930789961670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E7203"/>
          </a:solidFill>
          <a:ln>
            <a:noFill/>
          </a:ln>
          <a:effectLst/>
        </c:spPr>
        <c:dLbl>
          <c:idx val="0"/>
          <c:layout>
            <c:manualLayout>
              <c:x val="1.6461239262861044E-3"/>
              <c:y val="-0.1069124113611056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EE7203"/>
          </a:solidFill>
          <a:ln>
            <a:noFill/>
          </a:ln>
          <a:effectLst/>
        </c:spPr>
        <c:dLbl>
          <c:idx val="0"/>
          <c:layout>
            <c:manualLayout>
              <c:x val="-5.481325082284683E-3"/>
              <c:y val="-9.21658718630220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-5.4813250822846162E-3"/>
              <c:y val="-0.1327188554827517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F1810"/>
          </a:solidFill>
          <a:ln>
            <a:noFill/>
          </a:ln>
          <a:effectLst/>
        </c:spPr>
        <c:dLbl>
          <c:idx val="0"/>
          <c:layout>
            <c:manualLayout>
              <c:x val="-1.8271083607615387E-3"/>
              <c:y val="-0.1069124113611056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'EVOLUÇÃO REGIONAL'!$L$4</c:f>
              <c:strCache>
                <c:ptCount val="1"/>
                <c:pt idx="0">
                  <c:v>POSITIVO</c:v>
                </c:pt>
              </c:strCache>
            </c:strRef>
          </c:tx>
          <c:spPr>
            <a:solidFill>
              <a:srgbClr val="EE720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1042-43A6-A63B-40BCE68FAABA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434-4E1B-A99F-A1961B2854F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B805-4CDD-869B-AA418D7E72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'EVOLUÇÃO REGIONAL'!$K$5:$K$14</c:f>
              <c:strCache>
                <c:ptCount val="9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  <c:pt idx="4">
                  <c:v>REGION5</c:v>
                </c:pt>
                <c:pt idx="5">
                  <c:v>REGION6</c:v>
                </c:pt>
                <c:pt idx="6">
                  <c:v>REGION7</c:v>
                </c:pt>
                <c:pt idx="7">
                  <c:v>REGION8</c:v>
                </c:pt>
                <c:pt idx="8">
                  <c:v>REGION9</c:v>
                </c:pt>
              </c:strCache>
            </c:strRef>
          </c:cat>
          <c:val>
            <c:numRef>
              <c:f>'EVOLUÇÃO REGIONAL'!$L$5:$L$14</c:f>
              <c:numCache>
                <c:formatCode>[h]:mm:ss;@</c:formatCode>
                <c:ptCount val="9"/>
                <c:pt idx="0">
                  <c:v>21.470138888888883</c:v>
                </c:pt>
                <c:pt idx="1">
                  <c:v>87.677083333333343</c:v>
                </c:pt>
                <c:pt idx="2">
                  <c:v>40.854861111111099</c:v>
                </c:pt>
                <c:pt idx="3">
                  <c:v>35.164583333333333</c:v>
                </c:pt>
                <c:pt idx="4">
                  <c:v>63.000694444444449</c:v>
                </c:pt>
                <c:pt idx="5">
                  <c:v>64.51666666666668</c:v>
                </c:pt>
                <c:pt idx="6">
                  <c:v>32.619444444444476</c:v>
                </c:pt>
                <c:pt idx="7">
                  <c:v>101.50972222222224</c:v>
                </c:pt>
                <c:pt idx="8">
                  <c:v>49.236805555555556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FC-4EF8-B31E-0942D09A8936}"/>
            </c:ext>
          </c:extLst>
        </c:ser>
        <c:ser>
          <c:idx val="1"/>
          <c:order val="1"/>
          <c:tx>
            <c:strRef>
              <c:f>'EVOLUÇÃO REGIONAL'!$M$4</c:f>
              <c:strCache>
                <c:ptCount val="1"/>
                <c:pt idx="0">
                  <c:v>NEGATIVO</c:v>
                </c:pt>
              </c:strCache>
            </c:strRef>
          </c:tx>
          <c:spPr>
            <a:solidFill>
              <a:srgbClr val="7F181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C6-4C0F-9C9B-C0D48AD8F16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1042-43A6-A63B-40BCE68FAABA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434-4E1B-A99F-A1961B2854F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B805-4CDD-869B-AA418D7E725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B805-4CDD-869B-AA418D7E72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'EVOLUÇÃO REGIONAL'!$K$5:$K$14</c:f>
              <c:strCache>
                <c:ptCount val="9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  <c:pt idx="4">
                  <c:v>REGION5</c:v>
                </c:pt>
                <c:pt idx="5">
                  <c:v>REGION6</c:v>
                </c:pt>
                <c:pt idx="6">
                  <c:v>REGION7</c:v>
                </c:pt>
                <c:pt idx="7">
                  <c:v>REGION8</c:v>
                </c:pt>
                <c:pt idx="8">
                  <c:v>REGION9</c:v>
                </c:pt>
              </c:strCache>
            </c:strRef>
          </c:cat>
          <c:val>
            <c:numRef>
              <c:f>'EVOLUÇÃO REGIONAL'!$M$5:$M$14</c:f>
              <c:numCache>
                <c:formatCode>[h]:mm:ss;@</c:formatCode>
                <c:ptCount val="9"/>
                <c:pt idx="0">
                  <c:v>274.87916666666661</c:v>
                </c:pt>
                <c:pt idx="1">
                  <c:v>105.72013888888888</c:v>
                </c:pt>
                <c:pt idx="2">
                  <c:v>90.342361111111117</c:v>
                </c:pt>
                <c:pt idx="3">
                  <c:v>59.465277777777793</c:v>
                </c:pt>
                <c:pt idx="4">
                  <c:v>354.69027777777779</c:v>
                </c:pt>
                <c:pt idx="5">
                  <c:v>87.10833333333332</c:v>
                </c:pt>
                <c:pt idx="6">
                  <c:v>138.28958333333338</c:v>
                </c:pt>
                <c:pt idx="7">
                  <c:v>146.6861111111111</c:v>
                </c:pt>
                <c:pt idx="8">
                  <c:v>269.25416666666672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FC-4EF8-B31E-0942D09A8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4107584"/>
        <c:axId val="842662784"/>
      </c:barChart>
      <c:catAx>
        <c:axId val="195410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2662784"/>
        <c:crosses val="autoZero"/>
        <c:auto val="1"/>
        <c:lblAlgn val="ctr"/>
        <c:lblOffset val="100"/>
        <c:noMultiLvlLbl val="0"/>
      </c:catAx>
      <c:valAx>
        <c:axId val="842662784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195410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228600</xdr:colOff>
      <xdr:row>3</xdr:row>
      <xdr:rowOff>95250</xdr:rowOff>
    </xdr:to>
    <xdr:sp macro="[0]!EmailRegio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09600" y="190500"/>
          <a:ext cx="2057400" cy="476250"/>
        </a:xfrm>
        <a:prstGeom prst="rect">
          <a:avLst/>
        </a:prstGeom>
        <a:solidFill>
          <a:srgbClr val="CBDB2A"/>
        </a:solidFill>
        <a:ln w="190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000" b="1" dirty="0">
              <a:solidFill>
                <a:schemeClr val="tx1"/>
              </a:solidFill>
              <a:latin typeface="Calibri" panose="020F0502020204030204" pitchFamily="34" charset="0"/>
              <a:ea typeface="Verdana" panose="020B0604030504040204" pitchFamily="34" charset="0"/>
              <a:cs typeface="Calibri" panose="020F0502020204030204" pitchFamily="34" charset="0"/>
            </a:rPr>
            <a:t>ENVIAR</a:t>
          </a:r>
          <a:r>
            <a:rPr lang="pt-BR" sz="1000" b="1" baseline="0" dirty="0">
              <a:solidFill>
                <a:schemeClr val="tx1"/>
              </a:solidFill>
              <a:latin typeface="Calibri" panose="020F0502020204030204" pitchFamily="34" charset="0"/>
              <a:ea typeface="Verdana" panose="020B0604030504040204" pitchFamily="34" charset="0"/>
              <a:cs typeface="Calibri" panose="020F0502020204030204" pitchFamily="34" charset="0"/>
            </a:rPr>
            <a:t> E-MAILS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24848</xdr:colOff>
      <xdr:row>0</xdr:row>
      <xdr:rowOff>33131</xdr:rowOff>
    </xdr:from>
    <xdr:to>
      <xdr:col>0</xdr:col>
      <xdr:colOff>5911850</xdr:colOff>
      <xdr:row>0</xdr:row>
      <xdr:rowOff>2571750</xdr:rowOff>
    </xdr:to>
    <xdr:graphicFrame macro="">
      <xdr:nvGraphicFramePr>
        <xdr:cNvPr id="5" name="GráficoRegiona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219074</xdr:colOff>
      <xdr:row>2</xdr:row>
      <xdr:rowOff>28574</xdr:rowOff>
    </xdr:from>
    <xdr:to>
      <xdr:col>9</xdr:col>
      <xdr:colOff>273049</xdr:colOff>
      <xdr:row>17</xdr:row>
      <xdr:rowOff>82549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77DEB2-8206-41DF-A2D9-919B141DC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395202</xdr:colOff>
      <xdr:row>16</xdr:row>
      <xdr:rowOff>96572</xdr:rowOff>
    </xdr:from>
    <xdr:to>
      <xdr:col>9</xdr:col>
      <xdr:colOff>9083</xdr:colOff>
      <xdr:row>35</xdr:row>
      <xdr:rowOff>77072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447B8E-2446-4E47-8029-3F90647D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10587</xdr:colOff>
      <xdr:row>14</xdr:row>
      <xdr:rowOff>81139</xdr:rowOff>
    </xdr:from>
    <xdr:to>
      <xdr:col>26</xdr:col>
      <xdr:colOff>35719</xdr:colOff>
      <xdr:row>25</xdr:row>
      <xdr:rowOff>130527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5167D39-A047-4B60-B0D8-96D3546C0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50001</xdr:colOff>
      <xdr:row>16</xdr:row>
      <xdr:rowOff>95249</xdr:rowOff>
    </xdr:from>
    <xdr:to>
      <xdr:col>21</xdr:col>
      <xdr:colOff>55562</xdr:colOff>
      <xdr:row>35</xdr:row>
      <xdr:rowOff>71438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90DE8E3-1933-440D-92C4-5B345D3AD0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110244</xdr:colOff>
      <xdr:row>91</xdr:row>
      <xdr:rowOff>172189</xdr:rowOff>
    </xdr:from>
    <xdr:to>
      <xdr:col>7</xdr:col>
      <xdr:colOff>278568</xdr:colOff>
      <xdr:row>103</xdr:row>
      <xdr:rowOff>132698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33BBC05E-5C2F-43FD-9CF8-A6AD48D49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244" y="7143078"/>
          <a:ext cx="6077479" cy="2161842"/>
        </a:xfrm>
        <a:prstGeom prst="rect">
          <a:avLst/>
        </a:prstGeom>
      </xdr:spPr>
    </xdr:pic>
    <xdr:clientData/>
  </xdr:twoCellAnchor>
  <xdr:twoCellAnchor editAs="oneCell">
    <xdr:from>
      <xdr:col>7</xdr:col>
      <xdr:colOff>670276</xdr:colOff>
      <xdr:row>91</xdr:row>
      <xdr:rowOff>143773</xdr:rowOff>
    </xdr:from>
    <xdr:to>
      <xdr:col>18</xdr:col>
      <xdr:colOff>60390</xdr:colOff>
      <xdr:row>103</xdr:row>
      <xdr:rowOff>119943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9AD766B-1A05-4742-9135-78ABF5C09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44165" y="7114662"/>
          <a:ext cx="6944469" cy="217750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localiza.corp\dfs\Sistemas\Gestao%20DIRCS\Banco%20de%20Horas\Email\BANCO_DE_HORA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localiza.corp\dfs\Gestao%20DIRCS\RESULT20\Banco%20de%20Horas\BANCO%20DE%20HORAS_SN%20FILIAIS_v2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pervisor" refreshedDate="44046.79661759259" createdVersion="6" refreshedVersion="6" minRefreshableVersion="3" recordCount="1001" xr:uid="{00000000-000A-0000-FFFF-FFFF00000000}">
  <cacheSource type="worksheet">
    <worksheetSource ref="A2:Z1003" sheet="BASE Agosto" r:id="rId2"/>
  </cacheSource>
  <cacheFields count="26">
    <cacheField name="MAT RM" numFmtId="0">
      <sharedItems containsSemiMixedTypes="0" containsString="0" containsNumber="1" containsInteger="1" minValue="111623" maxValue="503648"/>
    </cacheField>
    <cacheField name="COLABORADOR" numFmtId="0">
      <sharedItems count="1001">
        <s v="DANIEL CHIELE PEREIRA"/>
        <s v="EMERSON FERNANDO DE MAURA"/>
        <s v="ROBSON BRUNO SANTOS"/>
        <s v="CESAR RENATO DE MELO"/>
        <s v="CAIRO DANIEL CARVALHO"/>
        <s v="ENES GONCALVES DOS REIS"/>
        <s v="DANIEL WILSON GOMES NASCIMENTO"/>
        <s v="GILBERTO SEBASTIAO DE MATOZINHO CARDOSO"/>
        <s v="JOAO VITOR FIGUEIREDO VIANA"/>
        <s v="KEVIN NATAN GOMES DE OLIVEIRA"/>
        <s v="LEIDIANA ALVES REIS"/>
        <s v="MARCELO APARECIDO DA CRUZ SOARES"/>
        <s v="MIRELE FERREIRA DE MOURA"/>
        <s v="PAULO ADRIANO MOREIRA PINTO"/>
        <s v="PHILIPPE RUIZ GANDRA"/>
        <s v="REGINA MARGARETH DE LIMA MENDES"/>
        <s v="RODRIGO ALVES VIANA"/>
        <s v="TIAGO FONSECA QUINTINO"/>
        <s v="VICTOR HENRIQUE DE OLIVEIRA"/>
        <s v="WESLEY EUCLIDES DE SOUZA"/>
        <s v="ARETUSA DA COSTA SILVA"/>
        <s v="BRENO DA PENHA DA SILVA BUSTAMANTE"/>
        <s v="CLAUDIA COLLE DE ALMEIDA"/>
        <s v="EDUARDO COSTA DA SILVA BARRA"/>
        <s v="EMERSON PEREIRA BARBOSA"/>
        <s v="GLEISON BATISTA DA SILVA"/>
        <s v="GUSTAVO PEREIRA DE OLIVEIRA"/>
        <s v="GUSTAVO RAMOS PEREIRA"/>
        <s v="HENRIQUE EDUARDO DA SILVA FARIA"/>
        <s v="ICARO LUIZ PORTELA LOPES"/>
        <s v="LUCAS MOREIRA GONTIJO"/>
        <s v="LUCAS TORRES PINHEIRO MAIA"/>
        <s v="MARCELO EDGARD OLIVEIRA MENDONCA"/>
        <s v="MATHEUS CHRISTIAN TEIXEIRA"/>
        <s v="NALLU SOARES DE OLIVEIRA"/>
        <s v="PAULO ROBERTO JUNIOR MIRANDA"/>
        <s v="RICHARD ELIZARIO TEIXEIRA CHAVES AGUIAR"/>
        <s v="RODRIGO DE OLIVEIRA SILVA"/>
        <s v="ROGERES RIBEIRO LOPES"/>
        <s v="RONAN FRANCA"/>
        <s v="THAIS SUELEM DA SILVA GONCALVES"/>
        <s v="THIAGO DE PAULA SANTOS"/>
        <s v="VIVIANE GUEDES DE ALMEIDA"/>
        <s v="ADIEL DA SILVA FRANCO"/>
        <s v="ALEXSANDRA PEREIRA DE JESUS AMARAL"/>
        <s v="APARECIDA CLAUDIA PINHEIRO DA SILVA"/>
        <s v="ARIADNE RODRIGUES DA SILVA"/>
        <s v="CHAYLLON MONTIJO PACHECO"/>
        <s v="ELIZABETH SILVA"/>
        <s v="JEVERSON DA SILVA SANTOS"/>
        <s v="JOSE ALAIR RODRIGUES DE FREITAS JUNIOR"/>
        <s v="MACIEL RODRIGUES DA SILVA"/>
        <s v="MARCUS VINICIUS GOMES LIMA"/>
        <s v="MARINA PEREIRA DA SILVA"/>
        <s v="NAIR LEAL DOS SANTOS"/>
        <s v="RENAN SILVA GOMES"/>
        <s v="SONHELI TELLES DA SILVA"/>
        <s v="THIAGO SANTANA RIBEIRO FERNANDES"/>
        <s v="TULIO CESAR GOMES CRUZ"/>
        <s v="VALERIA MARTINS DE SOUZA RIBEIRO"/>
        <s v="WEBERT GOMES BARROS"/>
        <s v="ALEXANDRE DE OLIVEIRA DOS SANTOS"/>
        <s v="ANTONIO ADELINO COSTA DE QUEIROGA"/>
        <s v="BRUNO PRADO ALVES"/>
        <s v="CAROLINE RANGEL TRAD"/>
        <s v="DANIEL AVEIRO AGUIAR"/>
        <s v="EDINEY NEVES"/>
        <s v="FERNANDO LUIZ CAMILO"/>
        <s v="FLAVIO ADRIANO ROSA"/>
        <s v="FRANCIELLY MOREIRA DA SILVA"/>
        <s v="HEMERSON DE SOUZA GONCALVES"/>
        <s v="JACQUELINE DE PAULA MOREIRA SOUZA"/>
        <s v="KAIO GUIMARAES CARNEIRO"/>
        <s v="LEANDRO MONTIEL MARTINS"/>
        <s v="MARCELO COSTA NOGUEIRA"/>
        <s v="MATHILDE DA SILVA PINTO"/>
        <s v="MONICA DE SOUZA MARTINS"/>
        <s v="ROSANGELA GOMES LEITE"/>
        <s v="TAMYLA GUEDES DE SOUZA"/>
        <s v="TIAGO MOURA DE MEDEIROS"/>
        <s v="VICENTE DE PAULO DE ALMEIDA CARDOSO"/>
        <s v="WILLIAN VENTURA HOFFMONN"/>
        <s v="ADELSON VIEIRA DA SILVA"/>
        <s v="ANDREIA APARECIDA VIEIRA PEREIRA"/>
        <s v="ANTONIO VALDEIR LANDIM DE SOUZA"/>
        <s v="CHRISTIANO DE ALENCAR"/>
        <s v="CRISTIANE ANTONIO DA SILVA E SILVA"/>
        <s v="DANTAS RODRIGO MARCELINO"/>
        <s v="ISABEL CRISTINA DA SILVA MARQUES"/>
        <s v="JEAN JEFFERSON PINHEIRO"/>
        <s v="JEFERSON DOS SANTOS PINHEIRO"/>
        <s v="JORNANE EVANGELISTA ARAUJO"/>
        <s v="JOSE AILTON DOS SANTOS"/>
        <s v="JOSE CICERO FERREIRA DOS SANTOS"/>
        <s v="KASSIO FERNANDO FERREIRA DE OLIVEIRA"/>
        <s v="LUCAS CARVALHO DE MOURA"/>
        <s v="LUCIMAR ROSA JULIO DO NASCIMENTO"/>
        <s v="MARCELO NASCIMENTO DE SOUZA"/>
        <s v="MARCELO NICOLAU"/>
        <s v="MOACY MOREIRA MACEDO"/>
        <s v="ROBSON LUIZ SOARES BARROSO"/>
        <s v="ROSANGELA DE OLIVEIRA AMORIM"/>
        <s v="SYDNEI DE OLIVEIRA"/>
        <s v="VALQUIRIA CRISTIANE DOS SANTOS CHAVES"/>
        <s v="ALEXANDRE ALMEIDA CRUZ"/>
        <s v="ALEXANDRINO BARBOSA DOS SANTOS"/>
        <s v="ANDRE NICOLAS DOS SANTOS FELIX"/>
        <s v="AVELINO GONCALVES DOS SANTOS"/>
        <s v="CLOVIS SILVA MOURA LIMA"/>
        <s v="DANIEL GUEDES"/>
        <s v="DANIELE SOUZA FAVERANI"/>
        <s v="DIOGO DA ROCHA"/>
        <s v="EDINALDO DOS SANTOS LUCENA"/>
        <s v="EDUARDO MARCELO LOBATO"/>
        <s v="EMERSON POSTIGO DE CARVALHO"/>
        <s v="FELIPE AUGUSTO DE FARIA"/>
        <s v="FERNANDO FARIAS DOS SANTOS"/>
        <s v="GILMAR RODRIGUES MATIAS"/>
        <s v="GUILHERME MUNHOZ FERNANDES"/>
        <s v="JOSE ANTONIO DONEGA"/>
        <s v="JOSE LUIZ DA SILVA"/>
        <s v="JOSELIO SILVA DAS NEVES"/>
        <s v="KLEBER AUGUSTO FARIA CARVALHO"/>
        <s v="LUCAS PORTES RODRIGUES"/>
        <s v="MARCOS VINICIUS LOURENCO REIS BRITO"/>
        <s v="PAULO JOSE TABIAN"/>
        <s v="PAULO LEONARDO REGINALDO DE SOUZA"/>
        <s v="RAFAEL SOUSA CAVALCANTE"/>
        <s v="RICARDO ALEX DE OLIVEIRA"/>
        <s v="ROGERIO DONIZETE DO NASCIMENTO"/>
        <s v="SANDRO LUIS DIOTTO MARIANO"/>
        <s v="THIAGO ALMEIDA LARONGA"/>
        <s v="VALTENIS APARECIDO GOMES"/>
        <s v="ALEXANDRO VIRGINIO DA SILVA"/>
        <s v="VALDOMIRO MIGUEL DO NASCIMENTO"/>
        <s v="FABIANO TAVARES MARCAL DA SILVA"/>
        <s v="FABIO JUNIO DE OLIVEIRA RIBEIRO"/>
        <s v="FRANCINETE REGINA RIBEIRO"/>
        <s v="GABRIELA LIMA DE QUEIROZ SANTOS"/>
        <s v="GEORGE EMILIO DE SOUZA"/>
        <s v="GIVSON JOSE RODRIGUES DA SILVA"/>
        <s v="ISAIAS JOSE DE MELO JUNIOR"/>
        <s v="ICARO PLACIDO LIZARDO FERREIRA"/>
        <s v="IRACEMA FRANCISCA DA SILVA"/>
        <s v="JORDENIA FERREIRA DA SILVA"/>
        <s v="JOSE CARLOS LISBOA RAMALHO"/>
        <s v="LAIZ BAZILIA ARAUJO TORRICO VALENCIA"/>
        <s v="GILBERTO LUCAS DE MOURA"/>
        <s v="LEONARDO HENRIQUE FRAGA DE VASCONCELOS"/>
        <s v="LUCIANA NOBRE DA SILVA SANTOS"/>
        <s v="MARCIA CRISTINA SANTOS DA SILVA"/>
        <s v="MARIA FLORISVANIA RAMALHO DA PAIXAO"/>
        <s v="NOE SANTOS SOUSA"/>
        <s v="PAULO HENRIQUE LOPES CARIGE"/>
        <s v="RAFAEL PEREIRA"/>
        <s v="SEVERINO DO RAMO DE LIMA"/>
        <s v="VAMBERGUE FABRICIO DE MELO"/>
        <s v="ALAN DOUGLAS DA SILVA LIMA"/>
        <s v="ALEXSANDRA SANTOS ALEIXO"/>
        <s v="ANDERSON PEQUENO DE SOUSA"/>
        <s v="BRUNO EUGENIO DE SOUZA ALVES"/>
        <s v="CRISTIANO GONCALVES"/>
        <s v="EDSON DA SILVA RIBEIRO"/>
        <s v="ESTEFANY TAMIRES RIBEIRO DA SILVA"/>
        <s v="GLAUBER NATALICIO SA MENDES"/>
        <s v="GREGORY PECK DE AZEVEDO"/>
        <s v="GUSTAVO RIGAUD MAGALHAES ALMEIDA JUNIOR"/>
        <s v="HELENO ALVES D AFONSECA JUNIOR"/>
        <s v="JOAO MARCOS VANDERLEI DE ARAUJO JUNIOR"/>
        <s v="JOSE CARDOSO DA SILVA"/>
        <s v="JOSE FERNANDO FIDELIX DE MOURA"/>
        <s v="LEVI RONDINELI RIGAUD DE PINHO"/>
        <s v="LUANDSON DA SILVA NUNES"/>
        <s v="LUCIANO DE OLIVEIRA MELO FILHO"/>
        <s v="MANOEL GOMES JUNIOR"/>
        <s v="MARCO ANTONIO SANTOS SOUZA"/>
        <s v="PAULO HENRIQUE DA ROCHA CAVALCANTI"/>
        <s v="PEDRO FRANCISCO DA SILVA"/>
        <s v="POLLYANNA MARIA DE ALMEIDA PERNAMBUCO"/>
        <s v="RENATO GOMES DA SILVA"/>
        <s v="RICHARD ANDERSON BARBOSA DE ARAUJO"/>
        <s v="SAMUEL SAMPAIO BONFIM"/>
        <s v="SANDRA MARIA DOS SANTOS"/>
        <s v="TIAGO OLIVEIRA BARROS"/>
        <s v="ADRIANO GONCALVES DE OLIVEIRA"/>
        <s v="CEDILENE CORREIA FREITAS"/>
        <s v="CLAUDIO SANTOS DA COSTA"/>
        <s v="DENIS DE ALMEIDA COELHO"/>
        <s v="ELTON DE CASTRO LIMA"/>
        <s v="EMANUELLE FERREIRA SILVA"/>
        <s v="ERICA MARIA DE JESUS JARDIM"/>
        <s v="JORGE LUIZ BRAGA DE ABREU"/>
        <s v="JOSE JACINTO RIBEIRO"/>
        <s v="LEIDSON GONCALVES DA COSTA"/>
        <s v="LEONARDO DO CARMO COSTA"/>
        <s v="MARCLECIO SILVA DOS ANJOS"/>
        <s v="MARIA JOSE CASSIMIRO DA SILVA ALVES"/>
        <s v="MARIVAN FELIPE DE MENDONCA"/>
        <s v="PAULO HENRIQUE CANDIDO DA COSTA"/>
        <s v="RAYLSON SILVA ARAUJO"/>
        <s v="RODOLFO RODRIGO CESARIO NASCIMENTO"/>
        <s v="ROGERIO LUIS OLIVEIRA SOUSA"/>
        <s v="SEBASTIAO SALVIANO DE SOUZA JUNIOR"/>
        <s v="SONIA REGINA FERREIRA DE ARAUJO"/>
        <s v="VICTOR SOUZA SANTOS"/>
        <s v="WELLINGTON EDIVALDO DA SILVA"/>
        <s v="ALIMONDE JOSE FERNANDES DE SOUSA"/>
        <s v="ANDREA DA SILVA CASTRO"/>
        <s v="BRUNO GUSTAVO SILVA DO NASCIMENTO"/>
        <s v="DAYANE SILVA GOMES"/>
        <s v="DENISON BRAZ MELO"/>
        <s v="EDELSON SOBRAL RAMOS"/>
        <s v="FABIANO ALVES DE SOUSA"/>
        <s v="ISRAEL ARAUJO DE ALCANTARA"/>
        <s v="ITAMAR DE AQUINO SOUSA"/>
        <s v="JAIRO MARINHO BARBOSA"/>
        <s v="JONATAS LIMA LOURENCO"/>
        <s v="JORGE AUGUSTO SAMPAIO CUNHA JUNIOR"/>
        <s v="KAREN LYANE NASCIMENTO DE CARVALHO"/>
        <s v="LEVY GOMES COSTA MOTA"/>
        <s v="MAILMA PESSOA OLIVEIRA"/>
        <s v="MARCONE RIBEIRO FERREIRA"/>
        <s v="MARCOS ANTONIO MIRANDA AMORIM"/>
        <s v="MARCOS ESTEVAM MENDES FILHO"/>
        <s v="MARCOS VINICIOS CASTELO BRANCO OLIVEIRA"/>
        <s v="NADIA ROCHA DA SILVA"/>
        <s v="NARADA KRISHNA NASCIMENTO BASTOS"/>
        <s v="PAULO ANDRE FRANCA DA SILVA"/>
        <s v="RAIANE SHIRLEY EUFRASIO DA SILVA"/>
        <s v="RAQUEL JAEGER BEZERRA DE LIMA"/>
        <s v="RICARDO OLIVEIRA MACHADO"/>
        <s v="SAMIR CALADO DE LUCENA"/>
        <s v="THADEU WILSON OLIVEIRA DE ARAUJO"/>
        <s v="THIAGO DE ARAUJO FRANCA"/>
        <s v="VAGNER LUCIO DOS SANTOS"/>
        <s v="WALBER DE SOUSA SILVA"/>
        <s v="WELBER PRESTON LEITE BATISTA DA COSTA"/>
        <s v="ANDERSON HERONCIO PEREIRA JUNIOR"/>
        <s v="CARLOS ALVES PIROTE"/>
        <s v="CATIA FLAVIA LUCAS ROSA DE AZEVEDO"/>
        <s v="DANIEL SULPINO DE ARAUJO"/>
        <s v="EDIVANILDO CRUZ GOMES"/>
        <s v="EDUARDO DOMINGOS DO NASCIMENTO"/>
        <s v="EDVALDO BEZERRA DE ARAUJO"/>
        <s v="ISABELA MARIA DA LUZ SANTOS"/>
        <s v="JHONATAN DE OLIVEIRA GONCALVES"/>
        <s v="JOSE ROBERTO SANTANA DE LIMA"/>
        <s v="LEONARDO PEREIRA PINHEIRO"/>
        <s v="LUCAS PEDRO PIRES"/>
        <s v="LUIZ HENRIQUE DA SILVA RODRIGUES"/>
        <s v="LUIZ HENRIQUE DE OLIVEIRA MARTINS"/>
        <s v="RICARDO ROMUALDO DA SILVA"/>
        <s v="OSWALDO CAMARA NETO"/>
        <s v="VICTOR VESCOVI COUTINHO"/>
        <s v="PAULO ROBERTO FERREIRA DE SOUZA"/>
        <s v="RICARDO FELIPE RIBEIRO LUCINDO"/>
        <s v="ROBSON NASCIMENTO DA SILVA"/>
        <s v="SILAS DE ANDRADE BARRETO"/>
        <s v="SOLANGE ALVES DA SILVA"/>
        <s v="TAUANA BARBOSA DE SOUZA"/>
        <s v="WALLACE TEIXEIRA ALVES"/>
        <s v="ADRIANA RODRIGUES VAZ"/>
        <s v="ALISON MENEZES DA ROCHA"/>
        <s v="ANDRE LUIZ RIOS DE ALMEIDA"/>
        <s v="BRUNO MELO ARAUJO DA SILVA"/>
        <s v="DIEGO GUANABARA MOREIRA"/>
        <s v="FABIANO RANGEL GOMES"/>
        <s v="FRANCINE BRITO DA SILVA"/>
        <s v="JULIO CESAR DOS SANTOS"/>
        <s v="KELLY VIRGINIO DE SA"/>
        <s v="MAIKE DE OLIVEIRA SANT ANA"/>
        <s v="MANOEL MAGANO FARIAS"/>
        <s v="MARCELO BOUSQUET DE ARAUJO"/>
        <s v="MARGARIDA SOUZA D IPOLITO"/>
        <s v="MARCELO DA COSTA BRITTO"/>
        <s v="MARCIO LUIZ DOS SANTOS MOREIRA"/>
        <s v="MAURICIO FERREIRA SANTOS FLORET"/>
        <s v="MICHELLY FERREIRA BASTOS DE ALCANTARA"/>
        <s v="NATHALIA AMARO FERREIRA DO VALE MAGALHAES"/>
        <s v="RAFAEL DE JESUS DOMINGOS"/>
        <s v="RAFAEL SOARES DA POCA"/>
        <s v="RICARDO DOS SANTOS GRIJO SOUZA"/>
        <s v="RODRIGO EDUARDO ALVES DE OLIVEIRA"/>
        <s v="ROGERIO ALVES DE AGUIAR LIMA"/>
        <s v="VANIELLE DOS SANTOS LIRA"/>
        <s v="VINICIUS OLIVEIRA DE ANDRADE"/>
        <s v="VITOR PEREIRA FARIA"/>
        <s v="WAGNER DA SILVA PINHO"/>
        <s v="WAGNER QUEIROZ LUIZ"/>
        <s v="ADEMIR FERREIRA DE ASSUNCAO"/>
        <s v="ALBANITA VIEIRA GOMES CARRAMAO"/>
        <s v="ALBERTINA SOARES DE MEDEIROS"/>
        <s v="ANA PAULA BARBOSA"/>
        <s v="ANDREIA CAVALCANTE"/>
        <s v="ANTONIO VIEIRA DE ALENCAR"/>
        <s v="BRUNO AMORIM DE ARRUDA CAMPOS"/>
        <s v="CELUTA VIRGEM SIQUEIRA"/>
        <s v="CHRYSTIAN MALTA DA SILVA VESCO"/>
        <s v="CLEBER DE JESUS SANTOS"/>
        <s v="DAVI RODRIGUES DA SILVA"/>
        <s v="DOUGLAS FONTANA DE LIMA"/>
        <s v="EZEQUIEL BANDEIRA COIMBRA"/>
        <s v="FABIO DE ASSIS CARRAMAO"/>
        <s v="FRANCISCO ERNESTO PINHEIRO SOARES"/>
        <s v="JOAO FRANCISCO BRITO DA CRUZ"/>
        <s v="JOAO PAULO BENEDITO"/>
        <s v="JOSE CARLOS CONCEICAO RAMOS"/>
        <s v="JOSE ROMARIO PEREIRA VASCONCELOS"/>
        <s v="KATE CRISTINA ALVES SILVA OLIVEIRA"/>
        <s v="KLEBER CORREIA PAULO"/>
        <s v="MARCELO LEAL BIRACCHI PINTO"/>
        <s v="MARCIO ARAUJO DE SOUZA"/>
        <s v="MARIA ALVANEIDE DA SILVA"/>
        <s v="ALEXANDRE DA SILVA PACIELLO"/>
        <s v="WELLINGTON WANDERLEY MARTINS CAMPOS"/>
        <s v="NELSON CANDIDO DA SILVA FILHO"/>
        <s v="PEDRO NEVES DOS SANTOS"/>
        <s v="RAFAEL SANTOS DA SILVA"/>
        <s v="REGINALDO BERNARDES"/>
        <s v="ROMULLO MALCOLM SILVA SALES"/>
        <s v="ROSILENE FERREIRA CORDEIRO"/>
        <s v="SAMUEL BISPO DO ROSARIO"/>
        <s v="SIDINEI ANASTACIO"/>
        <s v="SILVIA PEREIRA DOS SANTOS"/>
        <s v="WILLIAM MENEZES NERY"/>
        <s v="ADAILTON JOSE DE OLIVEIRA"/>
        <s v="ADILSON AVELINO DA SILVA"/>
        <s v="ALESSANDRO DA SILVA MARTINS BASTOS"/>
        <s v="ALISSON SOARES DE OLIVEIRA"/>
        <s v="ANDERSON SIMOES MORGON"/>
        <s v="BIANCA LEDESMA"/>
        <s v="CARLA DANIELA LEONCINI BELCORSO"/>
        <s v="CARLOS ALBERTO JORGE"/>
        <s v="CATIA ROBERTA GARCIA DA RESSURREICAO"/>
        <s v="CESAR RAFAEL BRITO DA SILVA"/>
        <s v="CLAUDINALVA DE CARVALHO MOSCARDINI"/>
        <s v="DANIEL LOPES LEAL"/>
        <s v="DANIEL RODRIGO CORREIA"/>
        <s v="DANILO CORREIA DIAS"/>
        <s v="DENER DE SOUZA SILVA"/>
        <s v="ELTON RODRIGUES DE SOUSA"/>
        <s v="EMERSON RODRIGUES DOS SANTOS"/>
        <s v="FABIO AUGUSTO PEREIRA DE ALMEIDA"/>
        <s v="FABIO HITOSHI IDENAGA"/>
        <s v="FATIMA FERNANDA DOS SANTOS"/>
        <s v="FRANCISCO DE ALMEIDA LIMA FILHO"/>
        <s v="GILSON VENANCIO DE SOUZA"/>
        <s v="JEFERSON ANDERSON BEZERRA DOS SANTOS"/>
        <s v="JEFFERSON VERISSIMO DOS SANTOS DO NASCIMENTO"/>
        <s v="JEREMIAS SOUZA SANTOS"/>
        <s v="JOAO PEREIRA DA SILVA NETO"/>
        <s v="JOSE MARIA LOPES DA SILVA"/>
        <s v="KELLY DOS SANTOS ANJOS"/>
        <s v="KLEIDIANE BRITO DE CARVALHO"/>
        <s v="LEANDRO DO AMARAL DUARTE"/>
        <s v="LEONARDO SGURA NETO"/>
        <s v="LUIZ CLAUDIO DE JESUS SANTOS"/>
        <s v="MARCELO RIGASO LEMOS"/>
        <s v="MARCIA JAQUELINE FARIA MARTINS"/>
        <s v="MARCOS FERNANDES DA SILVA"/>
        <s v="MARIO BRITO DE OLIVEIRA"/>
        <s v="PAULA CRISTINA RODRIGUES IYAMA"/>
        <s v="RAFAEL NASCIMENTO SILVA"/>
        <s v="RENILDA GOMES MALTA DOS SANTOS DE OLIVEIRA"/>
        <s v="ROGERIO BATISTA BROCCA DOS SANTOS"/>
        <s v="VALDECI JUVENCIO DA SILVA"/>
        <s v="VICENTE DA CRUZ BARBOSA FILHO"/>
        <s v="VINICIUS DE CASTRO CRUZ"/>
        <s v="WANDERSON NEVES DA SILVA"/>
        <s v="WILLIAM PALADINI"/>
        <s v="ANDERSON FERNANDO DA CRUZ"/>
        <s v="ANDRE LUIS EVANGELISTA"/>
        <s v="CEZARIO DIAS DE CASTRO"/>
        <s v="DANIELTON JOSE DA SILVA"/>
        <s v="DOUGLAS DE SOUZA BRIGATTI"/>
        <s v="EDINALVA BATISTA DE SOUZA"/>
        <s v="EDSON AFONSO VITAL"/>
        <s v="EDUARDO BALTAZAR BEBIANO"/>
        <s v="ELIANE APARECIDA DE SOUZA FLAUSINO"/>
        <s v="IRACEMA DE FATIMA SILVA CRUZ"/>
        <s v="JESSICA CRISTINA PAULA SABINO"/>
        <s v="JILVANIA SANTOS SANTANA"/>
        <s v="JOANA D ARC GONCALVES DE ARAUJO SILVA"/>
        <s v="KENON CRHYSTIAN DE OLIVEIRA BORNAL"/>
        <s v="LIZETE NELIDIA ALEXANDRINO DA SILVA"/>
        <s v="MARIA APARECIDA DOS SANTOS"/>
        <s v="MARIA DOLORES SILVA DE MELO"/>
        <s v="MARIA IVANIR SOUSA LIMA"/>
        <s v="MARRONE MATHEUS BATISTA"/>
        <s v="PAULO HENRIQUE CASEMIRO"/>
        <s v="ROBERTO DA SILVA PACHECO"/>
        <s v="RODRIGO APARECIDO DE OLIVEIRA"/>
        <s v="SILVANA APARECIDA JACOMINI"/>
        <s v="WELLINGTON PEREIRA DOS SANTOS"/>
        <s v="ALBERTO JOSE BATISTA PEREIRA"/>
        <s v="ALEXANDER VACCARI"/>
        <s v="ANA CAROLYNE DA SILVA CAMILO"/>
        <s v="ANA PAULA DA SILVA CAMILO LOMBARDI"/>
        <s v="ARALDO JOSE RIVIERI"/>
        <s v="CINTIA CORREA OTRE"/>
        <s v="CRISTIANA DA COSTA BARRETO"/>
        <s v="EDUARDO FERREIRA MACHADO POMPEU"/>
        <s v="DANILO NOVAIS DE OLIVEIRA"/>
        <s v="FABIO GOMES BEZERRA"/>
        <s v="FELIPE CALONI"/>
        <s v="FELIPE SODRE MARQUES"/>
        <s v="GREGORY DIOGO"/>
        <s v="HELDER PEREIRA DA SILVA"/>
        <s v="HILARIO JOSE MANTOVANI"/>
        <s v="JOAO GUILHERME LISBOA"/>
        <s v="JOAO RICARDO DE OLIVEIRA SANTOS"/>
        <s v="JOSEPH ANTHONY GREGORIO MOURA"/>
        <s v="JOSE CARLOS DO NASCIMENTO"/>
        <s v="LINCOLN FELISBERTO CANDOIA"/>
        <s v="LUCAS CHAGAS MAZOLI"/>
        <s v="LUCIANA APARECIDA PEDRO DE ANDRADE"/>
        <s v="MARA LUCIA GOMES BRANCO"/>
        <s v="MARCELO ANTONIO BARBOSA"/>
        <s v="MARCELO HENRIQUE LOPES DOS SANTOS"/>
        <s v="MARCOS ANDRE RODRIGUES RONCONI"/>
        <s v="MICHAEL JONATHAN GUBOLIN"/>
        <s v="MIGUEL FERNANDO SOARES DOS SANTOS"/>
        <s v="PETRONIO CORDEIRO NETO"/>
        <s v="REINALDO BRESSAN NAVARRO"/>
        <s v="ROBSON RODRIGUES DA SILVA"/>
        <s v="RODRIGO LOMBARDI"/>
        <s v="SERGIO HENRIQUE FERREIRA ALVES"/>
        <s v="TARCILA AGDA TEREZANI BONETTI"/>
        <s v="THIAGO ENDERSON DE OLIVEIRA MILANO"/>
        <s v="THIAGO IMOLA"/>
        <s v="VALERIA PEREIRA DOS SANTOS"/>
        <s v="VINICIUS ANTONIO MOREIRA DE ALCANTARA"/>
        <s v="ALEXANDRE RIOS DA SILVA"/>
        <s v="ALTIVA MOREIRA RIBEIRO"/>
        <s v="ANA MARIA PEREIRA"/>
        <s v="BRUNO CARDOSO"/>
        <s v="CATIA REGINA PINTO"/>
        <s v="JAQUELINE SCHULLER MACHADO"/>
        <s v="DANUSA DE FARIAS"/>
        <s v="DEBORA BUENO ROSCA"/>
        <s v="DIEGO BANDEIRA DA COSTA"/>
        <s v="EDILSON PEREIRA DE MATOS"/>
        <s v="EDSON JOEL DA SILVEIRA FERREIRA"/>
        <s v="EDUARDO SILVA"/>
        <s v="ELZA ROSANGELA GOMES DA SILVA"/>
        <s v="EMERSON DO NASCIMENTO"/>
        <s v="FRANCISCO MAURI DE CAMARGO"/>
        <s v="JACKSON KUIAWA GOLL"/>
        <s v="JOSE ALESSANDRO LEAL DE OLIVEIRA"/>
        <s v="JOSEANE RAFAELI DA SILVA"/>
        <s v="LUA SCHMIDT FERREIRA"/>
        <s v="LUCAS IMETON"/>
        <s v="LUIZ HENRIQUE VAZ RIBEIRO"/>
        <s v="HERICKSON FRANKLYN FERREIRA MACEDO"/>
        <s v="MARCOS EXPEDITO MOREIRA SANTANA"/>
        <s v="MARIA FRANCISCA RODRIGUES GERALDO"/>
        <s v="MAURICIO DE CARVALHO CAFUMANA"/>
        <s v="MAXIMILIANO BATISTA DA SILVA TEIXEIRA"/>
        <s v="PAULO RICARDO SILVEIRA DOS SANTOS"/>
        <s v="RICARDO MENDES CORREA"/>
        <s v="ROBSON DA SILVA"/>
        <s v="RODRIGO WILLIAM DE JESUS SIQUEIRA"/>
        <s v="TCHARLES FRANCA CORREA"/>
        <s v="THIERRI ROEDEL MOURA"/>
        <s v="QUELI ADRIANA NEVES DA SILVA"/>
        <s v="ADEMAR TAVARES CLAUDINO DOS SANTOS"/>
        <s v="ALAERCIO LUIS SCALABRIM LAPAZINI"/>
        <s v="ALAM SCOTTI MEDEIROS"/>
        <s v="ALEX DOS PASSOS MACHADO"/>
        <s v="ALISSON DOS SANTOS"/>
        <s v="ANDREIA TIEMI KANEKO"/>
        <s v="BRUNO MARTINS LEMOS"/>
        <s v="BRUNO NOBREGA MENDES"/>
        <s v="BRUNO VINICIUS MOREIRA DE LIMA"/>
        <s v="CARINE MACHADO VARGAS"/>
        <s v="CARLOS CESAR VIEGAS MORAIS"/>
        <s v="CHRISTIANO ROMEO DALAVECHIA"/>
        <s v="CLAISON JOEL ANTUNES MELO"/>
        <s v="CLEDIR MOURA DA LUZ"/>
        <s v="CRISTIAN RODRIGUES FIGUEIRO"/>
        <s v="DIANE CAROLINE LEMOS"/>
        <s v="DOWNISETHE DE ARAUJO CAVALCANTE"/>
        <s v="EDUARDO KISNER DE KISNER"/>
        <s v="FABIANA BATISTA ALFONSIN"/>
        <s v="GABRIEL PINHEIRO DOS PASSOS"/>
        <s v="GILMAR JOSE PEREIRA CARDOSO"/>
        <s v="GILSON LUIZ DA SILVA"/>
        <s v="HENRIQUE RAMAO STIVAL AMARILHA"/>
        <s v="ISADORA GONCALVES FONSECA"/>
        <s v="IVAN DE FRAGA SILVA"/>
        <s v="JANI NIENCHERT"/>
        <s v="JEAN KLEBER KONOPHAL"/>
        <s v="JOAO CARLOS ALVES DE OLIVEIRA"/>
        <s v="JONE DOUGLAS DA ROSA"/>
        <s v="JORGE LUIS CORDEIRO DE CARVALHO"/>
        <s v="JULIO CEZAR NAZARIO"/>
        <s v="KELLEN DA CRUZ SOUZA"/>
        <s v="LEONARDO MUNIZ"/>
        <s v="MARCELO CARDOZO VARGAS"/>
        <s v="MARCELO SILVEIRA LAUER JUNIOR"/>
        <s v="MARCIO RICARDO SCHMIDT"/>
        <s v="MARCOS VINICIUS VENTURA PEREIRA"/>
        <s v="PAULO ROBERTO HOFF"/>
        <s v="RAFAEL SILVA DE AGUIAR"/>
        <s v="RAMON MIRANDA DA ROSA"/>
        <s v="RODRIGO ALVES"/>
        <s v="RODRIGO LUIS MACHADO"/>
        <s v="THIEGO PEREIRA DE OLIVEIRA DOS SANTOS"/>
        <s v="VALDINEI LOPES PORTO"/>
        <s v="VALMIR ROMUALDO MACHADO"/>
        <s v="WILLIAN SANTOS DA ROCHA"/>
        <s v="FABRICIO RODRIGUES CAROLINO"/>
        <s v="RENATA DE OLIVEIRA CIPINIUK"/>
        <s v="RICARDO AUGUSTO DE MIRANDA SANTOS"/>
        <s v="BERNARDO ANGELO FERNANDES MASSARA"/>
        <s v="LEANDRO JULIO DOS SANTOS"/>
        <s v="WANDER AUGUSTO VAROTO ALVES"/>
        <s v="DANUBIA ALVES DE MORAES FERREIRA"/>
        <s v="JOSUE JONATAN CARVALHO"/>
        <s v="JONAS FERNANDES DE SOUZA GAMA"/>
        <s v="MARIA SYLMARA DA SILVA"/>
        <s v="SIMONE VIEIRA ABRANJE"/>
        <s v="THIAGO ALVES DA SILVA GOMES"/>
        <s v="MATHEUS OLIVEIRA ANDRADE"/>
        <s v="RAFAELA CRISTINA DA SILVA PEREIRA"/>
        <s v="GISLAINE TELIS FERREIRA DIAS DRUMOND"/>
        <s v="FABRICIO DA SILVA FIGUEIREDO"/>
        <s v="PAULO MAIA CARVALHO DE AGUIAR"/>
        <s v="BRENO TOLEDO ACHILLES REZENDE"/>
        <s v="RAPHAEL ANTONIO DE AZEVEDO SILVA"/>
        <s v="AMAURI TEIXEIRA DE FREITAS"/>
        <s v="RAFAEL FELIPE FERREIRA DOS SANTOS"/>
        <s v="TULIO NOVAES MACHADO VIEIRA"/>
        <s v="JOSE ROBERTO TEIXEIRA JUNIOR"/>
        <s v="MARIA ROSA DA SILVEIRA OLIVEIRA"/>
        <s v="ANDERSON CLEIDISTON LAGES"/>
        <s v="LUCAS AUGUSTO PAPINI DE SOUZA"/>
        <s v="RAFAEL FARIA ROGANA FERNANDES"/>
        <s v="RAIMUNDO AVELINO NETO"/>
        <s v="ANDRE LUIZ DEL GAUDIO"/>
        <s v="BRUNO PEREIRA MARTINS"/>
        <s v="GRACIENE ALVES FELICIO"/>
        <s v="KENNEDY DIAS BRITO"/>
        <s v="LEONARDO LEANDRO BELO LOPES"/>
        <s v="MARIANA DOS REIS OLIVEIRA"/>
        <s v="THIAGO DE MEDEIROS GREGORIO"/>
        <s v="CARLA DAS DORES PEDROSA"/>
        <s v="ARTHUR RESENDE PENIDO SALOME"/>
        <s v="CELMA DOS SANTOS RIBEIRO"/>
        <s v="CELSO MANOEL PEREIRA"/>
        <s v="CLAUDIA MARIA LOPES DA SILVA"/>
        <s v="CLAUDIO SERGIO GONCALVES DE OLIVEIRA"/>
        <s v="CLAUDIR RODRIGUES DA SILVA"/>
        <s v="CRISTINA ANGELICA GONCALVES DOS SANTOS"/>
        <s v="EDNA CRISTINA ALVES"/>
        <s v="ELIANE RODRIGUES"/>
        <s v="JORGE LUIS CRISPIM SANTOS"/>
        <s v="MARIA DA GLORIA MAMEDE RIBEIRO DE OLIVEIRA"/>
        <s v="MARIA SOARES DA SILVA"/>
        <s v="MATHEUS HITIEL ROCHA COELHO"/>
        <s v="PEDRO HENRIQUE SANTOS SATURNINO"/>
        <s v="ROBERT ANDERSON DE SOUZA"/>
        <s v="ROMILDA RODRIGUES DOS SANTOS SILVA"/>
        <s v="ROZENI MARIA FERREIRA"/>
        <s v="THALYSON ANDRADE DIAS LOPES"/>
        <s v="THALLYTA ARAUJO MACHADO"/>
        <s v="CIDIA DE SOUZA BATISTA"/>
        <s v="SHIRLEY MONTIEL DE ALMEIDA SANTOS"/>
        <s v="LORENA LOPES DA SILVA SANTOS"/>
        <s v="VERA CICERA MARTINS PAULINO"/>
        <s v="BRUNO LOPES TEIXEIRA"/>
        <s v="LEONARDO MADUREIRA DA SILVA"/>
        <s v="WILKER SANTOS FONSECA"/>
        <s v="PAULO CESAR SANTOS JUNIOR"/>
        <s v="JOAO EBER BARROS SANCHES"/>
        <s v="ELEUSA ISRAEL DE ALCANTARA"/>
        <s v="MARCOS CESAR DE SOUZA BARBOSA"/>
        <s v="WELBER SOUZA ALVES"/>
        <s v="JESSIKA MARA DE OLIVEIRA SILVA"/>
        <s v="ALEXANDRE EDER ROCHA"/>
        <s v="GILDELIO OLIVEIRA DA SILVA"/>
        <s v="CLOVIS ROBERTO SIQUEIRA"/>
        <s v="ALANN DA SILVA SOUZA"/>
        <s v="PABLO BASTOS SILVA"/>
        <s v="EVERTON PEREIRA DE MOURA"/>
        <s v="LUANA SENA RODRIGUES"/>
        <s v="PAULO HENRIQUE RAMOS SILVA"/>
        <s v="RONISSON AUGUSTO DA SILVA"/>
        <s v="SANCHES LOPES BARCELOS"/>
        <s v="BRUNO ALVES DOS REIS SILVA"/>
        <s v="DANILLO GOUVEIA LINO"/>
        <s v="ELIZABETH DE PAIVA COUTO"/>
        <s v="DOUGLAS PARREIRA DE SOUZA"/>
        <s v="FABIO DE PAULA MORAIS"/>
        <s v="FRANCIMAR FIGUEIREDO DA SILVA"/>
        <s v="GEBERSON DA SILVA OLIVEIRA"/>
        <s v="ISRAEL FELIPE JOVENTIVO DA SILVA"/>
        <s v="JULIO CESAR PEREIRA MARQUES"/>
        <s v="LEONELSON ALVES DE OLIVEIRA"/>
        <s v="MARIA MADALENA ALVES FERREIRA"/>
        <s v="PAULO HENRIQUE DE SOUZA LISBOA"/>
        <s v="RONE FERREIRA DA SILVA"/>
        <s v="ROSELI MASSI DE SOUZA MACIEL"/>
        <s v="SANDRA APARECIDA MORAES"/>
        <s v="URIA ALVES DA SILVA"/>
        <s v="JEFFERSON ROBERTO TORRES"/>
        <s v="DANIEL RODRIGUES DE FARIA"/>
        <s v="RICARDO LUIS RODRIGUES VIANA"/>
        <s v="WALDAIR NOGUEIRA DA SILVA"/>
        <s v="MILTON MARCONDES"/>
        <s v="IVONE BATISTA SOARES"/>
        <s v="JEAN PAULO JORGE DA SILVA"/>
        <s v="WATSON WAGNER DA SILVA"/>
        <s v="RAFAEL AMORIM DE MEIRELES"/>
        <s v="OSWALDO LUIZ BARBOSA NEUMANN"/>
        <s v="ANDREY CELSO MAJEWSKI"/>
        <s v="JOSE RICARDO SORIANO GUIMARAES"/>
        <s v="CLEITON MACHADO"/>
        <s v="MARCELO APARECIDO FERREIRA"/>
        <s v="AMILTON ROCHA BELO"/>
        <s v="ADILSON JOAO DA SILVA"/>
        <s v="ANDRE VICTOR RODRIGUES ALVES ASSIS SILVA"/>
        <s v="CAMILA LUIS LEITE"/>
        <s v="CLAUDIO CUNHA MAEDA"/>
        <s v="CLERHINGTON RUY ALVES DOS SANTOS"/>
        <s v="EDILSON LOURO"/>
        <s v="ELIANE DA CONCEICAO SANTOS SIQUEIRA"/>
        <s v="EVERTON PELANDRA DE BRITO"/>
        <s v="GILBERTO HUDAK"/>
        <s v="GLAUCO DEMETRIO"/>
        <s v="JOSE LUIZ DA SILVA CAMBA"/>
        <s v="KELY MENEZES SANTOS"/>
        <s v="LAUDEMIR DIAS DO AMARAL"/>
        <s v="ADRIANA APARECIDA PAULINO"/>
        <s v="PEDRO CAPUCHO CARVALHO LEITE"/>
        <s v="PEDRO IRENO DIAS"/>
        <s v="PRISCILA CAMARGO ALENCAR NOVAES"/>
        <s v="SANDRO RICARDO RIGONATO"/>
        <s v="SHEILA BARBOSA"/>
        <s v="THIAGO PELANDRA DE BRITO"/>
        <s v="WAGNER ROBERTO LOPES"/>
        <s v="ALEXANDER DO NASCIMENTO BORGES"/>
        <s v="DANIEL DA SILVA DE SOUSA"/>
        <s v="FERNANDO HENRIQUE DA SILVA CONSTANTINO"/>
        <s v="HUMBERTO MOREIRA NICOLAU"/>
        <s v="IRANI DE SOUZA PALUDETO"/>
        <s v="JEAN SILVA DE ARAUJO"/>
        <s v="MARIA AMELIA MACEDO BARIANNI"/>
        <s v="MARILANDIA JESUS DOS SANTOS"/>
        <s v="MAURILIO DE JESUS JUNIOR"/>
        <s v="PAULO ROBERTO DE ALMEIDA"/>
        <s v="REGINALDO ALVES DE SOUZA"/>
        <s v="REGINALDO COSTA NASCIMENTO"/>
        <s v="ROSILENE DE OLIVEIRA SILVA"/>
        <s v="SOLANGE APARECIDA SILVEIRA VIEIRA"/>
        <s v="SUELI MOREIRA"/>
        <s v="VALERIA RIBEIRO DOS SANTOS"/>
        <s v="WALLACE MOREIRA NICOLAU"/>
        <s v="ZENILDA SOUZA SILVA"/>
        <s v="ALEX DA SILVA VIEIRA"/>
        <s v="ROCHELI BELENS CRUZ DOS SANTOS"/>
        <s v="JAILAN ALEXANDRE BRITO DA SILVA"/>
        <s v="JADILANE LIMA DE JESUS"/>
        <s v="JORGE ANTONIO RASTELLI CAVALCANTE BARRETTO"/>
        <s v="DANIELA DA SILVA CARNEIRO"/>
        <s v="SAULO DO NASCIMENTO FERREIRA"/>
        <s v="EUGENIO JUNIOR SOARES DE LIMA"/>
        <s v="JANISSON PEREIRA DE SOUZA"/>
        <s v="EDILENE MORAES FIDELIS DA SILVA"/>
        <s v="JOAO FILIPE SILVA SANTOS"/>
        <s v="FABIO PEDREIRA DA SILVA"/>
        <s v="ELBA ALMEIDA GUIMARAES"/>
        <s v="JONATHAN DIEGO CARVALHO FELIX"/>
        <s v="HELIO PEREIRA DA SILVA JUNIOR"/>
        <s v="IVAN VICTOR SANTANA OLIVEIRA"/>
        <s v="MARCOS BARBOSA DA SILVA"/>
        <s v="GILKA ARAUJO DE SANTANA"/>
        <s v="THIAGO DOS SANTOS PEREIRA"/>
        <s v="ANDRE LUIZ GONCALVES DE LIMA"/>
        <s v="TIAGO SANTANA COSTA"/>
        <s v="BRANDSON CARVALHO DANTAS"/>
        <s v="KLEBSON WILSON PEREIRA"/>
        <s v="HAMILTON DO NASCIMENTO NOGUEIRA"/>
        <s v="ANTONIO CARLOS MAIA JUNIOR"/>
        <s v="MANUEL FRANCISCO CORREIA NETO"/>
        <s v="JOSY DA SILVA ALMEIDA SANTOS"/>
        <s v="ALEXANDRE PINTO DOS REIS GOMES"/>
        <s v="CELSO MARIO ALEIXO DE BRITO FILHO"/>
        <s v="ERINALDO DE OLIVEIRA SANTOS"/>
        <s v="GILMAR XAVIER DE ANDRADE JUNIOR"/>
        <s v="HUGO CESAR AMARO ACIOLI"/>
        <s v="JOSE JONATAS DOS SANTOS"/>
        <s v="JOSE PEREIRA DE LIMA NETO"/>
        <s v="LIVIA LIMA OLIVEIRA"/>
        <s v="ROMMULLO BARBOSA DE OLIVEIRA"/>
        <s v="ALEXIUS GERMANO MARQUES"/>
        <s v="SILAS DO NASCIMENTO LOPES"/>
        <s v="WESLLEY MAIKELL ARAUJO DE MOURA"/>
        <s v="ANGELA DOS SANTOS OLIVEIRA"/>
        <s v="DANIEL GUIMARAES PINHEIRO"/>
        <s v="HOZANA ALVES DE SOUZA"/>
        <s v="IVONICE DA SILVA CADETE"/>
        <s v="KLEBSON CONCEICAO DAS VIRGENS"/>
        <s v="LAIZA MORGANA DA SILVA"/>
        <s v="LUCIANA DE JESUS MARINHO"/>
        <s v="LUCIANO DE JESUS FERREIRA"/>
        <s v="MARCELO SILVA CORREIA"/>
        <s v="MARIA EDUARDA MACEDO DOS SANTOS"/>
        <s v="PETRUCIO JOSE DOS SANTOS"/>
        <s v="ROMERO CARVALHO AMARAL"/>
        <s v="ROSILENE MARIA DE JESUS NEVES"/>
        <s v="ROZINETE MARIA SALUSTIANO"/>
        <s v="SUENI CAMPOS DO NASCIMENTO"/>
        <s v="ERICKSON FERREIRA DAS NEVES"/>
        <s v="ALMIRO FERREIRA PILOTO"/>
        <s v="SEBASTIAO CLEMENTINO DA COSTA JUNIOR"/>
        <s v="LEIRY SOARES DA SILVA"/>
        <s v="ALESSANDRO FERREIRA DE SOUZA"/>
        <s v="CARLOS BONY COSTA ARAUJO"/>
        <s v="MODESTINO DE SOUZA DOURADO JUNIOR"/>
        <s v="RAMILSON FERREIRA DA SILVA"/>
        <s v="ALLYSSON CORREA LIMA"/>
        <s v="CHARLES PINTO PAIXAO"/>
        <s v="MARCELLO SOARES DE MENEZES SERRA"/>
        <s v="REGIELSON LIMA DA SILVA"/>
        <s v="ALLISSON ALBERTO DA ROCHA CHAVES"/>
        <s v="WELLGHTON LUIS DA COSTA"/>
        <s v="RODRIGO ALMEIDA DE OLIVEIRA"/>
        <s v="MARCELO VON RANDOW RATTES JUNIOR"/>
        <s v="ANTONIO JORGE DA SILVA COSTA"/>
        <s v="NELSON FLORES DOS SANTOS FILHO"/>
        <s v="FABIANO KLEVERSON DE BARROS"/>
        <s v="LINDEMBERGH DE SOUSA SILVA"/>
        <s v="AGNON ALMEIDA RIBEIRO"/>
        <s v="ALLIANE ALVES DOS SANTOS"/>
        <s v="ANTONIO BATISTA DO NASCIMENTO FILHO"/>
        <s v="CLAUDIO FERNANDO ANDRADE DA SILVA"/>
        <s v="DANIEL RODRIGUES CARNEIRO"/>
        <s v="DARCIDES DE CASTRO MARTINS JUNIOR"/>
        <s v="DJALMA ACRISIO PINHEIRO JUNIOR"/>
        <s v="EDUARDO RODRIGO ARAUJO DUARTE"/>
        <s v="FABIO BRUNO RODRIGUES DA TRINDADE"/>
        <s v="FLAVIO GONCALVES CIRILO"/>
        <s v="JACQUELINE FREITAS DE LIMA"/>
        <s v="JOAB DE FREITAS BEZERRA"/>
        <s v="JOAO DOS SANTOS FILHO"/>
        <s v="JOSE CLEZIO VIEIRA DANTAS JUNIOR"/>
        <s v="JOSILDO ALVES PINHEIRO JUNIOR"/>
        <s v="ADEILSON MEDEIROS DE ARAUJO"/>
        <s v="ADRIANA BENTO VIANA LIMA"/>
        <s v="ADRIANA RAMOS BOTELHO"/>
        <s v="ROBSON DE SOUZA SANTOS"/>
        <s v="SAYMON DOUGLAS SILVA DO NASCIMENTO BESERRA"/>
        <s v="THOME VINICIUS ROLIM CANTANHEDE"/>
        <s v="JOSIANE DE ALMEIDA RESKI"/>
        <s v="JOSIMAR SOUSA DA SILVA"/>
        <s v="MARIA CLAUDIA INACIO MORENO"/>
        <s v="MARIA DA CONCEICAO MARQUES RODRIGUES"/>
        <s v="MARIA DEUSANEIDE RIBEIRO MENDES MODESTO"/>
        <s v="MARIA LUCIA BORGES DOS SANTOS"/>
        <s v="NEULIANE ALVES AZEVEDO"/>
        <s v="RAIMUNDO WILYA CONCEICAO DOS SANTOS"/>
        <s v="RODRIGO CARMONA DE FREITAS"/>
        <s v="RONILSON DA SILVA CIPRIANO"/>
        <s v="ROSEMARY DO SOCORRO NASCIMENTO DOS SANTOS"/>
        <s v="TATIANA NOGUEIRA DA SILVA"/>
        <s v="WEDSON EDIVALDO DA SILVA"/>
        <s v="ANDERSON CLAYTON DE OLIVEIRA"/>
        <s v="WALTER COSTA DE MATTOS FILHO"/>
        <s v="SAVILLE TELLES SILVA"/>
        <s v="MURILO GILBERTO LOURENCO DOS SANTOS"/>
        <s v="RAFAEL DE CARVALHO RANCIARO"/>
        <s v="ALBERTO MELO SEPULVEDA"/>
        <s v="ANTONIO JOAQUIM DE SOUZA JUNIOR"/>
        <s v="MARCELO MACHADO DE VASCONCELOS"/>
        <s v="GISELLE FERREIRA DE ARAUJO"/>
        <s v="BRUNO REIS MARQUES DA SILVA"/>
        <s v="VANESSA SAMPAIO DE ABREU FONTES"/>
        <s v="ROBSON COELHO VOGAS"/>
        <s v="HUGO DA SILVA NASCIMENTO"/>
        <s v="BRUNO SILVA DOS SANTOS"/>
        <s v="CARLOS EDUARDO TEIXEIRA MARQUES"/>
        <s v="ROBSON SANTOS FERNANDES NUNES"/>
        <s v="LEANDRO SOUTO DA SILVA"/>
        <s v="IVANILDES MARIA MELO ROCHA"/>
        <s v="JORGE EDUARDO LIMA DE AZEVEDO"/>
        <s v="BRUNO CEZAR DA SILVA DANTAS"/>
        <s v="EMANUEL PEDRO FERREIRA SABINO DE SANTANA"/>
        <s v="SILVIO RICARDO CRUZ DE BRITO"/>
        <s v="JOAO PAULO PESTANA DOS SANTOS"/>
        <s v="EDMILSON DE SOUZA PORCIUNCULA"/>
        <s v="RAFAEL MIRANDA DA CONCEICAO"/>
        <s v="PAULO SERGIO DE OLIVEIRA PAIVA"/>
        <s v="RODRIGO MELO FERREIRA"/>
        <s v="GABRIEL JOSE MOREIRA SILVA"/>
        <s v="CRISTIANO DA SILVA MIRANDA"/>
        <s v="EDILENE SANTOS MACEDO"/>
        <s v="RODRIGO MARQUES DE MELLO"/>
        <s v="LEANDRO RODRIGUES PONTES"/>
        <s v="ANA PAULA FERNANDES DE OLIVEIRA MEDEIROS"/>
        <s v="ANDRE FERNANDES DA COSTA"/>
        <s v="CARLOS EDUARDO MONTEIRO PEREIRA"/>
        <s v="CLAUDIO ALVES BORBA"/>
        <s v="DAVI ALEXANDRE DOS SANTOS"/>
        <s v="EDER VALTER ALMEIDA DIAS"/>
        <s v="SERGIO MENDES ALVISO"/>
        <s v="ADEILTON BEZERRA DE ARAUJO"/>
        <s v="ADRIANA DOS SANTOS BARBOSA"/>
        <s v="ANA LUCIA NASCIMENTO MUNIZ"/>
        <s v="CARLOS HENRIQUE DE OLIVEIRA"/>
        <s v="CHAIANE DO SANTOS MARCOLINO"/>
        <s v="CRISTIAN ARAUJO DE SA"/>
        <s v="DIRCIMERI FLORENCIO PEREIRA LUIZ"/>
        <s v="DOUGLAS NUNES IGNEZ SOUZA"/>
        <s v="FILIPHE PEREIRA DE LIMA CAMARA"/>
        <s v="FABIANO BARBOSA"/>
        <s v="HAVARD DELACOQUE"/>
        <s v="GISLAINE TEIXEIRA SOUZA"/>
        <s v="IURY DA ROCHA TAVARES"/>
        <s v="JOSIANE NUNES GUERHARD"/>
        <s v="KARINA TAVARES DE SOUZA"/>
        <s v="LEANDRO DA SILVA TEIXEIRA"/>
        <s v="LEONARDO SALES DE MESQUITA"/>
        <s v="LEONARDO DIAS CARVALHO"/>
        <s v="LUCIANA TEIXEIRA BISPO DOS SANTOS"/>
        <s v="MARIA CRISTINA FROTA AGUIAR"/>
        <s v="NOELZA DE ANDRADE MENDES"/>
        <s v="RODNEY DIAS SILVA"/>
        <s v="RODRIGO DO VAL SILVA"/>
        <s v="ROSE APARECIDA CAETANO"/>
        <s v="VALDIR NUNES DE FREITAS"/>
        <s v="WAGNER LUIZ DE CARVALHO"/>
        <s v="WALLACE ADRIANO GOMES"/>
        <s v="CLAUDIO ALBERTO DE LIMA"/>
        <s v="LUIS EDUARDO MOREIRA"/>
        <s v="ALESSON GILMAR BRANCO"/>
        <s v="CARLOS HENRIQUE BATISTA PAULO BAETA"/>
        <s v="ADEMILSON FERREIRA JOSE"/>
        <s v="ROBERTA KELLI DE LIMA DE JESUS"/>
        <s v="MARIA CLEA DE LIMA"/>
        <s v="RODRIGO CONRADO DE ANDRADE"/>
        <s v="ROBERVAL RODRIGUES DOS SANTOS JUNIOR"/>
        <s v="EVANDRO MAFI"/>
        <s v="ESTEFANO FERREIRA HENNEBERG"/>
        <s v="SERGIO AMERICO DOS SANTOS"/>
        <s v="RENATO VALLADARES HERNANDEZ"/>
        <s v="UILIAN SIMOES SANCHES"/>
        <s v="VALDERLANDIA MOREIRA MOTA"/>
        <s v="RICARDO FERNANDES DA SILVA"/>
        <s v="SILVANA ARRUDA GOMES"/>
        <s v="LEILA ALI MAROUF"/>
        <s v="CLAUDENIR MELO DO NASCIMENTO"/>
        <s v="LEONICE SANTOS ALVES DA SILVA"/>
        <s v="BRUNO CRISTIAN CAMPOS BATISTA"/>
        <s v="GILBERTO FERREIRA CONCEICAO"/>
        <s v="FELIPE BARBOSA VIEIRA"/>
        <s v="MAZAR MASSAO MINAMIZAWA"/>
        <s v="JOSE ALEX DE LIRA LIMA"/>
        <s v="LUCIANO DA SILVA SANTOS"/>
        <s v="ALMIR EDSON LOPES"/>
        <s v="AMARILDO VARGAS MORENO"/>
        <s v="CARLOS EDUARDO SANTOS"/>
        <s v="ERICO KALADRINO NUNES RIOS"/>
        <s v="FABIO PIRES JACYNTO"/>
        <s v="FERNANDO MARCELO LOUSAO"/>
        <s v="FLAVIO JORGE MOURA"/>
        <s v="MICHELE SUEKO NAGASSAKI"/>
        <s v="RODRIGO FERREIRA DE OLIVEIRA"/>
        <s v="VILMAR VIANNA"/>
        <s v="ANTONIA ARAUJO PEREIRA"/>
        <s v="BRUNO ROSA DA SILVA"/>
        <s v="ELIANA APARECIDA CAVALCANTE"/>
        <s v="EUCLESIO PEREIRA"/>
        <s v="EMERSON JUNIOR MEIRA"/>
        <s v="FILIPE BIMBATI"/>
        <s v="JOSEFA DEUZENEIDE DA SILVA"/>
        <s v="JOSEFA MARIA DA CRUZ SENA"/>
        <s v="JOSENILDA RIBEIRO VENTURA"/>
        <s v="LEANDRO GOMES FERREIRA"/>
        <s v="LUCIANA REIS ALVES"/>
        <s v="MARCOS ADRIANO CARVALHO DE MOURA"/>
        <s v="MARIA DALVA PEREIRA SANTOS DA SILVA"/>
        <s v="MARIA DO ROSARIO FARIAS DA SILVA OLIVEIRA"/>
        <s v="MARIA JOSE DE JESUS ALVES"/>
        <s v="RAIMUNDA NONATA DE MIRANDA CARVALHO"/>
        <s v="RICARDO MASSAO DOJO"/>
        <s v="SANDRA RIBEIRO DE SOUZA"/>
        <s v="WILLIAN RODRIGUES SILVA MEIRA"/>
        <s v="ANDERSON FREIRE BARBERO"/>
        <s v="GEIZA APARECIDA DA SILVA PIGNATARI"/>
        <s v="EDER LEANDRO CASAQUE"/>
        <s v="ALEX SANDRO DA SILVA"/>
        <s v="JONAS HORNE PEREIRA"/>
        <s v="CARLOS HENRIQUE AMARAL"/>
        <s v="WILLIAN CLEISON FERREIRA DE MELO"/>
        <s v="FLAVIO CAMPOS CERQUEIRA"/>
        <s v="FABIO EDUARDO MANOEL"/>
        <s v="THIAGO AUGUSTO DE OLIVEIRA"/>
        <s v="EDERSON GARCIA DA SILVA"/>
        <s v="ROBSON DOS SANTOS FREGNAN"/>
        <s v="MULLER NASCIMENTO DE SOUSA"/>
        <s v="RICARDO MARTINS DE CAMPOS"/>
        <s v="CAIO VINICIUS DE ALMEIDA DA SILVA"/>
        <s v="LEANDRO MORAES PAULINO"/>
        <s v="FERNANDO ANTONIO ERNESTO PANSERA"/>
        <s v="JULIANO RIBAS SANCHES DE OLIVEIRA"/>
        <s v="WELBERT ALVES BATISTA"/>
        <s v="MATHEUS CUNHA SALIANO"/>
        <s v="LEURI LUCIANO DA COSTA SILVA"/>
        <s v="WILLIAM JUNIOR VIEIRA DA SILVA"/>
        <s v="LINIKER MATHEUS CIARELI ARAUJO"/>
        <s v="JOSIANE SILVESTRE DE LIMA"/>
        <s v="RODRIGO APARECIDO GARCIA"/>
        <s v="RODRIGO RUFINO DE CASTRO"/>
        <s v="ADELITA MARQUES ULIANI BERTINI"/>
        <s v="ADRIANO SILVA RAJO"/>
        <s v="ANDRE LUIS OLIVEIRA BAPTISTA"/>
        <s v="BRUNO DEL COL DE SOUZA"/>
        <s v="CESAR AUGUSTO VIEIRA"/>
        <s v="EDERSON RODRIGO PAES DE TOLEDO"/>
        <s v="GLAUBER ROCHA DE CARVALHO"/>
        <s v="GUILHERME MARSICO ROMERO"/>
        <s v="HENRIQUE DA SILVA COSTA"/>
        <s v="IGOR KAIQUE TOMAZ COUTO"/>
        <s v="JOAO MARCOS GUERINO DE PAULA"/>
        <s v="MARCIO VITOR BUENO TEIXEIRA JUNIOR"/>
        <s v="NAIRANE NUNES DA SILVA"/>
        <s v="ROBSON DOS SANTOS"/>
        <s v="RODRIGO BEZERRA DE ARAUJO"/>
        <s v="CLEBER MARCIO DA SILVA"/>
        <s v="EDMAR ALVES DOS SANTOS"/>
        <s v="GUSTAVO SOUZA BERTI"/>
        <s v="LUCAS DE SIQUEIRA"/>
        <s v="LUCELIA WETTERICH"/>
        <s v="LUIS EDUARDO ALVES"/>
        <s v="MARIA APARECIDA DONISETI DE OLIVEIRA"/>
        <s v="MARIA EUDA MACHADO DE SOUZA"/>
        <s v="MARIA FRANCILDA OLIVEIRA SILVA"/>
        <s v="VANIA DE FATIMA DA CRUZ JANUARIO"/>
        <s v="VICTOR APARECIDO NOGUEIRA BORGHINI"/>
        <s v="VITOR HUGO GALVAO"/>
        <s v="WILLIAN EDUARDO DE TOLEDO"/>
        <s v="LISANGELO TONIAL"/>
        <s v="MATHEUS REETZ MARCHESE"/>
        <s v="LUCIANE DE OLIVEIRA DA COSTA"/>
        <s v="FRANCYNEIDE RAMOS DE ASSIS"/>
        <s v="WAGNER ROBERTO FONSECA BORGES"/>
        <s v="ALEXSANDRO SEVERO FERREIRA"/>
        <s v="WENDELL BASTOS ALENCAR"/>
        <s v="LUCIANO DE SOUZA TRINDADE"/>
        <s v="SABRINA FABRO SONSALA"/>
        <s v="MICHAEL RODRIGO SILVEIRA CEZAR"/>
        <s v="GISELLE LOPES BARROS"/>
        <s v="JOHN CARLOS CECHET MACHADO"/>
        <s v="RENATO DE MORAES BETIM"/>
        <s v="TAINA DE MORAES ROSA"/>
        <s v="JOSSIMARIO ALVES MARTINS"/>
        <s v="MICHELE LAUTERBACH DUARTE ETHES"/>
        <s v="ANDRE FELIPE RAMOS SCHULZ"/>
        <s v="PAULO APARECIDO PEREIRA"/>
        <s v="FERNANDA FERREIRA"/>
        <s v="EDILSON SAMIR DA SILVA"/>
        <s v="MARCIO VALADAO XAVIER"/>
        <s v="CLAUDIA DE OLIVEIRA COSTA"/>
        <s v="PATRICIA GRAHL"/>
        <s v="HELEN CRISTINA MORAES EVANGELISTA DE MELO"/>
        <s v="JOAO OSNI GONCALVES RIBEIRO"/>
        <s v="BRUNO RAMON KLAUCK"/>
        <s v="GIOVANNI SANTANA"/>
        <s v="VINICIUS DE ARRUDA"/>
        <s v="BARBARA GREHS"/>
        <s v="ALEXANDRE DA SILVA AMARAL"/>
        <s v="CARLOS ADOLFO VOSS SCHMOLLER"/>
        <s v="EDUARDO MANUEL DA SILVA"/>
        <s v="FELIPE GOLDANI"/>
        <s v="GABRIEL DIAS RIBAS"/>
        <s v="VALTER ANTONIO PEREIRA CLARINDA"/>
        <s v="LUCIANO DA ROSA GIL"/>
        <s v="MARCELO FRITZEN"/>
        <s v="MILENA CECHELERO VASILAKIS"/>
        <s v="OSWALDO AUGUSTO HOSTERT SOBRINHO"/>
        <s v="ANAIR NUNES DE JESUS DA SILVA"/>
        <s v="ANDRIELLI SOUZA"/>
        <s v="ARLETE SCHARSKI IACHINSKI"/>
        <s v="CARLOS HELENO VARGAS FAGUNDES"/>
        <s v="CESAR PIRES RIBEIRO"/>
        <s v="DIEGO OURIQUES"/>
        <s v="ELAINE LICKER COFFI"/>
        <s v="ELENISE MATHIAS OLIVEIRA"/>
        <s v="ELISANGELA DA SILVA FRAGA"/>
        <s v="FRANCIELI DEZULINSKI DOS SANTOS"/>
        <s v="GABRIELA BORGES BIANCHI"/>
        <s v="GABRIELLE MARCHETO SIQUEIRA"/>
        <s v="LEANDRO DE ALBUQUERQUE DUARTE DA SILVA"/>
        <s v="LUCIANA DAUTINA DA COSTA WOLFF"/>
        <s v="MARIA JOSE PIRES DE MORAIS FERREIRA"/>
        <s v="PATRICIA FERREIRA"/>
        <s v="REINALDO PADILHA DE OLIVEIRA"/>
        <s v="RONALDO LUZ SEVERO"/>
        <s v="TAIZA MIRANDA DA SILVA LOPES"/>
        <s v="VANDERLEI COUTO DE OLIVEIRA"/>
      </sharedItems>
    </cacheField>
    <cacheField name="DIRETORIA" numFmtId="0">
      <sharedItems/>
    </cacheField>
    <cacheField name="REGIONAL" numFmtId="0">
      <sharedItems count="14">
        <s v="LJASO - Regional Seminovos São Paulo Oeste"/>
        <s v="LJGRJ - Regional Seminovos Atacado Rio de Janeiro"/>
        <s v="LJSPA - Regional Seminovos Atacado São Paulo"/>
        <s v="RSCEN  - Regional Seminovos Varejo Centro"/>
        <s v="RSCOE - Regional Seminovos Varejo Centro Oeste"/>
        <s v="RSGSP  - Regional Seminovos Varejo Grande São Paulo"/>
        <s v="RSNDE - Regional Seminovos Varejo Nordeste"/>
        <s v="RSNOR - Regional Seminovos Varejo Norte"/>
        <s v="RSRIO - Regional Seminovos Varejo Rio de Janeiro"/>
        <s v="RSSAO  - Regional Seminovos Varejo São Paulo"/>
        <s v="RSSPI  - Regional Seminovos Varejo São Paulo Interior"/>
        <s v="RSSUL -  Regional Seminovos Varejo Sul"/>
        <s v="LJASI - Regional Seminovos Atacado São Paulo Interior"/>
        <s v="RSCDN - Regional Seminovos Atacado Norte"/>
      </sharedItems>
    </cacheField>
    <cacheField name="AREA" numFmtId="0">
      <sharedItems/>
    </cacheField>
    <cacheField name="GESTOR" numFmtId="0">
      <sharedItems/>
    </cacheField>
    <cacheField name="TIPO DE SALDO" numFmtId="0">
      <sharedItems/>
    </cacheField>
    <cacheField name="SALDO" numFmtId="164">
      <sharedItems containsSemiMixedTypes="0" containsNonDate="0" containsDate="1" containsString="0" minDate="1899-12-30T00:00:00" maxDate="1900-01-29T16:16:00"/>
    </cacheField>
    <cacheField name="NEGATIVO I" numFmtId="164">
      <sharedItems containsSemiMixedTypes="0" containsNonDate="0" containsDate="1" containsString="0" minDate="1899-12-30T00:00:00" maxDate="1900-01-29T16:16:00"/>
    </cacheField>
    <cacheField name="POSITIVO I" numFmtId="164">
      <sharedItems containsSemiMixedTypes="0" containsNonDate="0" containsDate="1" containsString="0" minDate="1899-12-30T00:00:00" maxDate="1900-01-08T00:16:00"/>
    </cacheField>
    <cacheField name="ago-20" numFmtId="164">
      <sharedItems containsDate="1" containsMixedTypes="1" minDate="1899-12-30T00:03:00" maxDate="1900-01-03T06:40:00"/>
    </cacheField>
    <cacheField name="set-20" numFmtId="164">
      <sharedItems containsDate="1" containsMixedTypes="1" minDate="1899-12-30T00:15:00" maxDate="1900-01-09T00:00:00"/>
    </cacheField>
    <cacheField name="out-20" numFmtId="164">
      <sharedItems containsDate="1" containsMixedTypes="1" minDate="1899-12-30T00:05:00" maxDate="1900-01-07T09:21:00"/>
    </cacheField>
    <cacheField name="nov-20" numFmtId="164">
      <sharedItems containsDate="1" containsMixedTypes="1" minDate="1899-12-30T00:06:00" maxDate="1900-01-06T01:00:00"/>
    </cacheField>
    <cacheField name="dez-20" numFmtId="164">
      <sharedItems containsDate="1" containsMixedTypes="1" minDate="1899-12-30T00:12:00" maxDate="1900-01-08T21:36:00"/>
    </cacheField>
    <cacheField name="jan-21" numFmtId="164">
      <sharedItems containsDate="1" containsMixedTypes="1" minDate="1899-12-30T00:01:00" maxDate="1900-01-08T04:00:00"/>
    </cacheField>
    <cacheField name="fev-21" numFmtId="164">
      <sharedItems containsDate="1" containsMixedTypes="1" minDate="1899-12-30T00:06:00" maxDate="1900-01-02T00:31:00"/>
    </cacheField>
    <cacheField name="mar-21" numFmtId="164">
      <sharedItems containsDate="1" containsMixedTypes="1" minDate="1899-12-30T00:06:00" maxDate="1900-01-05T05:36:00"/>
    </cacheField>
    <cacheField name="abr-21" numFmtId="164">
      <sharedItems containsDate="1" containsMixedTypes="1" minDate="1899-12-30T00:01:00" maxDate="1900-01-05T14:24:00"/>
    </cacheField>
    <cacheField name="mai-21" numFmtId="164">
      <sharedItems containsDate="1" containsMixedTypes="1" minDate="1899-12-30T00:15:00" maxDate="1900-01-07T10:24:00"/>
    </cacheField>
    <cacheField name="jun-21" numFmtId="164">
      <sharedItems containsDate="1" containsMixedTypes="1" minDate="1899-12-30T00:04:00" maxDate="1900-01-08T04:00:00"/>
    </cacheField>
    <cacheField name="jul-21" numFmtId="164">
      <sharedItems containsDate="1" containsMixedTypes="1" minDate="1899-12-30T00:08:00" maxDate="1900-01-01T22:24:00"/>
    </cacheField>
    <cacheField name="Status" numFmtId="0">
      <sharedItems/>
    </cacheField>
    <cacheField name="CARGO" numFmtId="0">
      <sharedItems count="14">
        <s v="EXECUTIVO DE VENDAS I"/>
        <s v="AUX. MOVIMENTACAO DE FROTA"/>
        <s v="HIGIENIZADOR DE CARROS"/>
        <s v="CONSULTOR DE VENDAS"/>
        <s v="ADMINISTRATIVO I"/>
        <s v="APOIO ADMINISTRATIVO - 6H"/>
        <s v="AUX. DE SERVICOS GERAIS - DIRCS"/>
        <s v="ADMINISTRATIVO I - FILIAL"/>
        <s v="APOIO ADMINISTRATIVO - 4H"/>
        <s v="AUX. DE SERVICOS GERAIS"/>
        <e v="#N/A" u="1"/>
        <s v="ASSISTENTE SEMINOVOS II" u="1"/>
        <s v="ASSISTENTE SEMINOVOS I" u="1"/>
        <s v="ASSISTENTE SEMINOVOS III" u="1"/>
      </sharedItems>
    </cacheField>
    <cacheField name="REGIONAL2" numFmtId="0">
      <sharedItems count="14">
        <s v="LJASO"/>
        <s v="LJGRJ"/>
        <s v="LJSPA"/>
        <s v="RSCEN"/>
        <s v="RSCOE"/>
        <s v="RSGSP"/>
        <s v="RSNDE"/>
        <s v="RSNOR"/>
        <s v="RSRIO"/>
        <s v="RSSAO"/>
        <s v="RSSPI"/>
        <s v="RSSUL"/>
        <s v="LJASI"/>
        <s v="RSCDN"/>
      </sharedItems>
    </cacheField>
    <cacheField name="ÁREA" numFmtId="0">
      <sharedItems count="150">
        <s v="LJASO"/>
        <s v="LJGRJ"/>
        <s v="LJSPA"/>
        <s v="LJBHZ"/>
        <s v="LJVNO"/>
        <s v="LJRAG"/>
        <s v="LJANT"/>
        <s v="LJVEX"/>
        <s v="LJBET"/>
        <s v="SNLOG"/>
        <s v="LJPAS"/>
        <s v="LJCON"/>
        <s v="LJCMA"/>
        <s v="LJJFO"/>
        <s v="LJCGR"/>
        <s v="LJVIS"/>
        <s v="LJGOI"/>
        <s v="LJVIX"/>
        <s v="LJGYG"/>
        <s v="LJUDI"/>
        <s v="LJAPS"/>
        <s v="LJBSB"/>
        <s v="LJPLM"/>
        <s v="LJCGB"/>
        <s v="LJUBA"/>
        <s v="LJGRU"/>
        <s v="LJSJC"/>
        <s v="LJSJA"/>
        <s v="LJSOR"/>
        <s v="LJPGR"/>
        <s v="LJSTS"/>
        <s v="LJTAB"/>
        <s v="LJSTA"/>
        <s v="LJMOG"/>
        <s v="LJSMG"/>
        <s v="LJIPA"/>
        <s v="LJOSC"/>
        <s v="LJCAX"/>
        <s v="LJREC"/>
        <s v="LJJPA"/>
        <s v="LJNGT"/>
        <s v="LJCGE"/>
        <s v="LJSSA"/>
        <s v="LJJBT"/>
        <s v="LJPNA"/>
        <s v="LJMCO"/>
        <s v="LJMCZ"/>
        <s v="LJAJU"/>
        <s v="LJVDC"/>
        <s v="LJCAU"/>
        <s v="LJBEL"/>
        <s v="LJIMP"/>
        <s v="LJSLS"/>
        <s v="LJSJB"/>
        <s v="LJMAB"/>
        <s v="LJFTZ"/>
        <s v="LJFZA"/>
        <s v="LJPVH"/>
        <s v="LJSLM"/>
        <s v="LJCAM"/>
        <s v="LJMSO"/>
        <s v="LJTER"/>
        <s v="LJMNS"/>
        <s v="LJNAN"/>
        <s v="LJJZN"/>
        <s v="LJRJB"/>
        <s v="LJNIG"/>
        <s v="LJUPB"/>
        <s v="LJRIO"/>
        <s v="LJBAR"/>
        <s v="LJDUQ"/>
        <s v="LJROS"/>
        <s v="LJPTS"/>
        <s v="LJNIT"/>
        <s v="LJITD"/>
        <s v="LJCGD"/>
        <s v="LJITG"/>
        <s v="LJSAO"/>
        <s v="LJSPP"/>
        <s v="LJENC"/>
        <s v="LJNAU"/>
        <s v="LJPRI"/>
        <s v="LJLEP"/>
        <s v="LJCTN"/>
        <s v="LJSAM"/>
        <s v="LJRJF"/>
        <s v="LJLPA"/>
        <s v="LJSPN"/>
        <s v="LJSCM"/>
        <s v="LJSMT"/>
        <s v="LJSPS"/>
        <s v="LJCPK"/>
        <s v="LJMAR"/>
        <s v="LJMGF"/>
        <s v="LJSTB"/>
        <s v="LJAMC"/>
        <s v="LJPRC"/>
        <s v="LJCPQ"/>
        <s v="LJIND"/>
        <s v="LJSJP"/>
        <s v="LJLDB"/>
        <s v="LJJUN"/>
        <s v="LJTAQ"/>
        <s v="LJARA"/>
        <s v="LJBAU"/>
        <s v="LJRBP"/>
        <s v="LJLIM"/>
        <s v="LJPOA"/>
        <s v="LJSJE"/>
        <s v="LJITJ"/>
        <s v="LJCWB"/>
        <s v="LJBNU"/>
        <s v="LJFLI"/>
        <s v="LJFLN"/>
        <s v="LJPET"/>
        <s v="LJSMR"/>
        <s v="LJSET"/>
        <s v="LJJOI"/>
        <s v="LJCNO"/>
        <s v="LJPGS"/>
        <s v="LJGUI"/>
        <s v="LJSLP"/>
        <s v="LJLGS"/>
        <s v="LJGRA"/>
        <s v="LJCCM"/>
        <s v="LJASI"/>
        <s v="LJAND"/>
        <s v="LJBRO"/>
        <s v="LJTAG"/>
        <s v="LJSCT"/>
        <s v="LJSBC"/>
        <s v="LJFSA"/>
        <s v="LJVRE"/>
        <s v="LJCPN"/>
        <s v="LJCXS"/>
        <s v="SNASC" u="1"/>
        <s v="VCVWA" u="1"/>
        <s v="SNING" u="1"/>
        <s v="SNRAD" u="1"/>
        <s v="INFSN" u="1"/>
        <s v="SNATA" u="1"/>
        <s v="SADMS" u="1"/>
        <s v="GEPRE" u="1"/>
        <s v="SNMKT" u="1"/>
        <s v="COOIM" u="1"/>
        <s v="DIRCS" u="1"/>
        <s v="VCVWC" u="1"/>
        <s v="SNCAV" u="1"/>
        <s v="GQATS" u="1"/>
        <s v="SNADM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zabella Gomes" refreshedDate="44110.616797569448" createdVersion="6" refreshedVersion="6" minRefreshableVersion="3" recordCount="1001" xr:uid="{E054DAB3-2A18-446C-8AC3-C9436C6E32F2}">
  <cacheSource type="worksheet">
    <worksheetSource ref="A2:Z1003" sheet="BASE 03.08" r:id="rId2"/>
  </cacheSource>
  <cacheFields count="26">
    <cacheField name="MAT RM" numFmtId="0">
      <sharedItems containsSemiMixedTypes="0" containsString="0" containsNumber="1" containsInteger="1" minValue="111623" maxValue="503648"/>
    </cacheField>
    <cacheField name="COLABORADOR" numFmtId="0">
      <sharedItems/>
    </cacheField>
    <cacheField name="DIRETORIA" numFmtId="0">
      <sharedItems/>
    </cacheField>
    <cacheField name="REGIONAL" numFmtId="0">
      <sharedItems/>
    </cacheField>
    <cacheField name="AREA" numFmtId="0">
      <sharedItems/>
    </cacheField>
    <cacheField name="GESTOR" numFmtId="0">
      <sharedItems/>
    </cacheField>
    <cacheField name="TIPO DE SALDO" numFmtId="0">
      <sharedItems/>
    </cacheField>
    <cacheField name="SALDO" numFmtId="164">
      <sharedItems containsSemiMixedTypes="0" containsNonDate="0" containsDate="1" containsString="0" minDate="1899-12-30T00:00:00" maxDate="1900-01-29T16:16:00"/>
    </cacheField>
    <cacheField name="NEGATIVO I" numFmtId="164">
      <sharedItems containsSemiMixedTypes="0" containsNonDate="0" containsDate="1" containsString="0" minDate="1899-12-30T00:00:00" maxDate="1900-01-29T16:16:00"/>
    </cacheField>
    <cacheField name="POSITIVO I" numFmtId="164">
      <sharedItems containsSemiMixedTypes="0" containsNonDate="0" containsDate="1" containsString="0" minDate="1899-12-30T00:00:00" maxDate="1900-01-08T00:16:00"/>
    </cacheField>
    <cacheField name="ago-20" numFmtId="164">
      <sharedItems containsDate="1" containsMixedTypes="1" minDate="1899-12-30T00:03:00" maxDate="1900-01-03T06:40:00"/>
    </cacheField>
    <cacheField name="set-20" numFmtId="164">
      <sharedItems containsDate="1" containsMixedTypes="1" minDate="1899-12-30T00:15:00" maxDate="1900-01-09T00:00:00"/>
    </cacheField>
    <cacheField name="out-20" numFmtId="164">
      <sharedItems containsDate="1" containsMixedTypes="1" minDate="1899-12-30T00:05:00" maxDate="1900-01-07T09:21:00"/>
    </cacheField>
    <cacheField name="nov-20" numFmtId="164">
      <sharedItems containsDate="1" containsMixedTypes="1" minDate="1899-12-30T00:06:00" maxDate="1900-01-06T01:00:00"/>
    </cacheField>
    <cacheField name="dez-20" numFmtId="164">
      <sharedItems containsDate="1" containsMixedTypes="1" minDate="1899-12-30T00:12:00" maxDate="1900-01-08T21:36:00"/>
    </cacheField>
    <cacheField name="jan-21" numFmtId="164">
      <sharedItems containsDate="1" containsMixedTypes="1" minDate="1899-12-30T00:01:00" maxDate="1900-01-08T04:00:00"/>
    </cacheField>
    <cacheField name="fev-21" numFmtId="164">
      <sharedItems containsDate="1" containsMixedTypes="1" minDate="1899-12-30T00:06:00" maxDate="1900-01-02T00:31:00"/>
    </cacheField>
    <cacheField name="mar-21" numFmtId="164">
      <sharedItems containsDate="1" containsMixedTypes="1" minDate="1899-12-30T00:06:00" maxDate="1900-01-05T05:36:00"/>
    </cacheField>
    <cacheField name="abr-21" numFmtId="164">
      <sharedItems containsDate="1" containsMixedTypes="1" minDate="1899-12-30T00:01:00" maxDate="1900-01-05T14:24:00"/>
    </cacheField>
    <cacheField name="mai-21" numFmtId="164">
      <sharedItems containsDate="1" containsMixedTypes="1" minDate="1899-12-30T00:15:00" maxDate="1900-01-07T10:24:00"/>
    </cacheField>
    <cacheField name="jun-21" numFmtId="164">
      <sharedItems containsDate="1" containsMixedTypes="1" minDate="1899-12-30T00:04:00" maxDate="1900-01-08T04:00:00"/>
    </cacheField>
    <cacheField name="jul-21" numFmtId="164">
      <sharedItems containsDate="1" containsMixedTypes="1" minDate="1899-12-30T00:08:00" maxDate="1900-01-01T22:24:00"/>
    </cacheField>
    <cacheField name="Status" numFmtId="0">
      <sharedItems/>
    </cacheField>
    <cacheField name="CARGO" numFmtId="0">
      <sharedItems/>
    </cacheField>
    <cacheField name="REGIONAL2" numFmtId="0">
      <sharedItems count="14">
        <s v="LJASO"/>
        <s v="LJGRJ"/>
        <s v="LJSPA"/>
        <s v="RSCEN"/>
        <s v="RSCOE"/>
        <s v="RSGSP"/>
        <s v="RSNDE"/>
        <s v="RSNOR"/>
        <s v="RSRIO"/>
        <s v="RSSAO"/>
        <s v="RSSPI"/>
        <s v="RSSUL"/>
        <s v="LJASI"/>
        <s v="RSCDN"/>
      </sharedItems>
    </cacheField>
    <cacheField name="ÁRE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igor Fialho" refreshedDate="44566.777214583337" createdVersion="6" refreshedVersion="6" minRefreshableVersion="3" recordCount="1142" xr:uid="{87196430-D3A7-40E0-9197-04403615DF33}">
  <cacheSource type="worksheet">
    <worksheetSource ref="A1:M1143" sheet="BASE_MES_ATUAL"/>
  </cacheSource>
  <cacheFields count="13">
    <cacheField name="MAT RM" numFmtId="0">
      <sharedItems containsSemiMixedTypes="0" containsString="0" containsNumber="1" containsInteger="1" minValue="200117" maxValue="238241"/>
    </cacheField>
    <cacheField name="COLABORADOR" numFmtId="0">
      <sharedItems/>
    </cacheField>
    <cacheField name="DIRETORIA" numFmtId="0">
      <sharedItems/>
    </cacheField>
    <cacheField name="REGIONAL" numFmtId="0">
      <sharedItems/>
    </cacheField>
    <cacheField name="AREA" numFmtId="0">
      <sharedItems/>
    </cacheField>
    <cacheField name="GESTOR" numFmtId="0">
      <sharedItems/>
    </cacheField>
    <cacheField name="TIPO DE SALDO" numFmtId="0">
      <sharedItems/>
    </cacheField>
    <cacheField name="SALDO" numFmtId="164">
      <sharedItems containsSemiMixedTypes="0" containsNonDate="0" containsDate="1" containsString="0" minDate="1899-12-30T00:01:00" maxDate="1900-02-05T08:00:00"/>
    </cacheField>
    <cacheField name="NEGATIVO I" numFmtId="164">
      <sharedItems containsNonDate="0" containsDate="1" containsString="0" containsBlank="1" minDate="1899-12-30T00:01:00" maxDate="1900-02-05T08:00:00"/>
    </cacheField>
    <cacheField name="POSITIVO I" numFmtId="164">
      <sharedItems containsNonDate="0" containsDate="1" containsString="0" containsBlank="1" minDate="1899-12-30T00:01:00" maxDate="1900-01-09T14:26:00"/>
    </cacheField>
    <cacheField name="CARGO" numFmtId="0">
      <sharedItems/>
    </cacheField>
    <cacheField name="REGIONAL2" numFmtId="0">
      <sharedItems count="20">
        <s v="REGION1"/>
        <s v="REGION2"/>
        <s v="REGION3"/>
        <s v="REGION4"/>
        <s v="REGION5"/>
        <s v="REGION6"/>
        <s v="REGION7"/>
        <s v="REGION8"/>
        <s v="REGION9"/>
        <s v="RSGSP" u="1"/>
        <s v="RSSUL" u="1"/>
        <s v="RSNDE" u="1"/>
        <s v="RSRIO" u="1"/>
        <s v="RSSAO" u="1"/>
        <s v="RSSSE" u="1"/>
        <s v="RSCOE" u="1"/>
        <s v="RSNDL" u="1"/>
        <s v="RSNOR" u="1"/>
        <s v="RSSPI" u="1"/>
        <s v="RSCEN" u="1"/>
      </sharedItems>
    </cacheField>
    <cacheField name="ÁRE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igor Fialho" refreshedDate="44566.777214930553" createdVersion="6" refreshedVersion="6" minRefreshableVersion="3" recordCount="1141" xr:uid="{1EA4BF63-E54D-4B49-AC59-FF058D08CA0F}">
  <cacheSource type="worksheet">
    <worksheetSource ref="A1:M1142" sheet="BASE_MES_ANTERIOR"/>
  </cacheSource>
  <cacheFields count="13">
    <cacheField name="MAT RM" numFmtId="0">
      <sharedItems containsSemiMixedTypes="0" containsString="0" containsNumber="1" containsInteger="1" minValue="200117" maxValue="238235"/>
    </cacheField>
    <cacheField name="COLABORADOR" numFmtId="0">
      <sharedItems/>
    </cacheField>
    <cacheField name="DIRETORIA" numFmtId="0">
      <sharedItems/>
    </cacheField>
    <cacheField name="REGIONAL" numFmtId="0">
      <sharedItems/>
    </cacheField>
    <cacheField name="AREA" numFmtId="0">
      <sharedItems/>
    </cacheField>
    <cacheField name="GESTOR" numFmtId="0">
      <sharedItems/>
    </cacheField>
    <cacheField name="TIPO DE SALDO" numFmtId="0">
      <sharedItems/>
    </cacheField>
    <cacheField name="SALDO" numFmtId="164">
      <sharedItems containsSemiMixedTypes="0" containsNonDate="0" containsDate="1" containsString="0" minDate="1899-12-30T00:02:00" maxDate="1900-02-02T20:00:00"/>
    </cacheField>
    <cacheField name="NEGATIVO I" numFmtId="164">
      <sharedItems containsNonDate="0" containsDate="1" containsString="0" containsBlank="1" minDate="1899-12-30T00:02:00" maxDate="1900-02-02T20:00:00"/>
    </cacheField>
    <cacheField name="POSITIVO I" numFmtId="165">
      <sharedItems containsNonDate="0" containsDate="1" containsString="0" containsBlank="1" minDate="1899-12-30T00:02:00" maxDate="1900-01-09T18:00:00"/>
    </cacheField>
    <cacheField name="CARGO" numFmtId="0">
      <sharedItems/>
    </cacheField>
    <cacheField name="REGIONAL2" numFmtId="0">
      <sharedItems count="20">
        <s v="REGION1"/>
        <s v="REGION2"/>
        <s v="REGION3"/>
        <s v="REGION4"/>
        <s v="REGION5"/>
        <s v="REGION6"/>
        <s v="REGION7"/>
        <s v="REGION8"/>
        <s v="REGION9"/>
        <s v="RSGSP" u="1"/>
        <s v="RSSUL" u="1"/>
        <s v="RSNDE" u="1"/>
        <s v="RSRIO" u="1"/>
        <s v="RSSAO" u="1"/>
        <s v="RSSSE" u="1"/>
        <s v="RSCOE" u="1"/>
        <s v="RSNDL" u="1"/>
        <s v="RSNOR" u="1"/>
        <s v="RSSPI" u="1"/>
        <s v="RSCEN" u="1"/>
      </sharedItems>
    </cacheField>
    <cacheField name="ÁRE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igor Fialho" refreshedDate="44566.777215162037" createdVersion="6" refreshedVersion="6" minRefreshableVersion="3" recordCount="1143" xr:uid="{00000000-000A-0000-FFFF-FFFF01000000}">
  <cacheSource type="worksheet">
    <worksheetSource ref="A1:M1048576" sheet="BASE_MES_ATUAL"/>
  </cacheSource>
  <cacheFields count="13">
    <cacheField name="MAT RM" numFmtId="0">
      <sharedItems containsString="0" containsBlank="1" containsNumber="1" containsInteger="1" minValue="200117" maxValue="238241"/>
    </cacheField>
    <cacheField name="COLABORADOR" numFmtId="0">
      <sharedItems containsBlank="1"/>
    </cacheField>
    <cacheField name="DIRETORIA" numFmtId="0">
      <sharedItems containsBlank="1"/>
    </cacheField>
    <cacheField name="REGIONAL" numFmtId="0">
      <sharedItems containsBlank="1"/>
    </cacheField>
    <cacheField name="AREA" numFmtId="0">
      <sharedItems containsBlank="1"/>
    </cacheField>
    <cacheField name="GESTOR" numFmtId="0">
      <sharedItems containsBlank="1"/>
    </cacheField>
    <cacheField name="TIPO DE SALDO" numFmtId="0">
      <sharedItems containsBlank="1"/>
    </cacheField>
    <cacheField name="SALDO" numFmtId="0">
      <sharedItems containsNonDate="0" containsDate="1" containsString="0" containsBlank="1" minDate="1899-12-30T00:01:00" maxDate="1900-02-05T08:00:00"/>
    </cacheField>
    <cacheField name="NEGATIVO I" numFmtId="0">
      <sharedItems containsNonDate="0" containsDate="1" containsString="0" containsBlank="1" minDate="1899-12-30T00:01:00" maxDate="1900-02-05T08:00:00"/>
    </cacheField>
    <cacheField name="POSITIVO I" numFmtId="0">
      <sharedItems containsNonDate="0" containsDate="1" containsString="0" containsBlank="1" minDate="1899-12-30T00:01:00" maxDate="1900-01-09T14:26:00"/>
    </cacheField>
    <cacheField name="CARGO" numFmtId="0">
      <sharedItems containsBlank="1"/>
    </cacheField>
    <cacheField name="REGIONAL2" numFmtId="0">
      <sharedItems containsBlank="1" count="26">
        <s v="REGION1"/>
        <s v="REGION2"/>
        <s v="REGION3"/>
        <s v="REGION4"/>
        <s v="REGION5"/>
        <s v="REGION6"/>
        <s v="REGION7"/>
        <s v="REGION8"/>
        <s v="REGION9"/>
        <m/>
        <s v="RSCDN" u="1"/>
        <s v="LJASI" u="1"/>
        <s v="RSSPI" u="1"/>
        <s v="LJSPA" u="1"/>
        <s v="LJASO" u="1"/>
        <s v="RSSUL" u="1"/>
        <s v="LJGRJ" u="1"/>
        <s v="RSCOE" u="1"/>
        <s v="RSGSP" u="1"/>
        <s v="RSSSE" u="1"/>
        <s v="RSSAO" u="1"/>
        <s v="RSNOR" u="1"/>
        <s v="RSNDL" u="1"/>
        <s v="RSNDE" u="1"/>
        <s v="RSRIO" u="1"/>
        <s v="RSCEN" u="1"/>
      </sharedItems>
    </cacheField>
    <cacheField name="ÁREA" numFmtId="0">
      <sharedItems containsBlank="1" count="523">
        <s v="STORE1"/>
        <s v="STORE2"/>
        <s v="STORE3"/>
        <s v="STORE4"/>
        <s v="STORE5"/>
        <s v="STORE6"/>
        <s v="STORE7"/>
        <s v="STORE8"/>
        <s v="STORE9"/>
        <s v="STORE10"/>
        <s v="STORE11"/>
        <s v="STORE12"/>
        <s v="STORE13"/>
        <s v="STORE14"/>
        <s v="STORE15"/>
        <s v="STORE16"/>
        <s v="STORE17"/>
        <s v="STORE18"/>
        <s v="STORE19"/>
        <s v="STORE20"/>
        <s v="STORE21"/>
        <s v="STORE22"/>
        <s v="STORE23"/>
        <s v="STORE24"/>
        <s v="STORE25"/>
        <s v="STORE26"/>
        <s v="STORE27"/>
        <s v="STORE28"/>
        <s v="STORE29"/>
        <s v="STORE30"/>
        <s v="STORE31"/>
        <s v="STORE32"/>
        <s v="STORE33"/>
        <s v="STORE34"/>
        <s v="STORE35"/>
        <s v="STORE36"/>
        <s v="STORE37"/>
        <s v="STORE38"/>
        <s v="STORE39"/>
        <s v="STORE40"/>
        <s v="STORE41"/>
        <s v="STORE42"/>
        <s v="STORE43"/>
        <s v="STORE44"/>
        <s v="STORE45"/>
        <s v="STORE46"/>
        <s v="STORE47"/>
        <s v="STORE48"/>
        <s v="STORE49"/>
        <s v="STORE50"/>
        <s v="STORE51"/>
        <s v="STORE52"/>
        <s v="STORE53"/>
        <s v="STORE54"/>
        <s v="STORE55"/>
        <s v="STORE56"/>
        <s v="STORE57"/>
        <s v="STORE58"/>
        <s v="STORE59"/>
        <s v="STORE60"/>
        <s v="STORE61"/>
        <s v="STORE62"/>
        <s v="STORE63"/>
        <s v="STORE64"/>
        <s v="STORE65"/>
        <s v="STORE66"/>
        <s v="STORE67"/>
        <s v="STORE68"/>
        <s v="STORE69"/>
        <s v="STORE70"/>
        <s v="STORE71"/>
        <s v="STORE72"/>
        <s v="STORE73"/>
        <s v="STORE74"/>
        <s v="STORE75"/>
        <s v="STORE76"/>
        <s v="STORE77"/>
        <s v="STORE78"/>
        <s v="STORE79"/>
        <s v="STORE80"/>
        <s v="STORE81"/>
        <s v="STORE82"/>
        <s v="STORE83"/>
        <s v="STORE84"/>
        <s v="STORE85"/>
        <s v="STORE86"/>
        <s v="STORE87"/>
        <s v="STORE88"/>
        <s v="STORE89"/>
        <s v="STORE90"/>
        <s v="STORE91"/>
        <s v="STORE92"/>
        <s v="STORE93"/>
        <s v="STORE94"/>
        <s v="STORE95"/>
        <s v="STORE96"/>
        <s v="STORE97"/>
        <s v="STORE98"/>
        <s v="STORE99"/>
        <s v="STORE100"/>
        <s v="STORE101"/>
        <s v="STORE102"/>
        <s v="STORE103"/>
        <s v="STORE104"/>
        <s v="STORE105"/>
        <s v="STORE106"/>
        <s v="STORE107"/>
        <s v="STORE108"/>
        <s v="STORE109"/>
        <s v="STORE110"/>
        <s v="STORE111"/>
        <s v="STORE112"/>
        <s v="STORE113"/>
        <s v="STORE114"/>
        <s v="STORE115"/>
        <s v="STORE116"/>
        <s v="STORE117"/>
        <s v="STORE118"/>
        <s v="STORE119"/>
        <s v="STORE120"/>
        <s v="STORE121"/>
        <s v="STORE122"/>
        <s v="STORE123"/>
        <s v="STORE124"/>
        <s v="STORE125"/>
        <s v="STORE126"/>
        <s v="STORE127"/>
        <s v="STORE128"/>
        <s v="STORE129"/>
        <s v="STORE130"/>
        <s v="STORE131"/>
        <s v="STORE132"/>
        <s v="STORE133"/>
        <s v="STORE134"/>
        <s v="STORE135"/>
        <s v="STORE136"/>
        <s v="STORE137"/>
        <s v="STORE138"/>
        <s v="STORE139"/>
        <s v="STORE140"/>
        <s v="STORE141"/>
        <s v="STORE142"/>
        <s v="STORE143"/>
        <s v="STORE144"/>
        <s v="STORE145"/>
        <s v="STORE146"/>
        <s v="STORE147"/>
        <s v="STORE148"/>
        <s v="STORE149"/>
        <s v="STORE150"/>
        <s v="STORE151"/>
        <s v="STORE152"/>
        <s v="STORE153"/>
        <s v="STORE154"/>
        <s v="STORE155"/>
        <s v="STORE156"/>
        <s v="STORE157"/>
        <s v="STORE158"/>
        <s v="STORE159"/>
        <s v="STORE160"/>
        <s v="STORE161"/>
        <s v="STORE162"/>
        <s v="STORE163"/>
        <s v="STORE164"/>
        <s v="STORE165"/>
        <s v="STORE166"/>
        <s v="STORE167"/>
        <s v="STORE168"/>
        <s v="STORE169"/>
        <s v="STORE170"/>
        <s v="STORE171"/>
        <s v="STORE172"/>
        <s v="STORE173"/>
        <s v="STORE174"/>
        <s v="STORE175"/>
        <s v="STORE176"/>
        <s v="STORE177"/>
        <s v="STORE178"/>
        <s v="STORE179"/>
        <s v="STORE180"/>
        <s v="STORE181"/>
        <s v="STORE182"/>
        <s v="STORE183"/>
        <s v="STORE184"/>
        <s v="STORE185"/>
        <s v="STORE186"/>
        <s v="STORE187"/>
        <s v="STORE188"/>
        <s v="STORE189"/>
        <s v="STORE190"/>
        <s v="STORE191"/>
        <s v="STORE192"/>
        <s v="STORE193"/>
        <s v="STORE194"/>
        <s v="STORE195"/>
        <s v="STORE196"/>
        <s v="STORE197"/>
        <s v="STORE198"/>
        <s v="STORE199"/>
        <s v="STORE200"/>
        <s v="STORE201"/>
        <s v="STORE202"/>
        <s v="STORE203"/>
        <s v="STORE204"/>
        <s v="STORE205"/>
        <s v="STORE206"/>
        <s v="STORE207"/>
        <s v="STORE208"/>
        <s v="STORE209"/>
        <s v="STORE210"/>
        <s v="STORE211"/>
        <s v="STORE212"/>
        <s v="STORE213"/>
        <s v="STORE214"/>
        <s v="STORE215"/>
        <s v="STORE216"/>
        <s v="STORE217"/>
        <s v="STORE218"/>
        <s v="STORE219"/>
        <s v="STORE220"/>
        <s v="STORE221"/>
        <s v="STORE222"/>
        <s v="STORE223"/>
        <s v="STORE224"/>
        <s v="STORE225"/>
        <s v="STORE226"/>
        <s v="STORE227"/>
        <s v="STORE228"/>
        <s v="STORE229"/>
        <s v="STORE230"/>
        <s v="STORE231"/>
        <s v="STORE232"/>
        <s v="STORE233"/>
        <s v="STORE234"/>
        <s v="STORE235"/>
        <s v="STORE236"/>
        <s v="STORE237"/>
        <s v="STORE238"/>
        <s v="STORE239"/>
        <s v="STORE240"/>
        <s v="STORE241"/>
        <s v="STORE242"/>
        <s v="STORE243"/>
        <s v="STORE244"/>
        <s v="STORE245"/>
        <s v="STORE246"/>
        <s v="STORE247"/>
        <s v="STORE248"/>
        <s v="STORE249"/>
        <s v="STORE250"/>
        <s v="STORE251"/>
        <s v="STORE252"/>
        <s v="STORE253"/>
        <s v="STORE254"/>
        <s v="STORE255"/>
        <s v="STORE256"/>
        <s v="STORE257"/>
        <s v="STORE258"/>
        <s v="STORE259"/>
        <s v="STORE260"/>
        <s v="STORE261"/>
        <s v="STORE262"/>
        <s v="STORE263"/>
        <s v="STORE264"/>
        <s v="STORE265"/>
        <s v="STORE266"/>
        <s v="STORE267"/>
        <s v="STORE268"/>
        <s v="STORE269"/>
        <s v="STORE270"/>
        <s v="STORE271"/>
        <s v="STORE272"/>
        <s v="STORE273"/>
        <s v="STORE274"/>
        <s v="STORE275"/>
        <s v="STORE276"/>
        <s v="STORE277"/>
        <s v="STORE278"/>
        <s v="STORE279"/>
        <s v="STORE280"/>
        <s v="STORE281"/>
        <s v="STORE282"/>
        <s v="STORE283"/>
        <s v="STORE284"/>
        <s v="STORE285"/>
        <s v="STORE286"/>
        <s v="STORE287"/>
        <s v="STORE288"/>
        <s v="STORE289"/>
        <s v="STORE290"/>
        <s v="STORE291"/>
        <s v="STORE292"/>
        <s v="STORE293"/>
        <s v="STORE294"/>
        <s v="STORE295"/>
        <s v="STORE296"/>
        <s v="STORE297"/>
        <s v="STORE298"/>
        <s v="STORE299"/>
        <s v="STORE300"/>
        <s v="STORE301"/>
        <s v="STORE302"/>
        <s v="STORE303"/>
        <s v="STORE304"/>
        <s v="STORE305"/>
        <s v="STORE306"/>
        <s v="STORE307"/>
        <s v="STORE308"/>
        <s v="STORE309"/>
        <s v="STORE310"/>
        <s v="STORE311"/>
        <s v="STORE312"/>
        <s v="STORE313"/>
        <s v="STORE314"/>
        <s v="STORE315"/>
        <s v="STORE316"/>
        <s v="STORE317"/>
        <s v="STORE318"/>
        <s v="STORE319"/>
        <s v="STORE320"/>
        <s v="STORE321"/>
        <s v="STORE322"/>
        <s v="STORE323"/>
        <s v="STORE324"/>
        <s v="STORE325"/>
        <s v="STORE326"/>
        <s v="STORE327"/>
        <s v="STORE328"/>
        <s v="STORE329"/>
        <s v="STORE330"/>
        <s v="STORE331"/>
        <s v="STORE332"/>
        <s v="STORE333"/>
        <s v="STORE334"/>
        <s v="STORE335"/>
        <s v="STORE336"/>
        <s v="STORE337"/>
        <s v="STORE338"/>
        <s v="STORE339"/>
        <s v="STORE340"/>
        <s v="STORE341"/>
        <s v="STORE342"/>
        <s v="STORE343"/>
        <s v="STORE344"/>
        <s v="STORE345"/>
        <s v="STORE346"/>
        <s v="STORE347"/>
        <s v="STORE348"/>
        <s v="STORE349"/>
        <s v="STORE350"/>
        <s v="STORE351"/>
        <s v="STORE352"/>
        <s v="STORE353"/>
        <s v="STORE354"/>
        <s v="STORE355"/>
        <s v="STORE356"/>
        <s v="STORE357"/>
        <s v="STORE358"/>
        <s v="STORE359"/>
        <s v="STORE360"/>
        <s v="STORE361"/>
        <s v="STORE362"/>
        <s v="STORE363"/>
        <s v="STORE364"/>
        <s v="STORE365"/>
        <s v="STORE366"/>
        <s v="STORE367"/>
        <s v="STORE368"/>
        <s v="STORE369"/>
        <s v="STORE370"/>
        <s v="STORE371"/>
        <s v="STORE372"/>
        <s v="STORE373"/>
        <s v="STORE374"/>
        <s v="STORE375"/>
        <s v="STORE376"/>
        <s v="STORE377"/>
        <s v="STORE378"/>
        <s v="STORE379"/>
        <s v="STORE380"/>
        <m/>
        <s v="LJLDB" u="1"/>
        <s v="LJCMA" u="1"/>
        <s v="LJSAC" u="1"/>
        <s v="LJVEX" u="1"/>
        <s v="LJBEL" u="1"/>
        <s v="LJPET" u="1"/>
        <s v="LJRJF" u="1"/>
        <s v="LJGYG" u="1"/>
        <s v="LJANO" u="1"/>
        <s v="LJSMG" u="1"/>
        <s v="LJLEP" u="1"/>
        <s v="LJSET" u="1"/>
        <s v="LJCNO" u="1"/>
        <s v="LJFSA" u="1"/>
        <s v="LJPVH" u="1"/>
        <s v="LJMNS" u="1"/>
        <s v="LJRJB" u="1"/>
        <s v="LJTER" u="1"/>
        <s v="LJSJB" u="1"/>
        <s v="LJOSC" u="1"/>
        <s v="LJPTS" u="1"/>
        <s v="LJUPB" u="1"/>
        <s v="LJSSA" u="1"/>
        <s v="LJSTS" u="1"/>
        <s v="LJVNO" u="1"/>
        <s v="LJENC" u="1"/>
        <s v="LJCCM" u="1"/>
        <s v="LJITG" u="1"/>
        <s v="LJSBC" u="1"/>
        <s v="LJCWB" u="1"/>
        <s v="LJMCO" u="1"/>
        <s v="LJUBA" u="1"/>
        <s v="LJFLN" u="1"/>
        <s v="LJCAX" u="1"/>
        <s v="LJDUQ" u="1"/>
        <s v="LJPNA" u="1"/>
        <s v="LJFZA" u="1"/>
        <s v="LJVIS" u="1"/>
        <s v="LJLIM" u="1"/>
        <s v="LJROS" u="1"/>
        <s v="LJSCM" u="1"/>
        <s v="LJRIO" u="1"/>
        <s v="LJSLP" u="1"/>
        <s v="LJBAR" u="1"/>
        <s v="LJAJU" u="1"/>
        <s v="LJCDS" u="1"/>
        <s v="LJSTA" u="1"/>
        <s v="LJGOI" u="1"/>
        <s v="LJGRJ" u="1"/>
        <s v="LJJOI" u="1"/>
        <s v="LJCGR" u="1"/>
        <s v="LJNIG" u="1"/>
        <s v="LJGUI" u="1"/>
        <s v="LJAPS" u="1"/>
        <s v="LJMAR" u="1"/>
        <s v="LJARB" u="1"/>
        <s v="LJMOG" u="1"/>
        <s v="LJNGT" u="1"/>
        <s v="LJCPQ" u="1"/>
        <s v="LJNAN" u="1"/>
        <s v="LJPGR" u="1"/>
        <s v="LJIMP" u="1"/>
        <s v="LJBHZ" u="1"/>
        <s v="LJSMT" u="1"/>
        <s v="LJPOA" u="1"/>
        <s v="LJCPK" u="1"/>
        <s v="LJSMR" u="1"/>
        <s v="LJSPS" u="1"/>
        <s v="LJCGD" u="1"/>
        <s v="LJCGB" u="1"/>
        <s v="LJJBT" u="1"/>
        <s v="LJMGF" u="1"/>
        <s v="LJUDI" u="1"/>
        <s v="LJANT" u="1"/>
        <s v="LJFTZ" u="1"/>
        <s v="LJMAB" u="1"/>
        <s v="LJBSB" u="1"/>
        <s v="LJTAB" u="1"/>
        <s v="LJSJE" u="1"/>
        <s v="LJVDC" u="1"/>
        <s v="LJIPA" u="1"/>
        <s v="LJJPA" u="1"/>
        <s v="LJRBP" u="1"/>
        <s v="LJSJC" u="1"/>
        <s v="LJLPA" u="1"/>
        <s v="LJSJA" u="1"/>
        <s v="LJCTN" u="1"/>
        <s v="LJSPA" u="1"/>
        <s v="LJMCZ" u="1"/>
        <s v="LJAND" u="1"/>
        <s v="LJJZN" u="1"/>
        <s v="LJITJ" u="1"/>
        <s v="LJIND" u="1"/>
        <s v="LJREC" u="1"/>
        <s v="LJGRU" u="1"/>
        <s v="LJSCT" u="1"/>
        <s v="LJNIT" u="1"/>
        <s v="LJVIX" u="1"/>
        <s v="LJITD" u="1"/>
        <s v="LJJFO" u="1"/>
        <s v="LJCXS" u="1"/>
        <s v="LJBRO" u="1"/>
        <s v="LJCON" u="1"/>
        <s v="LJJZF" u="1"/>
        <s v="LJSLS" u="1"/>
        <s v="LJBAU" u="1"/>
        <s v="LJCAU" u="1"/>
        <s v="LJFLI" u="1"/>
        <s v="LJSOR" u="1"/>
        <s v="LJSTB" u="1"/>
        <s v="LJPLM" u="1"/>
        <s v="LJJUN" u="1"/>
        <s v="LJSLM" u="1"/>
        <s v="LJNAU" u="1"/>
        <s v="LJCAM" u="1"/>
        <s v="LJJLE" u="1"/>
        <s v="LJPAS" u="1"/>
        <s v="LJARA" u="1"/>
        <s v="LJLGS" u="1"/>
        <s v="LJPRI" u="1"/>
        <s v="LJPGS" u="1"/>
        <s v="LJGRA" u="1"/>
        <s v="LJTAQ" u="1"/>
        <s v="LJASO" u="1"/>
        <s v="LJCPN" u="1"/>
        <s v="LJSAO" u="1"/>
        <s v="LJPRC" u="1"/>
        <s v="LJSAM" u="1"/>
        <s v="LJVRE" u="1"/>
        <s v="LJPPR" u="1"/>
        <s v="LJSJP" u="1"/>
        <s v="LJCGE" u="1"/>
        <s v="LJASI" u="1"/>
        <s v="LJBET" u="1"/>
        <s v="LJMSO" u="1"/>
        <s v="SNLOG" u="1"/>
        <s v="LJSPP" u="1"/>
        <s v="LJRAG" u="1"/>
        <s v="LJAMC" u="1"/>
        <s v="LJTAG" u="1"/>
        <s v="LJBNU" u="1"/>
        <s v="LJSP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136988"/>
    <x v="0"/>
    <s v="Diretoria Seminovos"/>
    <x v="0"/>
    <s v="LJASO/MAR - Seminovos Atacado Marília"/>
    <s v="EMERSON LOPES DE MEDEIROS"/>
    <s v="NEGATIVO"/>
    <d v="1900-01-11T11:12:00"/>
    <d v="1900-01-11T11:12:00"/>
    <d v="1899-12-30T00:00:00"/>
    <s v=" "/>
    <s v=" "/>
    <s v=" "/>
    <s v=" "/>
    <s v=" "/>
    <s v=" "/>
    <s v=" "/>
    <d v="1900-01-04T20:48:00"/>
    <d v="1900-01-05T14:24:00"/>
    <s v=" "/>
    <s v=" "/>
    <s v=" "/>
    <s v="Ativo"/>
    <x v="0"/>
    <x v="0"/>
    <x v="0"/>
  </r>
  <r>
    <n v="136985"/>
    <x v="1"/>
    <s v="Diretoria Seminovos"/>
    <x v="0"/>
    <s v="LJASO/SJP - Seminovos Atacado São José do Rio Preto"/>
    <s v="EMERSON LOPES DE MEDEIROS"/>
    <s v="NEGATIVO"/>
    <d v="1900-01-10T17:36:00"/>
    <d v="1900-01-10T17:36:00"/>
    <d v="1899-12-30T00:00:00"/>
    <s v=" "/>
    <s v=" "/>
    <s v=" "/>
    <s v=" "/>
    <s v=" "/>
    <s v=" "/>
    <s v=" "/>
    <d v="1900-01-05T05:36:00"/>
    <d v="1900-01-04T12:00:00"/>
    <s v=" "/>
    <s v=" "/>
    <s v=" "/>
    <s v="Ativo"/>
    <x v="0"/>
    <x v="0"/>
    <x v="0"/>
  </r>
  <r>
    <n v="502943"/>
    <x v="2"/>
    <s v="Diretoria Seminovos"/>
    <x v="1"/>
    <s v="LJGRJ/RIO - Seminovos Atacado Rio de Janeiro"/>
    <s v="LUCIANO JOSE GOMES DE SENA"/>
    <s v="NEGATIVO"/>
    <d v="1900-01-09T04:07:00"/>
    <d v="1900-01-09T04:07:00"/>
    <d v="1899-12-30T00:00:00"/>
    <d v="1899-12-31T10:58:00"/>
    <d v="1900-01-02T11:46:00"/>
    <d v="1900-01-04T05:17:00"/>
    <s v=" "/>
    <s v=" "/>
    <s v=" "/>
    <s v=" "/>
    <s v=" "/>
    <s v=" "/>
    <s v=" "/>
    <s v=" "/>
    <s v=" "/>
    <s v="Ativo"/>
    <x v="1"/>
    <x v="1"/>
    <x v="1"/>
  </r>
  <r>
    <n v="133513"/>
    <x v="3"/>
    <s v="Diretoria Seminovos"/>
    <x v="2"/>
    <s v="LJSPA/SAO - Seminovos Atacado São Paulo Capital"/>
    <s v="RONALDO SANTOS LIMA"/>
    <s v="NEGATIVO"/>
    <d v="1900-01-04T15:41:00"/>
    <d v="1900-01-04T15:41:00"/>
    <d v="1899-12-30T00:00:00"/>
    <s v=" "/>
    <s v=" "/>
    <s v=" "/>
    <s v=" "/>
    <s v=" "/>
    <s v=" "/>
    <s v=" "/>
    <d v="1899-12-31T03:30:00"/>
    <d v="1899-12-31T20:00:00"/>
    <d v="1899-12-30T21:00:00"/>
    <d v="1899-12-31T19:11:00"/>
    <s v=" "/>
    <s v="Ativo"/>
    <x v="1"/>
    <x v="2"/>
    <x v="2"/>
  </r>
  <r>
    <n v="136351"/>
    <x v="4"/>
    <s v="Diretoria Seminovos"/>
    <x v="3"/>
    <s v="LJBHZ - Loja Seminovos Belo Horizonte"/>
    <s v="GUSTAVO LUIZ DO NASCIMENTO"/>
    <s v="NEGATIVO"/>
    <d v="1899-12-31T07:32:00"/>
    <d v="1899-12-31T07:32:00"/>
    <d v="1899-12-30T00:00:00"/>
    <s v=" "/>
    <s v=" "/>
    <s v=" "/>
    <s v=" "/>
    <d v="1899-12-30T03:59:00"/>
    <d v="1899-12-30T14:47:00"/>
    <d v="1899-12-30T08:48:00"/>
    <s v=" "/>
    <s v=" "/>
    <s v=" "/>
    <s v=" "/>
    <s v=" "/>
    <s v="Ativo"/>
    <x v="2"/>
    <x v="3"/>
    <x v="3"/>
  </r>
  <r>
    <n v="120870"/>
    <x v="5"/>
    <s v="Diretoria Seminovos"/>
    <x v="3"/>
    <s v="LJVNO - Loja Seminovos Venda Nova"/>
    <s v="LILIANE FARIA DE ANDRADE"/>
    <s v="NEGATIVO"/>
    <d v="1900-01-01T04:54:00"/>
    <d v="1900-01-01T04:54:00"/>
    <d v="1899-12-30T00:00:00"/>
    <s v=" "/>
    <s v=" "/>
    <s v=" "/>
    <s v=" "/>
    <d v="1899-12-31T02:01:00"/>
    <d v="1899-12-30T14:41:00"/>
    <d v="1899-12-30T10:56:00"/>
    <s v=" "/>
    <s v=" "/>
    <s v=" "/>
    <s v=" "/>
    <s v=" "/>
    <s v="Ativo"/>
    <x v="2"/>
    <x v="3"/>
    <x v="4"/>
  </r>
  <r>
    <n v="135678"/>
    <x v="6"/>
    <s v="Diretoria Seminovos"/>
    <x v="3"/>
    <s v="LJRAG - Vendas Varejo Seminovos Raja Gabaglia"/>
    <s v="FELIPE RIGHI MOREIRA VEIGA"/>
    <s v="NEGATIVO"/>
    <d v="1900-01-01T03:11:00"/>
    <d v="1900-01-01T03:11:00"/>
    <d v="1899-12-30T00:00:00"/>
    <s v=" "/>
    <s v=" "/>
    <s v=" "/>
    <s v=" "/>
    <s v=" "/>
    <d v="1899-12-30T00:17:00"/>
    <d v="1899-12-30T17:51:00"/>
    <s v=" "/>
    <s v=" "/>
    <s v=" "/>
    <s v=" "/>
    <s v=" "/>
    <s v="Ativo"/>
    <x v="3"/>
    <x v="3"/>
    <x v="5"/>
  </r>
  <r>
    <n v="121010"/>
    <x v="7"/>
    <s v="Diretoria Seminovos"/>
    <x v="3"/>
    <s v="LJANT - Loja Seminovos Antônio Carlos"/>
    <s v="ANDERSON AFFONSO DE PAULA"/>
    <s v="NEGATIVO"/>
    <d v="1900-01-05T12:00:00"/>
    <d v="1900-01-05T12:00:00"/>
    <d v="1899-12-30T00:00:00"/>
    <s v=" "/>
    <s v=" "/>
    <s v=" "/>
    <s v=" "/>
    <d v="1900-01-05T12:00:00"/>
    <s v=" "/>
    <s v=" "/>
    <s v=" "/>
    <s v=" "/>
    <s v=" "/>
    <s v=" "/>
    <s v=" "/>
    <s v="Af.Previdência"/>
    <x v="2"/>
    <x v="3"/>
    <x v="6"/>
  </r>
  <r>
    <n v="136263"/>
    <x v="8"/>
    <s v="Diretoria Seminovos"/>
    <x v="3"/>
    <s v="LJRAG - Loja Seminovos Raja Gabaglia"/>
    <s v="FELIPE RIGHI MOREIRA VEIGA"/>
    <s v="NEGATIVO"/>
    <d v="1899-12-30T09:09:00"/>
    <d v="1899-12-30T09:09:00"/>
    <d v="1899-12-30T00:00:00"/>
    <s v=" "/>
    <s v=" "/>
    <s v=" "/>
    <s v=" "/>
    <s v=" "/>
    <d v="1899-12-30T04:34:00"/>
    <d v="1899-12-30T02:26:00"/>
    <s v=" "/>
    <s v=" "/>
    <s v=" "/>
    <s v=" "/>
    <s v=" "/>
    <s v="Ativo"/>
    <x v="2"/>
    <x v="3"/>
    <x v="5"/>
  </r>
  <r>
    <n v="129823"/>
    <x v="9"/>
    <s v="Diretoria Seminovos"/>
    <x v="3"/>
    <s v="LJBHZ - Loja Seminovos Belo Horizonte"/>
    <s v="GUSTAVO LUIZ DO NASCIMENTO"/>
    <s v="NEGATIVO"/>
    <d v="1899-12-31T00:18:00"/>
    <d v="1899-12-31T00:18:00"/>
    <d v="1899-12-30T00:00:00"/>
    <s v=" "/>
    <s v=" "/>
    <s v=" "/>
    <s v=" "/>
    <d v="1899-12-30T07:38:00"/>
    <d v="1899-12-30T16:40:00"/>
    <s v=" "/>
    <s v=" "/>
    <s v=" "/>
    <s v=" "/>
    <s v=" "/>
    <s v=" "/>
    <s v="Ativo"/>
    <x v="2"/>
    <x v="3"/>
    <x v="3"/>
  </r>
  <r>
    <n v="136087"/>
    <x v="10"/>
    <s v="Diretoria Seminovos"/>
    <x v="3"/>
    <s v="LJBHZ - Vendas Varejo Seminovos Belo Horizonte"/>
    <s v="GUSTAVO LUIZ DO NASCIMENTO"/>
    <s v="NEGATIVO"/>
    <d v="1899-12-30T18:35:00"/>
    <d v="1899-12-30T18:35:00"/>
    <d v="1899-12-30T00:00:00"/>
    <s v=" "/>
    <s v=" "/>
    <d v="1899-12-30T19:08:00"/>
    <s v=" "/>
    <s v=" "/>
    <s v=" "/>
    <s v=" "/>
    <s v=" "/>
    <s v=" "/>
    <s v=" "/>
    <s v=" "/>
    <s v=" "/>
    <s v="Ativo"/>
    <x v="4"/>
    <x v="3"/>
    <x v="3"/>
  </r>
  <r>
    <n v="134574"/>
    <x v="11"/>
    <s v="Diretoria Seminovos"/>
    <x v="3"/>
    <s v="LJVEX - Loja Seminovos Via Expressa Contagem"/>
    <s v="FABIO GONCALVES BOSQUE"/>
    <s v="NEGATIVO"/>
    <d v="1899-12-30T08:04:00"/>
    <d v="1899-12-30T08:04:00"/>
    <d v="1899-12-30T00:00:00"/>
    <s v=" "/>
    <s v=" "/>
    <d v="1899-12-30T08:04:00"/>
    <s v=" "/>
    <s v=" "/>
    <s v=" "/>
    <s v=" "/>
    <s v=" "/>
    <s v=" "/>
    <s v=" "/>
    <s v=" "/>
    <s v=" "/>
    <s v="Contrato de Trabalho Suspenso"/>
    <x v="2"/>
    <x v="3"/>
    <x v="7"/>
  </r>
  <r>
    <n v="503298"/>
    <x v="12"/>
    <s v="Diretoria Seminovos"/>
    <x v="3"/>
    <s v="LJBET - Loja Seminovos Betim"/>
    <s v="THIAGO MAURICIO GOMES DOS SANTOS"/>
    <s v="NEGATIVO"/>
    <d v="1899-12-30T12:25:00"/>
    <d v="1899-12-30T12:25:00"/>
    <d v="1899-12-30T00:00:00"/>
    <s v=" "/>
    <s v=" "/>
    <d v="1899-12-30T10:13:00"/>
    <d v="1899-12-30T14:15:00"/>
    <s v=" "/>
    <s v=" "/>
    <s v=" "/>
    <s v=" "/>
    <s v=" "/>
    <s v=" "/>
    <s v=" "/>
    <s v=" "/>
    <s v="Ativo"/>
    <x v="5"/>
    <x v="3"/>
    <x v="8"/>
  </r>
  <r>
    <n v="131507"/>
    <x v="13"/>
    <s v="Diretoria Seminovos"/>
    <x v="3"/>
    <s v="LJBET - Loja Seminovos Betim"/>
    <s v="THIAGO MAURICIO GOMES DOS SANTOS"/>
    <s v="NEGATIVO"/>
    <d v="1899-12-30T16:01:00"/>
    <d v="1899-12-30T16:01:00"/>
    <d v="1899-12-30T00:00:00"/>
    <s v=" "/>
    <s v=" "/>
    <s v=" "/>
    <s v=" "/>
    <s v=" "/>
    <d v="1899-12-30T14:31:00"/>
    <d v="1899-12-30T01:00:00"/>
    <s v=" "/>
    <s v=" "/>
    <s v=" "/>
    <s v=" "/>
    <s v=" "/>
    <s v="Ativo"/>
    <x v="2"/>
    <x v="3"/>
    <x v="8"/>
  </r>
  <r>
    <n v="136141"/>
    <x v="14"/>
    <s v="Diretoria Seminovos"/>
    <x v="3"/>
    <s v="LJANT - Loja Seminovos Antônio Carlos"/>
    <s v="ANDERSON AFFONSO DE PAULA"/>
    <s v="NEGATIVO"/>
    <d v="1900-01-03T12:09:00"/>
    <d v="1900-01-03T12:09:00"/>
    <d v="1899-12-30T00:00:00"/>
    <s v=" "/>
    <s v=" "/>
    <s v=" "/>
    <s v=" "/>
    <d v="1900-01-03T21:37:00"/>
    <s v=" "/>
    <s v=" "/>
    <s v=" "/>
    <s v=" "/>
    <s v=" "/>
    <s v=" "/>
    <s v=" "/>
    <s v="Ativo"/>
    <x v="2"/>
    <x v="3"/>
    <x v="6"/>
  </r>
  <r>
    <n v="117725"/>
    <x v="15"/>
    <s v="Diretoria Seminovos"/>
    <x v="3"/>
    <s v="LJBHZ - Loja Seminovos Belo Horizonte"/>
    <s v="GUSTAVO LUIZ DO NASCIMENTO"/>
    <s v="NEGATIVO"/>
    <d v="1900-01-07T08:00:00"/>
    <d v="1900-01-07T08:00:00"/>
    <d v="1899-12-30T00:00:00"/>
    <s v=" "/>
    <s v=" "/>
    <s v=" "/>
    <s v=" "/>
    <s v=" "/>
    <d v="1900-01-07T08:00:00"/>
    <s v=" "/>
    <s v=" "/>
    <s v=" "/>
    <s v=" "/>
    <s v=" "/>
    <s v=" "/>
    <s v="Ativo"/>
    <x v="6"/>
    <x v="3"/>
    <x v="3"/>
  </r>
  <r>
    <n v="131651"/>
    <x v="16"/>
    <s v="Diretoria Seminovos"/>
    <x v="3"/>
    <s v="LJBHZ - Loja Seminovos Belo Horizonte"/>
    <s v="GUSTAVO LUIZ DO NASCIMENTO"/>
    <s v="NEGATIVO"/>
    <d v="1899-12-30T08:16:00"/>
    <d v="1899-12-30T08:16:00"/>
    <d v="1899-12-30T00:00:00"/>
    <s v=" "/>
    <s v=" "/>
    <s v=" "/>
    <s v=" "/>
    <s v=" "/>
    <d v="1899-12-30T06:26:00"/>
    <d v="1899-12-30T02:16:00"/>
    <s v=" "/>
    <s v=" "/>
    <s v=" "/>
    <s v=" "/>
    <s v=" "/>
    <s v="Ativo"/>
    <x v="2"/>
    <x v="3"/>
    <x v="3"/>
  </r>
  <r>
    <n v="124166"/>
    <x v="17"/>
    <s v="Diretoria Seminovos"/>
    <x v="3"/>
    <s v="SNLOG/BHZ - Gerência de Logística"/>
    <s v="BERNARDO DIAS GOMIDE"/>
    <s v="NEGATIVO"/>
    <d v="1900-01-24T23:16:00"/>
    <d v="1900-01-24T23:16:00"/>
    <d v="1899-12-30T00:00:00"/>
    <d v="1900-01-01T05:16:00"/>
    <d v="1900-01-05T10:00:00"/>
    <d v="1900-01-05T03:00:00"/>
    <d v="1900-01-06T01:00:00"/>
    <d v="1900-01-01T04:00:00"/>
    <d v="1900-01-01T00:00:00"/>
    <s v=" "/>
    <s v=" "/>
    <s v=" "/>
    <s v=" "/>
    <s v=" "/>
    <s v=" "/>
    <s v="Ativo"/>
    <x v="1"/>
    <x v="3"/>
    <x v="9"/>
  </r>
  <r>
    <n v="132949"/>
    <x v="18"/>
    <s v="Diretoria Seminovos"/>
    <x v="3"/>
    <s v="LJANT - Loja Seminovos Antônio Carlos"/>
    <s v="ANDERSON AFFONSO DE PAULA"/>
    <s v="NEGATIVO"/>
    <d v="1900-01-04T20:05:00"/>
    <d v="1900-01-04T20:05:00"/>
    <d v="1899-12-30T00:00:00"/>
    <s v=" "/>
    <s v=" "/>
    <s v=" "/>
    <s v=" "/>
    <d v="1900-01-05T00:41:00"/>
    <s v=" "/>
    <s v=" "/>
    <s v=" "/>
    <s v=" "/>
    <s v=" "/>
    <s v=" "/>
    <s v=" "/>
    <s v="Ativo"/>
    <x v="2"/>
    <x v="3"/>
    <x v="6"/>
  </r>
  <r>
    <n v="122408"/>
    <x v="19"/>
    <s v="Diretoria Seminovos"/>
    <x v="3"/>
    <s v="LJPAS - Loja Seminovos Portal Belo Horizonte"/>
    <s v="EUDENIR MARES DE SOUSA"/>
    <s v="NEGATIVO"/>
    <d v="1900-01-02T02:02:00"/>
    <d v="1900-01-02T02:02:00"/>
    <d v="1899-12-30T00:00:00"/>
    <s v=" "/>
    <s v=" "/>
    <d v="1899-12-30T21:14:00"/>
    <s v=" "/>
    <s v=" "/>
    <d v="1900-01-01T04:48:00"/>
    <s v=" "/>
    <s v=" "/>
    <s v=" "/>
    <s v=" "/>
    <s v=" "/>
    <s v=" "/>
    <s v="Contrato de Trabalho Suspenso"/>
    <x v="2"/>
    <x v="3"/>
    <x v="10"/>
  </r>
  <r>
    <n v="129679"/>
    <x v="20"/>
    <s v="Diretoria Seminovos"/>
    <x v="3"/>
    <s v="LJCON - Vendas Varejo Seminovos Contagem"/>
    <s v="LEANDRO AUGUSTO DA SILVA CAMILLOZZI"/>
    <s v="NEGATIVO"/>
    <d v="1899-12-31T07:53:00"/>
    <d v="1899-12-31T07:53:00"/>
    <d v="1899-12-30T00:00:00"/>
    <s v=" "/>
    <s v=" "/>
    <s v=" "/>
    <s v=" "/>
    <d v="1899-12-31T07:53:00"/>
    <s v=" "/>
    <s v=" "/>
    <s v=" "/>
    <s v=" "/>
    <s v=" "/>
    <s v=" "/>
    <s v=" "/>
    <s v="Af.Previdência"/>
    <x v="3"/>
    <x v="3"/>
    <x v="11"/>
  </r>
  <r>
    <n v="133202"/>
    <x v="21"/>
    <s v="Diretoria Seminovos"/>
    <x v="3"/>
    <s v="LJCMA - Vendas Varejo Seminovos Cristiano Machado"/>
    <s v="ELISIA RAMOS FERNANDES"/>
    <s v="NEGATIVO"/>
    <d v="1899-12-30T02:43:00"/>
    <d v="1899-12-30T02:43:00"/>
    <d v="1899-12-30T00:00:00"/>
    <s v=" "/>
    <s v=" "/>
    <s v=" "/>
    <d v="1899-12-30T07:21:00"/>
    <s v=" "/>
    <s v=" "/>
    <d v="1899-12-30T02:14:00"/>
    <s v=" "/>
    <s v=" "/>
    <s v=" "/>
    <s v=" "/>
    <s v=" "/>
    <s v="Ativo"/>
    <x v="3"/>
    <x v="3"/>
    <x v="12"/>
  </r>
  <r>
    <n v="135748"/>
    <x v="22"/>
    <s v="Diretoria Seminovos"/>
    <x v="3"/>
    <s v="LJANT - Vendas Varejo Seminovos Antônio Carlos"/>
    <s v="ANDERSON AFFONSO DE PAULA"/>
    <s v="NEGATIVO"/>
    <d v="1900-01-06T23:52:00"/>
    <d v="1900-01-06T23:52:00"/>
    <d v="1899-12-30T00:00:00"/>
    <s v=" "/>
    <s v=" "/>
    <s v=" "/>
    <s v=" "/>
    <d v="1900-01-06T22:22:00"/>
    <d v="1899-12-30T01:30:00"/>
    <s v=" "/>
    <s v=" "/>
    <s v=" "/>
    <s v=" "/>
    <s v=" "/>
    <s v=" "/>
    <s v="Contrato de Trabalho Suspenso"/>
    <x v="3"/>
    <x v="3"/>
    <x v="6"/>
  </r>
  <r>
    <n v="125027"/>
    <x v="23"/>
    <s v="Diretoria Seminovos"/>
    <x v="3"/>
    <s v="LJANT - Vendas Varejo Seminovos Antônio Carlos"/>
    <s v="ANDERSON AFFONSO DE PAULA"/>
    <s v="NEGATIVO"/>
    <d v="1900-01-14T20:48:00"/>
    <d v="1900-01-14T20:48:00"/>
    <d v="1899-12-30T00:00:00"/>
    <s v=" "/>
    <s v=" "/>
    <s v=" "/>
    <s v=" "/>
    <d v="1900-01-07T08:48:00"/>
    <d v="1900-01-06T12:00:00"/>
    <s v=" "/>
    <s v=" "/>
    <s v=" "/>
    <s v=" "/>
    <s v=" "/>
    <s v=" "/>
    <s v="Contrato de Trabalho Suspenso"/>
    <x v="3"/>
    <x v="3"/>
    <x v="6"/>
  </r>
  <r>
    <n v="134407"/>
    <x v="24"/>
    <s v="Diretoria Seminovos"/>
    <x v="3"/>
    <s v="LJVNO - Vendas Varejo Seminovos Venda Nova"/>
    <s v="LILIANE FARIA DE ANDRADE"/>
    <s v="NEGATIVO"/>
    <d v="1900-01-07T02:36:00"/>
    <d v="1900-01-07T02:36:00"/>
    <d v="1899-12-30T00:00:00"/>
    <s v=" "/>
    <s v=" "/>
    <s v=" "/>
    <s v=" "/>
    <d v="1900-01-05T21:24:00"/>
    <d v="1899-12-31T04:03:00"/>
    <d v="1899-12-30T02:52:00"/>
    <s v=" "/>
    <s v=" "/>
    <s v=" "/>
    <s v=" "/>
    <s v=" "/>
    <s v="Ativo"/>
    <x v="3"/>
    <x v="3"/>
    <x v="4"/>
  </r>
  <r>
    <n v="502156"/>
    <x v="25"/>
    <s v="Diretoria Seminovos"/>
    <x v="3"/>
    <s v="LJBET - Vendas Varejo Seminovos Betim"/>
    <s v="THIAGO MAURICIO GOMES DOS SANTOS"/>
    <s v="NEGATIVO"/>
    <d v="1899-12-31T19:23:00"/>
    <d v="1899-12-31T19:23:00"/>
    <d v="1899-12-30T00:00:00"/>
    <s v=" "/>
    <s v=" "/>
    <s v=" "/>
    <s v=" "/>
    <s v=" "/>
    <d v="1899-12-31T09:05:00"/>
    <d v="1899-12-30T12:05:00"/>
    <s v=" "/>
    <s v=" "/>
    <s v=" "/>
    <s v=" "/>
    <s v=" "/>
    <s v="Ativo"/>
    <x v="3"/>
    <x v="3"/>
    <x v="8"/>
  </r>
  <r>
    <n v="136884"/>
    <x v="26"/>
    <s v="Diretoria Seminovos"/>
    <x v="3"/>
    <s v="LJBET - Vendas Varejo Seminovos Betim"/>
    <s v="THIAGO MAURICIO GOMES DOS SANTOS"/>
    <s v="NEGATIVO"/>
    <d v="1900-01-01T04:48:00"/>
    <d v="1900-01-01T04:48:00"/>
    <d v="1899-12-30T00:00:00"/>
    <s v=" "/>
    <s v=" "/>
    <s v=" "/>
    <s v=" "/>
    <s v=" "/>
    <d v="1900-01-01T04:48:00"/>
    <s v=" "/>
    <s v=" "/>
    <s v=" "/>
    <s v=" "/>
    <s v=" "/>
    <s v=" "/>
    <s v="Ativo"/>
    <x v="3"/>
    <x v="3"/>
    <x v="8"/>
  </r>
  <r>
    <n v="135001"/>
    <x v="27"/>
    <s v="Diretoria Seminovos"/>
    <x v="3"/>
    <s v="LJRAG - Vendas Varejo Seminovos Raja Gabaglia"/>
    <s v="FELIPE RIGHI MOREIRA VEIGA"/>
    <s v="NEGATIVO"/>
    <d v="1900-01-01T02:08:00"/>
    <d v="1900-01-01T02:08:00"/>
    <d v="1899-12-30T00:00:00"/>
    <s v=" "/>
    <s v=" "/>
    <s v=" "/>
    <s v=" "/>
    <s v=" "/>
    <d v="1900-01-01T02:08:00"/>
    <s v=" "/>
    <s v=" "/>
    <s v=" "/>
    <s v=" "/>
    <s v=" "/>
    <s v=" "/>
    <s v="Contrato de Trabalho Suspenso"/>
    <x v="3"/>
    <x v="3"/>
    <x v="5"/>
  </r>
  <r>
    <n v="134802"/>
    <x v="28"/>
    <s v="Diretoria Seminovos"/>
    <x v="3"/>
    <s v="LJANT - Vendas Varejo Seminovos Antônio Carlos"/>
    <s v="ANDERSON AFFONSO DE PAULA"/>
    <s v="NEGATIVO"/>
    <d v="1900-01-07T18:47:00"/>
    <d v="1900-01-07T18:47:00"/>
    <d v="1899-12-30T00:00:00"/>
    <s v=" "/>
    <s v=" "/>
    <s v=" "/>
    <s v=" "/>
    <d v="1900-01-06T02:16:00"/>
    <d v="1899-12-31T16:31:00"/>
    <s v=" "/>
    <s v=" "/>
    <s v=" "/>
    <s v=" "/>
    <s v=" "/>
    <s v=" "/>
    <s v="Contrato de Trabalho Suspenso"/>
    <x v="3"/>
    <x v="3"/>
    <x v="6"/>
  </r>
  <r>
    <n v="132961"/>
    <x v="29"/>
    <s v="Diretoria Seminovos"/>
    <x v="3"/>
    <s v="LJANT - Vendas Varejo Seminovos Antônio Carlos"/>
    <s v="ANDERSON AFFONSO DE PAULA"/>
    <s v="NEGATIVO"/>
    <d v="1899-12-30T02:48:00"/>
    <d v="1899-12-30T02:48:00"/>
    <d v="1899-12-30T00:00:00"/>
    <s v=" "/>
    <s v=" "/>
    <s v=" "/>
    <d v="1899-12-30T02:48:00"/>
    <s v=" "/>
    <s v=" "/>
    <s v=" "/>
    <s v=" "/>
    <s v=" "/>
    <s v=" "/>
    <s v=" "/>
    <s v=" "/>
    <s v="Ativo"/>
    <x v="3"/>
    <x v="3"/>
    <x v="6"/>
  </r>
  <r>
    <n v="133546"/>
    <x v="30"/>
    <s v="Diretoria Seminovos"/>
    <x v="3"/>
    <s v="LJPAS - Vendas Varejo Seminovos Portal Belo Horizonte"/>
    <s v="EUDENIR MARES DE SOUSA"/>
    <s v="NEGATIVO"/>
    <d v="1900-01-06T06:45:00"/>
    <d v="1900-01-06T06:45:00"/>
    <d v="1899-12-30T00:00:00"/>
    <s v=" "/>
    <s v=" "/>
    <s v=" "/>
    <s v=" "/>
    <s v=" "/>
    <d v="1900-01-06T06:45:00"/>
    <s v=" "/>
    <s v=" "/>
    <s v=" "/>
    <s v=" "/>
    <s v=" "/>
    <s v=" "/>
    <s v="Ativo"/>
    <x v="3"/>
    <x v="3"/>
    <x v="10"/>
  </r>
  <r>
    <n v="131924"/>
    <x v="31"/>
    <s v="Diretoria Seminovos"/>
    <x v="3"/>
    <s v="LJANT - Vendas Varejo Seminovos Antônio Carlos"/>
    <s v="ANDERSON AFFONSO DE PAULA"/>
    <s v="NEGATIVO"/>
    <d v="1899-12-30T02:36:00"/>
    <d v="1899-12-30T02:36:00"/>
    <d v="1899-12-30T00:00:00"/>
    <s v=" "/>
    <s v=" "/>
    <d v="1899-12-30T10:48:00"/>
    <s v=" "/>
    <s v=" "/>
    <s v=" "/>
    <s v=" "/>
    <s v=" "/>
    <s v=" "/>
    <s v=" "/>
    <s v=" "/>
    <s v=" "/>
    <s v="Ativo"/>
    <x v="3"/>
    <x v="3"/>
    <x v="6"/>
  </r>
  <r>
    <n v="129753"/>
    <x v="32"/>
    <s v="Diretoria Seminovos"/>
    <x v="3"/>
    <s v="LJVNO - Vendas Varejo Seminovos Venda Nova"/>
    <s v="LILIANE FARIA DE ANDRADE"/>
    <s v="NEGATIVO"/>
    <d v="1900-01-08T14:17:00"/>
    <d v="1900-01-08T14:17:00"/>
    <d v="1899-12-30T00:00:00"/>
    <s v=" "/>
    <s v=" "/>
    <s v=" "/>
    <s v=" "/>
    <d v="1900-01-06T00:59:00"/>
    <d v="1900-01-01T09:36:00"/>
    <d v="1899-12-30T03:42:00"/>
    <s v=" "/>
    <s v=" "/>
    <s v=" "/>
    <s v=" "/>
    <s v=" "/>
    <s v="Ativo"/>
    <x v="3"/>
    <x v="3"/>
    <x v="4"/>
  </r>
  <r>
    <n v="131029"/>
    <x v="33"/>
    <s v="Diretoria Seminovos"/>
    <x v="3"/>
    <s v="LJCON - Vendas Varejo Seminovos Contagem"/>
    <s v="LEANDRO AUGUSTO DA SILVA CAMILLOZZI"/>
    <s v="NEGATIVO"/>
    <d v="1899-12-30T14:44:00"/>
    <d v="1899-12-30T14:44:00"/>
    <d v="1899-12-30T00:00:00"/>
    <s v=" "/>
    <s v=" "/>
    <s v=" "/>
    <s v=" "/>
    <s v=" "/>
    <d v="1899-12-30T16:27:00"/>
    <d v="1899-12-30T00:31:00"/>
    <s v=" "/>
    <s v=" "/>
    <s v=" "/>
    <s v=" "/>
    <s v=" "/>
    <s v="Ativo"/>
    <x v="3"/>
    <x v="3"/>
    <x v="11"/>
  </r>
  <r>
    <n v="134813"/>
    <x v="34"/>
    <s v="Diretoria Seminovos"/>
    <x v="3"/>
    <s v="LJJFO - Vendas Varejo Seminovos Juiz de Fora"/>
    <s v="THIAGO DE SOUZA FREIRE"/>
    <s v="NEGATIVO"/>
    <d v="1900-01-07T16:48:00"/>
    <d v="1900-01-07T16:48:00"/>
    <d v="1899-12-30T00:00:00"/>
    <s v=" "/>
    <s v=" "/>
    <s v=" "/>
    <s v=" "/>
    <d v="1900-01-01T16:48:00"/>
    <d v="1900-01-05T00:00:00"/>
    <s v=" "/>
    <s v=" "/>
    <s v=" "/>
    <s v=" "/>
    <s v=" "/>
    <s v=" "/>
    <s v="Contrato de Trabalho Suspenso"/>
    <x v="3"/>
    <x v="3"/>
    <x v="13"/>
  </r>
  <r>
    <n v="136405"/>
    <x v="35"/>
    <s v="Diretoria Seminovos"/>
    <x v="3"/>
    <s v="LJANT - Vendas Varejo Seminovos Antônio Carlos"/>
    <s v="ANDERSON AFFONSO DE PAULA"/>
    <s v="NEGATIVO"/>
    <d v="1900-01-03T08:53:00"/>
    <d v="1900-01-03T08:53:00"/>
    <d v="1899-12-30T00:00:00"/>
    <s v=" "/>
    <s v=" "/>
    <s v=" "/>
    <s v=" "/>
    <d v="1900-01-03T08:53:00"/>
    <s v=" "/>
    <s v=" "/>
    <s v=" "/>
    <s v=" "/>
    <s v=" "/>
    <s v=" "/>
    <s v=" "/>
    <s v="Ativo"/>
    <x v="3"/>
    <x v="3"/>
    <x v="6"/>
  </r>
  <r>
    <n v="132701"/>
    <x v="36"/>
    <s v="Diretoria Seminovos"/>
    <x v="3"/>
    <s v="LJANT - Vendas Varejo Seminovos Antônio Carlos"/>
    <s v="ANDERSON AFFONSO DE PAULA"/>
    <s v="NEGATIVO"/>
    <d v="1900-01-01T04:48:00"/>
    <d v="1900-01-01T04:48:00"/>
    <d v="1899-12-30T00:00:00"/>
    <s v=" "/>
    <s v=" "/>
    <s v=" "/>
    <s v=" "/>
    <s v=" "/>
    <d v="1900-01-01T04:48:00"/>
    <s v=" "/>
    <s v=" "/>
    <s v=" "/>
    <s v=" "/>
    <s v=" "/>
    <s v=" "/>
    <s v="Ativo"/>
    <x v="3"/>
    <x v="3"/>
    <x v="6"/>
  </r>
  <r>
    <n v="135978"/>
    <x v="37"/>
    <s v="Diretoria Seminovos"/>
    <x v="3"/>
    <s v="LJPAS - Vendas Varejo Seminovos Portal Belo Horizonte"/>
    <s v="EUDENIR MARES DE SOUSA"/>
    <s v="NEGATIVO"/>
    <d v="1899-12-30T13:36:00"/>
    <d v="1899-12-30T13:36:00"/>
    <d v="1899-12-30T00:00:00"/>
    <s v=" "/>
    <s v=" "/>
    <s v=" "/>
    <s v=" "/>
    <d v="1899-12-30T13:36:00"/>
    <s v=" "/>
    <s v=" "/>
    <s v=" "/>
    <s v=" "/>
    <s v=" "/>
    <s v=" "/>
    <s v=" "/>
    <s v="Ativo"/>
    <x v="3"/>
    <x v="3"/>
    <x v="10"/>
  </r>
  <r>
    <n v="125046"/>
    <x v="38"/>
    <s v="Diretoria Seminovos"/>
    <x v="3"/>
    <s v="LJVEX - Vendas Varejo Seminovos Via Expressa Contagem"/>
    <s v="FABIO GONCALVES BOSQUE"/>
    <s v="NEGATIVO"/>
    <d v="1899-12-30T03:11:00"/>
    <d v="1899-12-30T03:11:00"/>
    <d v="1899-12-30T00:00:00"/>
    <s v=" "/>
    <s v=" "/>
    <d v="1899-12-30T03:11:00"/>
    <s v=" "/>
    <s v=" "/>
    <s v=" "/>
    <s v=" "/>
    <s v=" "/>
    <s v=" "/>
    <s v=" "/>
    <s v=" "/>
    <s v=" "/>
    <s v="Contrato de Trabalho Suspenso"/>
    <x v="3"/>
    <x v="3"/>
    <x v="7"/>
  </r>
  <r>
    <n v="132983"/>
    <x v="39"/>
    <s v="Diretoria Seminovos"/>
    <x v="3"/>
    <s v="LJBHZ - Vendas Varejo Seminovos Belo Horizonte"/>
    <s v="GUSTAVO LUIZ DO NASCIMENTO"/>
    <s v="NEGATIVO"/>
    <d v="1899-12-30T03:05:00"/>
    <d v="1899-12-30T03:05:00"/>
    <d v="1899-12-30T00:00:00"/>
    <s v=" "/>
    <s v=" "/>
    <s v=" "/>
    <d v="1899-12-30T05:55:00"/>
    <s v=" "/>
    <s v=" "/>
    <d v="1899-12-30T01:46:00"/>
    <s v=" "/>
    <s v=" "/>
    <s v=" "/>
    <s v=" "/>
    <s v=" "/>
    <s v="Ativo"/>
    <x v="3"/>
    <x v="3"/>
    <x v="3"/>
  </r>
  <r>
    <n v="122848"/>
    <x v="40"/>
    <s v="Diretoria Seminovos"/>
    <x v="3"/>
    <s v="LJCON - Vendas Varejo Seminovos Contagem"/>
    <s v="LEANDRO AUGUSTO DA SILVA CAMILLOZZI"/>
    <s v="NEGATIVO"/>
    <d v="1899-12-30T18:56:00"/>
    <d v="1899-12-30T18:56:00"/>
    <d v="1899-12-30T00:00:00"/>
    <s v=" "/>
    <s v=" "/>
    <s v=" "/>
    <s v=" "/>
    <s v=" "/>
    <d v="1899-12-30T21:34:00"/>
    <d v="1899-12-30T04:33:00"/>
    <s v=" "/>
    <s v=" "/>
    <s v=" "/>
    <s v=" "/>
    <s v=" "/>
    <s v="Ativo"/>
    <x v="3"/>
    <x v="3"/>
    <x v="11"/>
  </r>
  <r>
    <n v="132699"/>
    <x v="41"/>
    <s v="Diretoria Seminovos"/>
    <x v="3"/>
    <s v="LJPAS - Vendas Varejo Seminovos Portal Belo Horizonte"/>
    <s v="EUDENIR MARES DE SOUSA"/>
    <s v="NEGATIVO"/>
    <d v="1899-12-30T16:00:00"/>
    <d v="1899-12-30T16:00:00"/>
    <d v="1899-12-30T00:00:00"/>
    <s v=" "/>
    <s v=" "/>
    <s v=" "/>
    <s v=" "/>
    <s v=" "/>
    <d v="1899-12-30T16:00:00"/>
    <s v=" "/>
    <s v=" "/>
    <s v=" "/>
    <s v=" "/>
    <s v=" "/>
    <s v=" "/>
    <s v="Ativo"/>
    <x v="3"/>
    <x v="3"/>
    <x v="10"/>
  </r>
  <r>
    <n v="123302"/>
    <x v="42"/>
    <s v="Diretoria Seminovos"/>
    <x v="3"/>
    <s v="LJJFO - Vendas Varejo Seminovos Juiz de Fora"/>
    <s v="THIAGO DE SOUZA FREIRE"/>
    <s v="NEGATIVO"/>
    <d v="1900-01-03T18:37:00"/>
    <d v="1900-01-03T18:37:00"/>
    <d v="1899-12-30T00:00:00"/>
    <s v=" "/>
    <s v=" "/>
    <s v=" "/>
    <s v=" "/>
    <d v="1900-01-01T23:25:00"/>
    <d v="1899-12-31T19:12:00"/>
    <s v=" "/>
    <s v=" "/>
    <s v=" "/>
    <s v=" "/>
    <s v=" "/>
    <s v=" "/>
    <s v="Ativo"/>
    <x v="3"/>
    <x v="3"/>
    <x v="13"/>
  </r>
  <r>
    <n v="121686"/>
    <x v="43"/>
    <s v="Diretoria Seminovos"/>
    <x v="4"/>
    <s v="LJCGR - Loja Seminovos Campo Grande"/>
    <s v="DOUGLAS PEREIRA SANDIM"/>
    <s v="NEGATIVO"/>
    <d v="1899-12-30T04:38:00"/>
    <d v="1899-12-30T04:38:00"/>
    <d v="1899-12-30T00:00:00"/>
    <s v=" "/>
    <s v=" "/>
    <s v=" "/>
    <s v=" "/>
    <s v=" "/>
    <d v="1899-12-30T03:52:00"/>
    <d v="1899-12-30T00:46:00"/>
    <s v=" "/>
    <s v=" "/>
    <s v=" "/>
    <s v=" "/>
    <s v=" "/>
    <s v="Contrato de Trabalho Suspenso"/>
    <x v="2"/>
    <x v="4"/>
    <x v="14"/>
  </r>
  <r>
    <n v="121913"/>
    <x v="44"/>
    <s v="Diretoria Seminovos"/>
    <x v="4"/>
    <s v="LJVIS - Loja Seminovos Vitória Serra"/>
    <s v="EUGENIO OLIVEIRA DAMASCENO DE JESUS"/>
    <s v="NEGATIVO"/>
    <d v="1900-01-03T13:10:00"/>
    <d v="1900-01-03T13:10:00"/>
    <d v="1899-12-30T00:00:00"/>
    <s v=" "/>
    <s v=" "/>
    <s v=" "/>
    <s v=" "/>
    <d v="1900-01-02T00:00:00"/>
    <d v="1899-12-31T13:10:00"/>
    <s v=" "/>
    <s v=" "/>
    <s v=" "/>
    <s v=" "/>
    <s v=" "/>
    <s v=" "/>
    <s v="Férias"/>
    <x v="6"/>
    <x v="4"/>
    <x v="15"/>
  </r>
  <r>
    <n v="500557"/>
    <x v="45"/>
    <s v="Diretoria Seminovos"/>
    <x v="4"/>
    <s v="LJGOI - Loja Seminovos Goiania"/>
    <s v="PAULO ROBERTO PEREIRA DE ARAUJO"/>
    <s v="NEGATIVO"/>
    <d v="1900-01-03T00:35:00"/>
    <d v="1900-01-03T00:35:00"/>
    <d v="1899-12-30T00:00:00"/>
    <s v=" "/>
    <s v=" "/>
    <s v=" "/>
    <s v=" "/>
    <s v=" "/>
    <s v=" "/>
    <s v=" "/>
    <s v=" "/>
    <s v=" "/>
    <s v=" "/>
    <d v="1900-01-02T02:19:00"/>
    <d v="1899-12-30T08:20:00"/>
    <s v="Ativo"/>
    <x v="6"/>
    <x v="4"/>
    <x v="16"/>
  </r>
  <r>
    <n v="136623"/>
    <x v="46"/>
    <s v="Diretoria Seminovos"/>
    <x v="4"/>
    <s v="LJVIX - Loja Seminovos Vitória"/>
    <s v="EUGENIO OLIVEIRA DAMASCENO DE JESUS"/>
    <s v="NEGATIVO"/>
    <d v="1900-01-03T18:24:00"/>
    <d v="1900-01-03T18:24:00"/>
    <d v="1899-12-30T00:00:00"/>
    <s v=" "/>
    <s v=" "/>
    <s v=" "/>
    <s v=" "/>
    <d v="1900-01-03T05:12:00"/>
    <d v="1899-12-30T13:12:00"/>
    <s v=" "/>
    <s v=" "/>
    <s v=" "/>
    <s v=" "/>
    <s v=" "/>
    <s v=" "/>
    <s v="Ativo"/>
    <x v="6"/>
    <x v="4"/>
    <x v="17"/>
  </r>
  <r>
    <n v="118528"/>
    <x v="47"/>
    <s v="Diretoria Seminovos"/>
    <x v="4"/>
    <s v="LJGYG - Loja Seminovos Goiânia"/>
    <s v="LIDYANE GUIMARAES DO NASCIMENTO SANTOS"/>
    <s v="NEGATIVO"/>
    <d v="1900-01-02T03:23:00"/>
    <d v="1900-01-02T03:23:00"/>
    <d v="1899-12-30T00:00:00"/>
    <s v=" "/>
    <s v=" "/>
    <s v=" "/>
    <s v=" "/>
    <s v=" "/>
    <s v=" "/>
    <s v=" "/>
    <s v=" "/>
    <s v=" "/>
    <d v="1899-12-30T01:39:00"/>
    <d v="1900-01-01T17:49:00"/>
    <d v="1899-12-30T08:11:00"/>
    <s v="Ativo"/>
    <x v="2"/>
    <x v="4"/>
    <x v="18"/>
  </r>
  <r>
    <n v="501881"/>
    <x v="48"/>
    <s v="Diretoria Seminovos"/>
    <x v="4"/>
    <s v="LJUDI - Loja Seminovos Uberlândia"/>
    <s v="CARLOS ALBERTO GONCALVES"/>
    <s v="NEGATIVO"/>
    <d v="1899-12-30T06:35:00"/>
    <d v="1899-12-30T06:35:00"/>
    <d v="1899-12-30T00:00:00"/>
    <s v=" "/>
    <s v=" "/>
    <s v=" "/>
    <s v=" "/>
    <s v=" "/>
    <d v="1899-12-30T07:53:00"/>
    <d v="1899-12-30T08:00:00"/>
    <s v=" "/>
    <s v=" "/>
    <s v=" "/>
    <s v=" "/>
    <s v=" "/>
    <s v="Ativo"/>
    <x v="6"/>
    <x v="4"/>
    <x v="19"/>
  </r>
  <r>
    <n v="133181"/>
    <x v="49"/>
    <s v="Diretoria Seminovos"/>
    <x v="4"/>
    <s v="LJUDI - Loja Seminovos Uberlândia"/>
    <s v="CARLOS ALBERTO GONCALVES"/>
    <s v="NEGATIVO"/>
    <d v="1899-12-30T18:44:00"/>
    <d v="1899-12-30T18:44:00"/>
    <d v="1899-12-30T00:00:00"/>
    <s v=" "/>
    <s v=" "/>
    <s v=" "/>
    <s v=" "/>
    <s v=" "/>
    <d v="1899-12-30T12:43:00"/>
    <d v="1899-12-30T04:45:00"/>
    <s v=" "/>
    <s v=" "/>
    <s v=" "/>
    <s v=" "/>
    <s v=" "/>
    <s v="Ativo"/>
    <x v="2"/>
    <x v="4"/>
    <x v="19"/>
  </r>
  <r>
    <n v="129668"/>
    <x v="50"/>
    <s v="Diretoria Seminovos"/>
    <x v="4"/>
    <s v="LJGYG - Loja Seminovos Goiânia"/>
    <s v="LIDYANE GUIMARAES DO NASCIMENTO SANTOS"/>
    <s v="NEGATIVO"/>
    <d v="1900-01-02T11:47:00"/>
    <d v="1900-01-02T11:47:00"/>
    <d v="1899-12-30T00:00:00"/>
    <s v=" "/>
    <s v=" "/>
    <s v=" "/>
    <s v=" "/>
    <s v=" "/>
    <s v=" "/>
    <s v=" "/>
    <s v=" "/>
    <s v=" "/>
    <d v="1899-12-30T16:13:00"/>
    <d v="1900-01-01T10:59:00"/>
    <d v="1899-12-30T08:35:00"/>
    <s v="Ativo"/>
    <x v="2"/>
    <x v="4"/>
    <x v="18"/>
  </r>
  <r>
    <n v="501736"/>
    <x v="51"/>
    <s v="Diretoria Seminovos"/>
    <x v="4"/>
    <s v="LJGOI - Loja Seminovos Goiania"/>
    <s v="PAULO ROBERTO PEREIRA DE ARAUJO"/>
    <s v="NEGATIVO"/>
    <d v="1899-12-30T16:31:00"/>
    <d v="1899-12-30T16:31:00"/>
    <d v="1899-12-30T00:00:00"/>
    <s v=" "/>
    <s v=" "/>
    <s v=" "/>
    <s v=" "/>
    <s v=" "/>
    <s v=" "/>
    <s v=" "/>
    <s v=" "/>
    <s v=" "/>
    <d v="1899-12-30T01:34:00"/>
    <d v="1899-12-30T18:35:00"/>
    <s v=" "/>
    <s v="Ativo"/>
    <x v="2"/>
    <x v="4"/>
    <x v="16"/>
  </r>
  <r>
    <n v="130433"/>
    <x v="52"/>
    <s v="Diretoria Seminovos"/>
    <x v="4"/>
    <s v="LJAPS - Loja Seminovos Anapolis"/>
    <s v="RODRIGO REIS FIALHO"/>
    <s v="NEGATIVO"/>
    <d v="1899-12-30T10:24:00"/>
    <d v="1899-12-30T10:24:00"/>
    <d v="1899-12-30T00:00:00"/>
    <s v=" "/>
    <s v=" "/>
    <s v=" "/>
    <s v=" "/>
    <s v=" "/>
    <s v=" "/>
    <s v=" "/>
    <s v=" "/>
    <s v=" "/>
    <s v=" "/>
    <d v="1899-12-30T04:37:00"/>
    <d v="1899-12-30T09:47:00"/>
    <s v="Ativo"/>
    <x v="2"/>
    <x v="4"/>
    <x v="20"/>
  </r>
  <r>
    <n v="119966"/>
    <x v="53"/>
    <s v="Diretoria Seminovos"/>
    <x v="4"/>
    <s v="LJAPS - Loja Seminovos Anapolis"/>
    <s v="RODRIGO REIS FIALHO"/>
    <s v="NEGATIVO"/>
    <d v="1899-12-30T08:58:00"/>
    <d v="1899-12-30T08:58:00"/>
    <d v="1899-12-30T00:00:00"/>
    <s v=" "/>
    <s v=" "/>
    <s v=" "/>
    <s v=" "/>
    <s v=" "/>
    <s v=" "/>
    <s v=" "/>
    <d v="1899-12-30T09:30:00"/>
    <d v="1899-12-30T01:24:00"/>
    <s v=" "/>
    <s v=" "/>
    <d v="1899-12-30T00:08:00"/>
    <s v="Ativo"/>
    <x v="6"/>
    <x v="4"/>
    <x v="20"/>
  </r>
  <r>
    <n v="124559"/>
    <x v="54"/>
    <s v="Diretoria Seminovos"/>
    <x v="4"/>
    <s v="LJBSB - Loja Seminovos Brasília"/>
    <s v="RODRIGO REIS FIALHO"/>
    <s v="NEGATIVO"/>
    <d v="1899-12-30T07:17:00"/>
    <d v="1899-12-30T07:17:00"/>
    <d v="1899-12-30T00:00:00"/>
    <s v=" "/>
    <s v=" "/>
    <s v=" "/>
    <s v=" "/>
    <s v=" "/>
    <d v="1899-12-30T06:12:00"/>
    <d v="1899-12-30T01:05:00"/>
    <s v=" "/>
    <s v=" "/>
    <s v=" "/>
    <s v=" "/>
    <s v=" "/>
    <s v="Ativo"/>
    <x v="6"/>
    <x v="4"/>
    <x v="21"/>
  </r>
  <r>
    <n v="133299"/>
    <x v="55"/>
    <s v="Diretoria Seminovos"/>
    <x v="4"/>
    <s v="LJVIX - Loja Seminovos Vitória"/>
    <s v="EUGENIO OLIVEIRA DAMASCENO DE JESUS"/>
    <s v="NEGATIVO"/>
    <d v="1899-12-30T03:11:00"/>
    <d v="1899-12-30T03:11:00"/>
    <d v="1899-12-30T00:00:00"/>
    <s v=" "/>
    <s v=" "/>
    <s v=" "/>
    <s v=" "/>
    <s v=" "/>
    <d v="1899-12-30T03:11:00"/>
    <s v=" "/>
    <s v=" "/>
    <s v=" "/>
    <s v=" "/>
    <s v=" "/>
    <s v=" "/>
    <s v="Ativo"/>
    <x v="2"/>
    <x v="4"/>
    <x v="17"/>
  </r>
  <r>
    <n v="131222"/>
    <x v="56"/>
    <s v="Diretoria Seminovos"/>
    <x v="4"/>
    <s v="LJPLM - Loja Seminovos Palmas"/>
    <s v="THIAGO MELO DE FREITAS"/>
    <s v="NEGATIVO"/>
    <d v="1899-12-31T17:30:00"/>
    <d v="1899-12-31T17:30:00"/>
    <d v="1899-12-30T00:00:00"/>
    <s v=" "/>
    <s v=" "/>
    <s v=" "/>
    <s v=" "/>
    <d v="1900-01-01T03:58:00"/>
    <d v="1899-12-30T00:16:00"/>
    <s v=" "/>
    <s v=" "/>
    <s v=" "/>
    <s v=" "/>
    <s v=" "/>
    <s v=" "/>
    <s v="Ativo"/>
    <x v="6"/>
    <x v="4"/>
    <x v="22"/>
  </r>
  <r>
    <n v="133322"/>
    <x v="57"/>
    <s v="Diretoria Seminovos"/>
    <x v="4"/>
    <s v="LJCGB - Loja Seminovos Cuiabá"/>
    <s v="FERNANDO CESAR CAPATO"/>
    <s v="NEGATIVO"/>
    <d v="1899-12-30T18:26:00"/>
    <d v="1899-12-30T18:26:00"/>
    <d v="1899-12-30T00:00:00"/>
    <s v=" "/>
    <s v=" "/>
    <s v=" "/>
    <s v=" "/>
    <s v=" "/>
    <d v="1899-12-30T18:26:00"/>
    <s v=" "/>
    <s v=" "/>
    <s v=" "/>
    <s v=" "/>
    <s v=" "/>
    <s v=" "/>
    <s v="Contrato de Trabalho Suspenso"/>
    <x v="2"/>
    <x v="4"/>
    <x v="23"/>
  </r>
  <r>
    <n v="132824"/>
    <x v="58"/>
    <s v="Diretoria Seminovos"/>
    <x v="4"/>
    <s v="LJAPS - Loja Seminovos Anapolis"/>
    <s v="RODRIGO REIS FIALHO"/>
    <s v="NEGATIVO"/>
    <d v="1899-12-31T07:29:00"/>
    <d v="1899-12-31T07:29:00"/>
    <d v="1899-12-30T00:00:00"/>
    <s v=" "/>
    <s v=" "/>
    <s v=" "/>
    <s v=" "/>
    <s v=" "/>
    <s v=" "/>
    <s v=" "/>
    <s v=" "/>
    <s v=" "/>
    <s v=" "/>
    <d v="1899-12-30T23:29:00"/>
    <d v="1899-12-30T08:00:00"/>
    <s v="Contrato de Trabalho Suspenso"/>
    <x v="2"/>
    <x v="4"/>
    <x v="20"/>
  </r>
  <r>
    <n v="502844"/>
    <x v="59"/>
    <s v="Diretoria Seminovos"/>
    <x v="4"/>
    <s v="LJGYG - Loja Seminovos Goiânia"/>
    <s v="LIDYANE GUIMARAES DO NASCIMENTO SANTOS"/>
    <s v="NEGATIVO"/>
    <d v="1899-12-31T22:45:00"/>
    <d v="1899-12-31T22:45:00"/>
    <d v="1899-12-30T00:00:00"/>
    <s v=" "/>
    <s v=" "/>
    <s v=" "/>
    <s v=" "/>
    <s v=" "/>
    <s v=" "/>
    <s v=" "/>
    <s v=" "/>
    <s v=" "/>
    <s v=" "/>
    <d v="1899-12-31T16:46:00"/>
    <d v="1899-12-30T08:00:00"/>
    <s v="Ativo"/>
    <x v="6"/>
    <x v="4"/>
    <x v="18"/>
  </r>
  <r>
    <n v="133797"/>
    <x v="60"/>
    <s v="Diretoria Seminovos"/>
    <x v="4"/>
    <s v="LJBSB - Loja Seminovos Brasília"/>
    <s v="RODRIGO REIS FIALHO"/>
    <s v="NEGATIVO"/>
    <d v="1899-12-31T07:27:00"/>
    <d v="1899-12-31T07:27:00"/>
    <d v="1899-12-30T00:00:00"/>
    <s v=" "/>
    <s v=" "/>
    <s v=" "/>
    <s v=" "/>
    <s v=" "/>
    <d v="1899-12-31T07:58:00"/>
    <s v=" "/>
    <s v=" "/>
    <s v=" "/>
    <s v=" "/>
    <s v=" "/>
    <s v=" "/>
    <s v="Ativo"/>
    <x v="2"/>
    <x v="4"/>
    <x v="21"/>
  </r>
  <r>
    <n v="129602"/>
    <x v="61"/>
    <s v="Diretoria Seminovos"/>
    <x v="4"/>
    <s v="LJUBA - Vendas Varejo Seminovos Uberaba"/>
    <s v="FILIPE CORTEZ DE FREITAS"/>
    <s v="NEGATIVO"/>
    <d v="1899-12-30T12:00:00"/>
    <d v="1899-12-30T12:00:00"/>
    <d v="1899-12-30T00:00:00"/>
    <s v=" "/>
    <s v=" "/>
    <s v=" "/>
    <s v=" "/>
    <s v=" "/>
    <s v=" "/>
    <d v="1899-12-30T12:00:00"/>
    <s v=" "/>
    <s v=" "/>
    <s v=" "/>
    <s v=" "/>
    <s v=" "/>
    <s v="Ativo"/>
    <x v="3"/>
    <x v="4"/>
    <x v="24"/>
  </r>
  <r>
    <n v="125540"/>
    <x v="62"/>
    <s v="Diretoria Seminovos"/>
    <x v="4"/>
    <s v="LJBSB - Vendas Varejo Seminovos Brasília"/>
    <s v="RODRIGO REIS FIALHO"/>
    <s v="NEGATIVO"/>
    <d v="1900-01-01T12:19:00"/>
    <d v="1900-01-01T12:19:00"/>
    <d v="1899-12-30T00:00:00"/>
    <s v=" "/>
    <s v=" "/>
    <s v=" "/>
    <s v=" "/>
    <d v="1899-12-30T14:44:00"/>
    <d v="1899-12-31T18:26:00"/>
    <d v="1899-12-30T03:09:00"/>
    <s v=" "/>
    <s v=" "/>
    <s v=" "/>
    <s v=" "/>
    <s v=" "/>
    <s v="Contrato de Trabalho Suspenso"/>
    <x v="3"/>
    <x v="4"/>
    <x v="21"/>
  </r>
  <r>
    <n v="135902"/>
    <x v="63"/>
    <s v="Diretoria Seminovos"/>
    <x v="4"/>
    <s v="LJUBA - Vendas Varejo Seminovos Uberaba"/>
    <s v="FILIPE CORTEZ DE FREITAS"/>
    <s v="NEGATIVO"/>
    <d v="1900-01-05T05:48:00"/>
    <d v="1900-01-05T05:48:00"/>
    <d v="1899-12-30T00:00:00"/>
    <s v=" "/>
    <s v=" "/>
    <s v=" "/>
    <s v=" "/>
    <d v="1900-01-01T03:36:00"/>
    <d v="1900-01-01T07:24:00"/>
    <d v="1899-12-31T07:48:00"/>
    <s v=" "/>
    <s v=" "/>
    <s v=" "/>
    <s v=" "/>
    <s v=" "/>
    <s v="Ativo"/>
    <x v="3"/>
    <x v="4"/>
    <x v="24"/>
  </r>
  <r>
    <n v="134732"/>
    <x v="64"/>
    <s v="Diretoria Seminovos"/>
    <x v="4"/>
    <s v="LJVIX - Vendas Varejo Seminovos Vitória"/>
    <s v="EUGENIO OLIVEIRA DAMASCENO DE JESUS"/>
    <s v="NEGATIVO"/>
    <d v="1900-01-05T02:47:00"/>
    <d v="1900-01-05T02:47:00"/>
    <d v="1899-12-30T00:00:00"/>
    <s v=" "/>
    <s v=" "/>
    <s v=" "/>
    <s v=" "/>
    <d v="1900-01-03T15:21:00"/>
    <d v="1899-12-31T11:26:00"/>
    <s v=" "/>
    <s v=" "/>
    <s v=" "/>
    <s v=" "/>
    <s v=" "/>
    <s v=" "/>
    <s v="Ativo"/>
    <x v="3"/>
    <x v="4"/>
    <x v="17"/>
  </r>
  <r>
    <n v="135498"/>
    <x v="65"/>
    <s v="Diretoria Seminovos"/>
    <x v="4"/>
    <s v="LJUBA - Vendas Varejo Seminovos Uberaba"/>
    <s v="FILIPE CORTEZ DE FREITAS"/>
    <s v="NEGATIVO"/>
    <d v="1900-01-05T09:27:00"/>
    <d v="1900-01-05T09:27:00"/>
    <d v="1899-12-30T00:00:00"/>
    <s v=" "/>
    <s v=" "/>
    <s v=" "/>
    <s v=" "/>
    <d v="1900-01-01T03:51:00"/>
    <d v="1900-01-01T10:24:00"/>
    <d v="1899-12-31T07:12:00"/>
    <s v=" "/>
    <s v=" "/>
    <s v=" "/>
    <s v=" "/>
    <s v=" "/>
    <s v="Ativo"/>
    <x v="3"/>
    <x v="4"/>
    <x v="24"/>
  </r>
  <r>
    <n v="134605"/>
    <x v="66"/>
    <s v="Diretoria Seminovos"/>
    <x v="4"/>
    <s v="LJCGB - Vendas Varejo Seminovos Cuiabá"/>
    <s v="FERNANDO CESAR CAPATO"/>
    <s v="NEGATIVO"/>
    <d v="1899-12-30T20:32:00"/>
    <d v="1899-12-30T20:32:00"/>
    <d v="1899-12-30T00:00:00"/>
    <s v=" "/>
    <s v=" "/>
    <s v=" "/>
    <d v="1899-12-30T13:20:00"/>
    <s v=" "/>
    <d v="1899-12-30T07:12:00"/>
    <s v=" "/>
    <s v=" "/>
    <s v=" "/>
    <s v=" "/>
    <s v=" "/>
    <s v=" "/>
    <s v="Contrato de Trabalho Suspenso"/>
    <x v="3"/>
    <x v="4"/>
    <x v="23"/>
  </r>
  <r>
    <n v="134527"/>
    <x v="67"/>
    <s v="Diretoria Seminovos"/>
    <x v="4"/>
    <s v="LJCGB - Vendas Varejo Seminovos Cuiabá"/>
    <s v="FERNANDO CESAR CAPATO"/>
    <s v="NEGATIVO"/>
    <d v="1899-12-30T04:35:00"/>
    <d v="1899-12-30T04:35:00"/>
    <d v="1899-12-30T00:00:00"/>
    <s v=" "/>
    <s v=" "/>
    <d v="1899-12-30T04:35:00"/>
    <s v=" "/>
    <s v=" "/>
    <s v=" "/>
    <s v=" "/>
    <s v=" "/>
    <s v=" "/>
    <s v=" "/>
    <s v=" "/>
    <s v=" "/>
    <s v="Ativo"/>
    <x v="3"/>
    <x v="4"/>
    <x v="23"/>
  </r>
  <r>
    <n v="124507"/>
    <x v="68"/>
    <s v="Diretoria Seminovos"/>
    <x v="4"/>
    <s v="LJUBA - Vendas Varejo Seminovos Uberaba"/>
    <s v="FILIPE CORTEZ DE FREITAS"/>
    <s v="NEGATIVO"/>
    <d v="1899-12-30T21:48:00"/>
    <d v="1899-12-30T21:48:00"/>
    <d v="1899-12-30T00:00:00"/>
    <s v=" "/>
    <s v=" "/>
    <s v=" "/>
    <s v=" "/>
    <d v="1899-12-30T00:12:00"/>
    <d v="1899-12-30T11:36:00"/>
    <d v="1899-12-30T10:00:00"/>
    <s v=" "/>
    <s v=" "/>
    <s v=" "/>
    <s v=" "/>
    <s v=" "/>
    <s v="Ativo"/>
    <x v="3"/>
    <x v="4"/>
    <x v="24"/>
  </r>
  <r>
    <n v="130181"/>
    <x v="69"/>
    <s v="Diretoria Seminovos"/>
    <x v="4"/>
    <s v="LJGYG - Vendas Varejo Seminovos Goiânia"/>
    <s v="LIDYANE GUIMARAES DO NASCIMENTO SANTOS"/>
    <s v="NEGATIVO"/>
    <d v="1900-01-01T01:19:00"/>
    <d v="1900-01-01T01:19:00"/>
    <d v="1899-12-30T00:00:00"/>
    <s v=" "/>
    <s v=" "/>
    <s v=" "/>
    <s v=" "/>
    <s v=" "/>
    <s v=" "/>
    <s v=" "/>
    <s v=" "/>
    <s v=" "/>
    <d v="1899-12-31T06:20:00"/>
    <d v="1899-12-30T18:36:00"/>
    <d v="1899-12-30T00:23:00"/>
    <s v="Ativo"/>
    <x v="3"/>
    <x v="4"/>
    <x v="18"/>
  </r>
  <r>
    <n v="130516"/>
    <x v="70"/>
    <s v="Diretoria Seminovos"/>
    <x v="4"/>
    <s v="LJCGR - Vendas Varejo Seminovos Campo Grande"/>
    <s v="DOUGLAS PEREIRA SANDIM"/>
    <s v="NEGATIVO"/>
    <d v="1899-12-30T03:15:00"/>
    <d v="1899-12-30T03:15:00"/>
    <d v="1899-12-30T00:00:00"/>
    <s v=" "/>
    <s v=" "/>
    <s v=" "/>
    <s v=" "/>
    <s v=" "/>
    <s v=" "/>
    <d v="1899-12-30T04:17:00"/>
    <s v=" "/>
    <s v=" "/>
    <s v=" "/>
    <s v=" "/>
    <s v=" "/>
    <s v="Ativo"/>
    <x v="3"/>
    <x v="4"/>
    <x v="14"/>
  </r>
  <r>
    <n v="125158"/>
    <x v="71"/>
    <s v="Diretoria Seminovos"/>
    <x v="4"/>
    <s v="LJGYG - Vendas Varejo Seminovos Goiânia"/>
    <s v="LIDYANE GUIMARAES DO NASCIMENTO SANTOS"/>
    <s v="NEGATIVO"/>
    <d v="1899-12-30T06:03:00"/>
    <d v="1899-12-30T06:03:00"/>
    <d v="1899-12-30T00:00:00"/>
    <s v=" "/>
    <s v=" "/>
    <s v=" "/>
    <s v=" "/>
    <s v=" "/>
    <s v=" "/>
    <s v=" "/>
    <s v=" "/>
    <s v=" "/>
    <s v=" "/>
    <d v="1899-12-30T06:03:00"/>
    <s v=" "/>
    <s v="Ativo"/>
    <x v="3"/>
    <x v="4"/>
    <x v="18"/>
  </r>
  <r>
    <n v="130613"/>
    <x v="72"/>
    <s v="Diretoria Seminovos"/>
    <x v="4"/>
    <s v="LJBSB - Vendas Varejo Seminovos Brasília"/>
    <s v="RODRIGO REIS FIALHO"/>
    <s v="NEGATIVO"/>
    <d v="1900-01-01T21:01:00"/>
    <d v="1900-01-01T21:01:00"/>
    <d v="1899-12-30T00:00:00"/>
    <s v=" "/>
    <s v=" "/>
    <s v=" "/>
    <s v=" "/>
    <d v="1899-12-31T02:31:00"/>
    <d v="1899-12-31T14:38:00"/>
    <d v="1899-12-30T04:58:00"/>
    <s v=" "/>
    <s v=" "/>
    <s v=" "/>
    <s v=" "/>
    <s v=" "/>
    <s v="Ativo"/>
    <x v="3"/>
    <x v="4"/>
    <x v="21"/>
  </r>
  <r>
    <n v="136234"/>
    <x v="73"/>
    <s v="Diretoria Seminovos"/>
    <x v="4"/>
    <s v="LJBSB - Vendas Varejo Seminovos Brasília"/>
    <s v="RODRIGO REIS FIALHO"/>
    <s v="NEGATIVO"/>
    <d v="1899-12-30T12:10:00"/>
    <d v="1899-12-30T12:10:00"/>
    <d v="1899-12-30T00:00:00"/>
    <s v=" "/>
    <s v=" "/>
    <s v=" "/>
    <s v=" "/>
    <s v=" "/>
    <s v=" "/>
    <d v="1899-12-30T10:07:00"/>
    <s v=" "/>
    <s v=" "/>
    <s v=" "/>
    <s v=" "/>
    <s v=" "/>
    <s v="Ativo"/>
    <x v="3"/>
    <x v="4"/>
    <x v="21"/>
  </r>
  <r>
    <n v="131747"/>
    <x v="74"/>
    <s v="Diretoria Seminovos"/>
    <x v="4"/>
    <s v="LJGOI - Vendas Varejo Seminovos Goiania"/>
    <s v="PAULO ROBERTO PEREIRA DE ARAUJO"/>
    <s v="NEGATIVO"/>
    <d v="1899-12-31T17:50:00"/>
    <d v="1899-12-31T17:50:00"/>
    <d v="1899-12-30T00:00:00"/>
    <s v=" "/>
    <s v=" "/>
    <s v=" "/>
    <s v=" "/>
    <s v=" "/>
    <s v=" "/>
    <s v=" "/>
    <s v=" "/>
    <s v=" "/>
    <s v=" "/>
    <d v="1899-12-31T17:50:00"/>
    <s v=" "/>
    <s v="Contrato de Trabalho Suspenso"/>
    <x v="3"/>
    <x v="4"/>
    <x v="16"/>
  </r>
  <r>
    <n v="133740"/>
    <x v="75"/>
    <s v="Diretoria Seminovos"/>
    <x v="4"/>
    <s v="LJGOI - Vendas Varejo Seminovos Goiania"/>
    <s v="PAULO ROBERTO PEREIRA DE ARAUJO"/>
    <s v="NEGATIVO"/>
    <d v="1900-01-02T00:39:00"/>
    <d v="1900-01-02T00:39:00"/>
    <d v="1899-12-30T00:00:00"/>
    <s v=" "/>
    <s v=" "/>
    <s v=" "/>
    <s v=" "/>
    <s v=" "/>
    <s v=" "/>
    <s v=" "/>
    <s v=" "/>
    <s v=" "/>
    <d v="1899-12-30T02:45:00"/>
    <d v="1900-01-02T04:37:00"/>
    <s v=" "/>
    <s v="Ativo"/>
    <x v="3"/>
    <x v="4"/>
    <x v="16"/>
  </r>
  <r>
    <n v="501568"/>
    <x v="76"/>
    <s v="Diretoria Seminovos"/>
    <x v="4"/>
    <s v="LJBSB - Vendas Varejo Seminovos Brasília"/>
    <s v="RODRIGO REIS FIALHO"/>
    <s v="NEGATIVO"/>
    <d v="1900-01-02T08:14:00"/>
    <d v="1900-01-02T08:14:00"/>
    <d v="1899-12-30T00:00:00"/>
    <s v=" "/>
    <s v=" "/>
    <s v=" "/>
    <s v=" "/>
    <d v="1899-12-31T00:40:00"/>
    <d v="1899-12-31T19:37:00"/>
    <d v="1899-12-30T10:14:00"/>
    <s v=" "/>
    <s v=" "/>
    <s v=" "/>
    <s v=" "/>
    <s v=" "/>
    <s v="Ativo"/>
    <x v="3"/>
    <x v="4"/>
    <x v="21"/>
  </r>
  <r>
    <n v="136819"/>
    <x v="77"/>
    <s v="Diretoria Seminovos"/>
    <x v="4"/>
    <s v="LJAPS - Vendas Varejo Seminovos Anapolis"/>
    <s v="RODRIGO REIS FIALHO"/>
    <s v="NEGATIVO"/>
    <d v="1900-01-03T20:46:00"/>
    <d v="1900-01-03T20:46:00"/>
    <d v="1899-12-30T00:00:00"/>
    <s v=" "/>
    <s v=" "/>
    <s v=" "/>
    <s v=" "/>
    <d v="1900-01-02T06:29:00"/>
    <d v="1899-12-31T14:53:00"/>
    <d v="1899-12-30T03:57:00"/>
    <s v=" "/>
    <s v=" "/>
    <s v=" "/>
    <s v=" "/>
    <s v=" "/>
    <s v="Ativo"/>
    <x v="3"/>
    <x v="4"/>
    <x v="20"/>
  </r>
  <r>
    <n v="134859"/>
    <x v="78"/>
    <s v="Diretoria Seminovos"/>
    <x v="4"/>
    <s v="LJBSB - Vendas Varejo Seminovos Brasília"/>
    <s v="RODRIGO REIS FIALHO"/>
    <s v="NEGATIVO"/>
    <d v="1900-01-06T13:13:00"/>
    <d v="1900-01-06T13:13:00"/>
    <d v="1899-12-30T00:00:00"/>
    <s v=" "/>
    <s v=" "/>
    <s v=" "/>
    <s v=" "/>
    <d v="1899-12-31T18:27:00"/>
    <d v="1900-01-04T18:46:00"/>
    <s v=" "/>
    <s v=" "/>
    <s v=" "/>
    <s v=" "/>
    <s v=" "/>
    <s v=" "/>
    <s v="Contrato de Trabalho Suspenso"/>
    <x v="3"/>
    <x v="4"/>
    <x v="21"/>
  </r>
  <r>
    <n v="125048"/>
    <x v="79"/>
    <s v="Diretoria Seminovos"/>
    <x v="4"/>
    <s v="LJUDI - Vendas Varejo Seminovos Uberlândia"/>
    <s v="CARLOS ALBERTO GONCALVES"/>
    <s v="NEGATIVO"/>
    <d v="1899-12-30T21:07:00"/>
    <d v="1899-12-30T21:07:00"/>
    <d v="1899-12-30T00:00:00"/>
    <s v=" "/>
    <s v=" "/>
    <s v=" "/>
    <s v=" "/>
    <d v="1899-12-30T12:26:00"/>
    <d v="1899-12-30T08:41:00"/>
    <s v=" "/>
    <s v=" "/>
    <s v=" "/>
    <s v=" "/>
    <s v=" "/>
    <s v=" "/>
    <s v="Contrato de Trabalho Suspenso"/>
    <x v="3"/>
    <x v="4"/>
    <x v="19"/>
  </r>
  <r>
    <n v="132810"/>
    <x v="80"/>
    <s v="Diretoria Seminovos"/>
    <x v="4"/>
    <s v="LJBSB - Vendas Varejo Seminovos Brasília"/>
    <s v="RODRIGO REIS FIALHO"/>
    <s v="NEGATIVO"/>
    <d v="1899-12-30T06:00:00"/>
    <d v="1899-12-30T06:00:00"/>
    <d v="1899-12-30T00:00:00"/>
    <s v=" "/>
    <s v=" "/>
    <s v=" "/>
    <s v=" "/>
    <s v=" "/>
    <s v=" "/>
    <d v="1899-12-30T01:25:00"/>
    <s v=" "/>
    <s v=" "/>
    <s v=" "/>
    <s v=" "/>
    <s v=" "/>
    <s v="Ativo"/>
    <x v="3"/>
    <x v="4"/>
    <x v="21"/>
  </r>
  <r>
    <n v="129805"/>
    <x v="81"/>
    <s v="Diretoria Seminovos"/>
    <x v="4"/>
    <s v="LJCGR - Vendas Varejo Seminovos Campo Grande"/>
    <s v="DOUGLAS PEREIRA SANDIM"/>
    <s v="NEGATIVO"/>
    <d v="1899-12-30T07:04:00"/>
    <d v="1899-12-30T07:04:00"/>
    <d v="1899-12-30T00:00:00"/>
    <s v=" "/>
    <s v=" "/>
    <d v="1899-12-30T06:10:00"/>
    <d v="1899-12-30T00:54:00"/>
    <s v=" "/>
    <s v=" "/>
    <s v=" "/>
    <s v=" "/>
    <s v=" "/>
    <s v=" "/>
    <s v=" "/>
    <s v=" "/>
    <s v="Af.Previdência"/>
    <x v="3"/>
    <x v="4"/>
    <x v="14"/>
  </r>
  <r>
    <n v="122781"/>
    <x v="82"/>
    <s v="Diretoria Seminovos"/>
    <x v="5"/>
    <s v="LJGRU - Loja Seminovos Guarulhos"/>
    <s v="GUSTAVO OLIVEIRA AGUIAR"/>
    <s v="NEGATIVO"/>
    <d v="1899-12-30T01:05:00"/>
    <d v="1899-12-30T01:05:00"/>
    <d v="1899-12-30T00:00:00"/>
    <s v=" "/>
    <s v=" "/>
    <s v=" "/>
    <s v=" "/>
    <s v=" "/>
    <s v=" "/>
    <s v=" "/>
    <d v="1899-12-30T01:05:00"/>
    <s v=" "/>
    <s v=" "/>
    <s v=" "/>
    <s v=" "/>
    <s v="Contrato de Trabalho Suspenso"/>
    <x v="2"/>
    <x v="5"/>
    <x v="25"/>
  </r>
  <r>
    <n v="132920"/>
    <x v="83"/>
    <s v="Diretoria Seminovos"/>
    <x v="5"/>
    <s v="LJSJC - Loja Seminovos São José dos Campos"/>
    <s v="DAVID LEANDRO ROCHA SANCHES"/>
    <s v="NEGATIVO"/>
    <d v="1899-12-30T13:58:00"/>
    <d v="1899-12-30T13:58:00"/>
    <d v="1899-12-30T00:00:00"/>
    <s v=" "/>
    <s v=" "/>
    <s v=" "/>
    <s v=" "/>
    <s v=" "/>
    <s v=" "/>
    <s v=" "/>
    <d v="1899-12-30T13:58:00"/>
    <s v=" "/>
    <s v=" "/>
    <s v=" "/>
    <s v=" "/>
    <s v="Ativo"/>
    <x v="7"/>
    <x v="5"/>
    <x v="26"/>
  </r>
  <r>
    <n v="501457"/>
    <x v="84"/>
    <s v="Diretoria Seminovos"/>
    <x v="5"/>
    <s v="LJSJA - Loja Seminovos São José dos Campos"/>
    <s v="ANDRE BORGES DA COSTA"/>
    <s v="NEGATIVO"/>
    <d v="1899-12-30T11:11:00"/>
    <d v="1899-12-30T11:11:00"/>
    <d v="1899-12-30T00:00:00"/>
    <s v=" "/>
    <s v=" "/>
    <s v=" "/>
    <s v=" "/>
    <s v=" "/>
    <d v="1899-12-30T02:56:00"/>
    <d v="1899-12-30T02:27:00"/>
    <d v="1899-12-30T03:49:00"/>
    <d v="1899-12-30T01:44:00"/>
    <d v="1899-12-30T00:15:00"/>
    <s v=" "/>
    <s v=" "/>
    <s v="Ativo"/>
    <x v="2"/>
    <x v="5"/>
    <x v="27"/>
  </r>
  <r>
    <n v="501614"/>
    <x v="85"/>
    <s v="Diretoria Seminovos"/>
    <x v="5"/>
    <s v="LJSOR - Loja Seminovos Sorocaba"/>
    <s v="MARCIO SAMPIERI"/>
    <s v="NEGATIVO"/>
    <d v="1899-12-30T08:59:00"/>
    <d v="1899-12-30T08:59:00"/>
    <d v="1899-12-30T00:00:00"/>
    <s v=" "/>
    <s v=" "/>
    <s v=" "/>
    <s v=" "/>
    <s v=" "/>
    <s v=" "/>
    <s v=" "/>
    <s v=" "/>
    <d v="1899-12-30T08:59:00"/>
    <s v=" "/>
    <s v=" "/>
    <s v=" "/>
    <s v="Ativo"/>
    <x v="2"/>
    <x v="5"/>
    <x v="28"/>
  </r>
  <r>
    <n v="133126"/>
    <x v="86"/>
    <s v="Diretoria Seminovos"/>
    <x v="5"/>
    <s v="LJPGR - Loja Seminovos Praia Grande"/>
    <s v="FABIANO SOUZA DA SILVA"/>
    <s v="NEGATIVO"/>
    <d v="1899-12-30T13:12:00"/>
    <d v="1899-12-30T13:12:00"/>
    <d v="1899-12-30T00:00:00"/>
    <s v=" "/>
    <s v=" "/>
    <s v=" "/>
    <s v=" "/>
    <s v=" "/>
    <s v=" "/>
    <s v=" "/>
    <s v=" "/>
    <s v=" "/>
    <s v=" "/>
    <d v="1899-12-30T13:12:00"/>
    <s v=" "/>
    <s v="Ativo"/>
    <x v="6"/>
    <x v="5"/>
    <x v="29"/>
  </r>
  <r>
    <n v="117786"/>
    <x v="87"/>
    <s v="Diretoria Seminovos"/>
    <x v="5"/>
    <s v="LJSJA - Loja Seminovos São José dos Campos"/>
    <s v="ANDRE BORGES DA COSTA"/>
    <s v="NEGATIVO"/>
    <d v="1899-12-30T10:31:00"/>
    <d v="1899-12-30T10:31:00"/>
    <d v="1899-12-30T00:00:00"/>
    <s v=" "/>
    <s v=" "/>
    <s v=" "/>
    <s v=" "/>
    <s v=" "/>
    <s v=" "/>
    <s v=" "/>
    <s v=" "/>
    <s v=" "/>
    <d v="1899-12-30T02:31:00"/>
    <d v="1899-12-30T08:00:00"/>
    <s v=" "/>
    <s v="Ativo"/>
    <x v="2"/>
    <x v="5"/>
    <x v="27"/>
  </r>
  <r>
    <n v="122516"/>
    <x v="88"/>
    <s v="Diretoria Seminovos"/>
    <x v="5"/>
    <s v="LJSTS - Loja Seminovos Santos"/>
    <s v="RICARDO TEOFILO AMORIM"/>
    <s v="NEGATIVO"/>
    <d v="1899-12-30T07:51:00"/>
    <d v="1899-12-30T07:51:00"/>
    <d v="1899-12-30T00:00:00"/>
    <s v=" "/>
    <s v=" "/>
    <s v=" "/>
    <s v=" "/>
    <d v="1899-12-30T01:05:00"/>
    <d v="1899-12-30T00:19:00"/>
    <d v="1899-12-30T05:26:00"/>
    <d v="1899-12-30T01:01:00"/>
    <s v=" "/>
    <s v=" "/>
    <s v=" "/>
    <s v=" "/>
    <s v="Ativo"/>
    <x v="6"/>
    <x v="5"/>
    <x v="30"/>
  </r>
  <r>
    <n v="136147"/>
    <x v="89"/>
    <s v="Diretoria Seminovos"/>
    <x v="5"/>
    <s v="LJTAB - Loja Seminovos Taubaté"/>
    <s v="HERMES DI JORGE"/>
    <s v="NEGATIVO"/>
    <d v="1899-12-30T08:00:00"/>
    <d v="1899-12-30T08:00:00"/>
    <d v="1899-12-30T00:00:00"/>
    <s v=" "/>
    <s v=" "/>
    <s v=" "/>
    <s v=" "/>
    <s v=" "/>
    <s v=" "/>
    <s v=" "/>
    <s v=" "/>
    <s v=" "/>
    <s v=" "/>
    <d v="1899-12-30T08:00:00"/>
    <s v=" "/>
    <s v="Ativo"/>
    <x v="2"/>
    <x v="5"/>
    <x v="31"/>
  </r>
  <r>
    <n v="501227"/>
    <x v="90"/>
    <s v="Diretoria Seminovos"/>
    <x v="5"/>
    <s v="LJSTA - Loja Seminovos Santo André"/>
    <s v="JORGE LUIZ CANDIDO"/>
    <s v="NEGATIVO"/>
    <d v="1899-12-30T07:38:00"/>
    <d v="1899-12-30T07:38:00"/>
    <d v="1899-12-30T00:00:00"/>
    <s v=" "/>
    <s v=" "/>
    <s v=" "/>
    <s v=" "/>
    <s v=" "/>
    <s v=" "/>
    <s v=" "/>
    <s v=" "/>
    <d v="1899-12-30T07:38:00"/>
    <s v=" "/>
    <s v=" "/>
    <s v=" "/>
    <s v="Ativo"/>
    <x v="2"/>
    <x v="5"/>
    <x v="32"/>
  </r>
  <r>
    <n v="122525"/>
    <x v="91"/>
    <s v="Diretoria Seminovos"/>
    <x v="5"/>
    <s v="LJGRU - Loja Seminovos Guarulhos"/>
    <s v="GUSTAVO OLIVEIRA AGUIAR"/>
    <s v="NEGATIVO"/>
    <d v="1900-01-01T21:46:00"/>
    <d v="1900-01-01T21:46:00"/>
    <d v="1899-12-30T00:00:00"/>
    <s v=" "/>
    <s v=" "/>
    <s v=" "/>
    <s v=" "/>
    <s v=" "/>
    <s v=" "/>
    <s v=" "/>
    <d v="1899-12-30T21:35:00"/>
    <d v="1899-12-30T00:11:00"/>
    <s v=" "/>
    <d v="1899-12-31T16:00:00"/>
    <d v="1899-12-30T08:00:00"/>
    <s v="Ativo"/>
    <x v="2"/>
    <x v="5"/>
    <x v="25"/>
  </r>
  <r>
    <n v="136519"/>
    <x v="92"/>
    <s v="Diretoria Seminovos"/>
    <x v="5"/>
    <s v="LJSTS - Loja Seminovos Santos"/>
    <s v="RICARDO TEOFILO AMORIM"/>
    <s v="NEGATIVO"/>
    <d v="1899-12-31T11:25:00"/>
    <d v="1899-12-31T11:25:00"/>
    <d v="1899-12-30T00:00:00"/>
    <s v=" "/>
    <s v=" "/>
    <s v=" "/>
    <s v=" "/>
    <s v=" "/>
    <s v=" "/>
    <d v="1899-12-30T02:20:00"/>
    <d v="1899-12-30T06:41:00"/>
    <s v=" "/>
    <d v="1899-12-30T17:36:00"/>
    <d v="1899-12-30T08:48:00"/>
    <s v=" "/>
    <s v="Ativo"/>
    <x v="2"/>
    <x v="5"/>
    <x v="30"/>
  </r>
  <r>
    <n v="501985"/>
    <x v="93"/>
    <s v="Diretoria Seminovos"/>
    <x v="5"/>
    <s v="LJMOG - Loja Seminovos Mogi das Cruzes"/>
    <s v="FABIO ALEXANDRE FERRAZ DA SILVA"/>
    <s v="NEGATIVO"/>
    <d v="1900-01-04T08:00:00"/>
    <d v="1900-01-04T08:00:00"/>
    <d v="1899-12-30T00:00:00"/>
    <s v=" "/>
    <s v=" "/>
    <s v=" "/>
    <s v=" "/>
    <s v=" "/>
    <s v=" "/>
    <s v=" "/>
    <s v=" "/>
    <s v=" "/>
    <d v="1900-01-04T00:00:00"/>
    <d v="1899-12-30T08:00:00"/>
    <s v=" "/>
    <s v="Contrato de Trabalho Suspenso"/>
    <x v="2"/>
    <x v="5"/>
    <x v="33"/>
  </r>
  <r>
    <n v="501347"/>
    <x v="94"/>
    <s v="Diretoria Seminovos"/>
    <x v="5"/>
    <s v="LJMOG - Loja Seminovos Mogi das Cruzes"/>
    <s v="FABIO ALEXANDRE FERRAZ DA SILVA"/>
    <s v="NEGATIVO"/>
    <d v="1900-01-03T16:00:00"/>
    <d v="1900-01-03T16:00:00"/>
    <d v="1899-12-30T00:00:00"/>
    <s v=" "/>
    <s v=" "/>
    <s v=" "/>
    <s v=" "/>
    <s v=" "/>
    <s v=" "/>
    <s v=" "/>
    <s v=" "/>
    <s v=" "/>
    <d v="1900-01-03T08:00:00"/>
    <d v="1899-12-30T08:00:00"/>
    <s v=" "/>
    <s v="Ativo"/>
    <x v="2"/>
    <x v="5"/>
    <x v="33"/>
  </r>
  <r>
    <n v="123744"/>
    <x v="95"/>
    <s v="Diretoria Seminovos"/>
    <x v="5"/>
    <s v="LJSMG - Loja Seminovos São Miguel"/>
    <s v="PEDRO IVO DIAS RODRIGUES"/>
    <s v="NEGATIVO"/>
    <d v="1899-12-31T19:13:00"/>
    <d v="1899-12-31T19:13:00"/>
    <d v="1899-12-30T00:00:00"/>
    <s v=" "/>
    <s v=" "/>
    <s v=" "/>
    <s v=" "/>
    <s v=" "/>
    <s v=" "/>
    <s v=" "/>
    <s v=" "/>
    <d v="1899-12-30T07:13:00"/>
    <d v="1899-12-31T04:00:00"/>
    <d v="1899-12-30T08:00:00"/>
    <s v=" "/>
    <s v="Ativo"/>
    <x v="2"/>
    <x v="5"/>
    <x v="34"/>
  </r>
  <r>
    <n v="501241"/>
    <x v="96"/>
    <s v="Diretoria Seminovos"/>
    <x v="5"/>
    <s v="LJSTA - Loja Seminovos Santo André"/>
    <s v="JORGE LUIZ CANDIDO"/>
    <s v="NEGATIVO"/>
    <d v="1899-12-30T06:45:00"/>
    <d v="1899-12-30T06:45:00"/>
    <d v="1899-12-30T00:00:00"/>
    <s v=" "/>
    <s v=" "/>
    <s v=" "/>
    <s v=" "/>
    <s v=" "/>
    <s v=" "/>
    <s v=" "/>
    <s v=" "/>
    <d v="1899-12-30T06:45:00"/>
    <s v=" "/>
    <s v=" "/>
    <s v=" "/>
    <s v="Ativo"/>
    <x v="6"/>
    <x v="5"/>
    <x v="32"/>
  </r>
  <r>
    <n v="501242"/>
    <x v="97"/>
    <s v="Diretoria Seminovos"/>
    <x v="5"/>
    <s v="LJIPA - Loja Seminovos Itaim Paulista"/>
    <s v="MAURICIO NAVARRO"/>
    <s v="NEGATIVO"/>
    <d v="1900-01-01T12:16:00"/>
    <d v="1900-01-01T12:16:00"/>
    <d v="1899-12-30T00:00:00"/>
    <s v=" "/>
    <s v=" "/>
    <s v=" "/>
    <s v=" "/>
    <s v=" "/>
    <s v=" "/>
    <s v=" "/>
    <d v="1899-12-30T20:16:00"/>
    <d v="1899-12-31T16:00:00"/>
    <s v=" "/>
    <s v=" "/>
    <s v=" "/>
    <s v="Ativo"/>
    <x v="7"/>
    <x v="5"/>
    <x v="35"/>
  </r>
  <r>
    <n v="122869"/>
    <x v="98"/>
    <s v="Diretoria Seminovos"/>
    <x v="5"/>
    <s v="LJSTS - Loja Seminovos Santos"/>
    <s v="RICARDO TEOFILO AMORIM"/>
    <s v="NEGATIVO"/>
    <d v="1899-12-30T09:00:00"/>
    <d v="1899-12-30T09:00:00"/>
    <d v="1899-12-30T00:00:00"/>
    <s v=" "/>
    <s v=" "/>
    <s v=" "/>
    <s v=" "/>
    <s v=" "/>
    <d v="1899-12-30T08:52:00"/>
    <d v="1899-12-30T00:08:00"/>
    <s v=" "/>
    <s v=" "/>
    <s v=" "/>
    <s v=" "/>
    <s v=" "/>
    <s v="Ativo"/>
    <x v="2"/>
    <x v="5"/>
    <x v="30"/>
  </r>
  <r>
    <n v="500445"/>
    <x v="99"/>
    <s v="Diretoria Seminovos"/>
    <x v="5"/>
    <s v="LJSTA - Loja Seminovos Santo André"/>
    <s v="JORGE LUIZ CANDIDO"/>
    <s v="NEGATIVO"/>
    <d v="1899-12-30T07:46:00"/>
    <d v="1899-12-30T07:46:00"/>
    <d v="1899-12-30T00:00:00"/>
    <s v=" "/>
    <s v=" "/>
    <s v=" "/>
    <s v=" "/>
    <s v=" "/>
    <s v=" "/>
    <s v=" "/>
    <s v=" "/>
    <d v="1899-12-30T07:46:00"/>
    <s v=" "/>
    <s v=" "/>
    <s v=" "/>
    <s v="Contrato de Trabalho Suspenso"/>
    <x v="2"/>
    <x v="5"/>
    <x v="32"/>
  </r>
  <r>
    <n v="118029"/>
    <x v="100"/>
    <s v="Diretoria Seminovos"/>
    <x v="5"/>
    <s v="LJOSC - Loja Seminovos Osasco"/>
    <s v="ROBSON LUIZ ANDREATTE"/>
    <s v="NEGATIVO"/>
    <d v="1899-12-31T17:42:00"/>
    <d v="1899-12-31T17:42:00"/>
    <d v="1899-12-30T00:00:00"/>
    <s v=" "/>
    <s v=" "/>
    <s v=" "/>
    <s v=" "/>
    <s v=" "/>
    <s v=" "/>
    <d v="1899-12-30T00:23:00"/>
    <d v="1899-12-30T04:18:00"/>
    <s v=" "/>
    <d v="1899-12-30T09:05:00"/>
    <d v="1899-12-30T19:56:00"/>
    <d v="1899-12-30T08:00:00"/>
    <s v="Contrato de Trabalho Suspenso"/>
    <x v="2"/>
    <x v="5"/>
    <x v="36"/>
  </r>
  <r>
    <n v="123821"/>
    <x v="101"/>
    <s v="Diretoria Seminovos"/>
    <x v="5"/>
    <s v="LJSMG - Loja Seminovos São Miguel"/>
    <s v="PEDRO IVO DIAS RODRIGUES"/>
    <s v="NEGATIVO"/>
    <d v="1899-12-30T11:45:00"/>
    <d v="1899-12-30T11:45:00"/>
    <d v="1899-12-30T00:00:00"/>
    <s v=" "/>
    <s v=" "/>
    <s v=" "/>
    <s v=" "/>
    <s v=" "/>
    <s v=" "/>
    <s v=" "/>
    <s v=" "/>
    <d v="1899-12-30T11:45:00"/>
    <s v=" "/>
    <s v=" "/>
    <s v=" "/>
    <s v="Ativo"/>
    <x v="6"/>
    <x v="5"/>
    <x v="34"/>
  </r>
  <r>
    <n v="502938"/>
    <x v="102"/>
    <s v="Diretoria Seminovos"/>
    <x v="5"/>
    <s v="LJOSC - Loja Seminovos Osasco"/>
    <s v="ROBSON LUIZ ANDREATTE"/>
    <s v="NEGATIVO"/>
    <d v="1899-12-31T04:41:00"/>
    <d v="1899-12-31T04:41:00"/>
    <d v="1899-12-30T00:00:00"/>
    <s v=" "/>
    <s v=" "/>
    <s v=" "/>
    <s v=" "/>
    <d v="1899-12-30T05:08:00"/>
    <s v=" "/>
    <s v=" "/>
    <d v="1899-12-30T00:08:00"/>
    <s v=" "/>
    <d v="1899-12-30T08:10:00"/>
    <d v="1899-12-30T15:40:00"/>
    <s v=" "/>
    <s v="Ativo"/>
    <x v="2"/>
    <x v="5"/>
    <x v="36"/>
  </r>
  <r>
    <n v="122524"/>
    <x v="103"/>
    <s v="Diretoria Seminovos"/>
    <x v="5"/>
    <s v="LJTAB - Loja Seminovos Taubaté"/>
    <s v="HERMES DI JORGE"/>
    <s v="NEGATIVO"/>
    <d v="1899-12-30T21:47:00"/>
    <d v="1899-12-30T21:47:00"/>
    <d v="1899-12-30T00:00:00"/>
    <s v=" "/>
    <s v=" "/>
    <s v=" "/>
    <s v=" "/>
    <s v=" "/>
    <s v=" "/>
    <s v=" "/>
    <d v="1899-12-30T21:47:00"/>
    <s v=" "/>
    <s v=" "/>
    <s v=" "/>
    <s v=" "/>
    <s v="Ativo"/>
    <x v="6"/>
    <x v="5"/>
    <x v="31"/>
  </r>
  <r>
    <n v="124588"/>
    <x v="104"/>
    <s v="Diretoria Seminovos"/>
    <x v="5"/>
    <s v="LJPGR - Vendas Varejo Seminovos Praia Grande"/>
    <s v="FABIANO SOUZA DA SILVA"/>
    <s v="NEGATIVO"/>
    <d v="1899-12-30T21:36:00"/>
    <d v="1899-12-30T21:36:00"/>
    <d v="1899-12-30T00:00:00"/>
    <s v=" "/>
    <s v=" "/>
    <s v=" "/>
    <s v=" "/>
    <s v=" "/>
    <s v=" "/>
    <s v=" "/>
    <s v=" "/>
    <s v=" "/>
    <s v=" "/>
    <d v="1899-12-30T21:36:00"/>
    <s v=" "/>
    <s v="Ativo"/>
    <x v="3"/>
    <x v="5"/>
    <x v="29"/>
  </r>
  <r>
    <n v="135731"/>
    <x v="105"/>
    <s v="Diretoria Seminovos"/>
    <x v="5"/>
    <s v="LJSTS - Vendas Varejo Seminovos Santos"/>
    <s v="RICARDO TEOFILO AMORIM"/>
    <s v="NEGATIVO"/>
    <d v="1900-01-01T07:12:00"/>
    <d v="1900-01-01T07:12:00"/>
    <d v="1899-12-30T00:00:00"/>
    <s v=" "/>
    <s v=" "/>
    <s v=" "/>
    <s v=" "/>
    <s v=" "/>
    <s v=" "/>
    <s v=" "/>
    <s v=" "/>
    <s v=" "/>
    <d v="1899-12-31T16:48:00"/>
    <d v="1899-12-30T14:24:00"/>
    <s v=" "/>
    <s v="Contrato de Trabalho Suspenso"/>
    <x v="3"/>
    <x v="5"/>
    <x v="30"/>
  </r>
  <r>
    <n v="129774"/>
    <x v="106"/>
    <s v="Diretoria Seminovos"/>
    <x v="5"/>
    <s v="LJSJC - Vendas Varejo Seminovos São José dos Campos"/>
    <s v="DAVID LEANDRO ROCHA SANCHES"/>
    <s v="NEGATIVO"/>
    <d v="1899-12-30T07:12:00"/>
    <d v="1899-12-30T07:12:00"/>
    <d v="1899-12-30T00:00:00"/>
    <s v=" "/>
    <s v=" "/>
    <s v=" "/>
    <s v=" "/>
    <s v=" "/>
    <s v=" "/>
    <s v=" "/>
    <s v=" "/>
    <s v=" "/>
    <d v="1899-12-30T07:12:00"/>
    <s v=" "/>
    <s v=" "/>
    <s v="Ativo"/>
    <x v="3"/>
    <x v="5"/>
    <x v="26"/>
  </r>
  <r>
    <n v="132831"/>
    <x v="107"/>
    <s v="Diretoria Seminovos"/>
    <x v="5"/>
    <s v="LJGRU - Vendas Varejo Seminovos Guarulhos"/>
    <s v="GUSTAVO OLIVEIRA AGUIAR"/>
    <s v="NEGATIVO"/>
    <d v="1899-12-30T07:30:00"/>
    <d v="1899-12-30T07:30:00"/>
    <d v="1899-12-30T00:00:00"/>
    <s v=" "/>
    <s v=" "/>
    <s v=" "/>
    <s v=" "/>
    <s v=" "/>
    <s v=" "/>
    <s v=" "/>
    <d v="1899-12-30T00:18:00"/>
    <s v=" "/>
    <s v=" "/>
    <d v="1899-12-30T07:12:00"/>
    <s v=" "/>
    <s v="Ativo"/>
    <x v="3"/>
    <x v="5"/>
    <x v="25"/>
  </r>
  <r>
    <n v="502701"/>
    <x v="108"/>
    <s v="Diretoria Seminovos"/>
    <x v="5"/>
    <s v="LJGRU - Vendas Varejo Seminovos Guarulhos"/>
    <s v="GUSTAVO OLIVEIRA AGUIAR"/>
    <s v="NEGATIVO"/>
    <d v="1899-12-30T00:06:00"/>
    <d v="1899-12-30T00:06:00"/>
    <d v="1899-12-30T00:00:00"/>
    <s v=" "/>
    <s v=" "/>
    <s v=" "/>
    <s v=" "/>
    <s v=" "/>
    <s v=" "/>
    <s v=" "/>
    <d v="1899-12-30T00:06:00"/>
    <s v=" "/>
    <s v=" "/>
    <s v=" "/>
    <s v=" "/>
    <s v="Ativo"/>
    <x v="3"/>
    <x v="5"/>
    <x v="25"/>
  </r>
  <r>
    <n v="134278"/>
    <x v="109"/>
    <s v="Diretoria Seminovos"/>
    <x v="5"/>
    <s v="LJSJC - Vendas Varejo Seminovos São José dos Campos"/>
    <s v="DAVID LEANDRO ROCHA SANCHES"/>
    <s v="NEGATIVO"/>
    <d v="1900-01-05T03:12:00"/>
    <d v="1900-01-05T03:12:00"/>
    <d v="1899-12-30T00:00:00"/>
    <s v=" "/>
    <s v=" "/>
    <s v=" "/>
    <s v=" "/>
    <s v=" "/>
    <s v=" "/>
    <s v=" "/>
    <s v=" "/>
    <s v=" "/>
    <d v="1900-01-05T03:12:00"/>
    <s v=" "/>
    <s v=" "/>
    <s v="Contrato de Trabalho Suspenso"/>
    <x v="3"/>
    <x v="5"/>
    <x v="26"/>
  </r>
  <r>
    <n v="133201"/>
    <x v="110"/>
    <s v="Diretoria Seminovos"/>
    <x v="5"/>
    <s v="LJPGR - Vendas Varejo Seminovos Praia Grande"/>
    <s v="FABIANO SOUZA DA SILVA"/>
    <s v="NEGATIVO"/>
    <d v="1899-12-30T21:36:00"/>
    <d v="1899-12-30T21:36:00"/>
    <d v="1899-12-30T00:00:00"/>
    <s v=" "/>
    <s v=" "/>
    <s v=" "/>
    <s v=" "/>
    <s v=" "/>
    <s v=" "/>
    <s v=" "/>
    <s v=" "/>
    <s v=" "/>
    <s v=" "/>
    <d v="1899-12-30T21:36:00"/>
    <s v=" "/>
    <s v="Ativo"/>
    <x v="3"/>
    <x v="5"/>
    <x v="29"/>
  </r>
  <r>
    <n v="132027"/>
    <x v="111"/>
    <s v="Diretoria Seminovos"/>
    <x v="5"/>
    <s v="LJSMG - Vendas Varejo Seminovos São Miguel"/>
    <s v="PEDRO IVO DIAS RODRIGUES"/>
    <s v="NEGATIVO"/>
    <d v="1899-12-30T21:07:00"/>
    <d v="1899-12-30T21:07:00"/>
    <d v="1899-12-30T00:00:00"/>
    <s v=" "/>
    <s v=" "/>
    <s v=" "/>
    <s v=" "/>
    <s v=" "/>
    <s v=" "/>
    <s v=" "/>
    <s v=" "/>
    <s v=" "/>
    <d v="1899-12-30T21:07:00"/>
    <s v=" "/>
    <s v=" "/>
    <s v="Ativo"/>
    <x v="3"/>
    <x v="5"/>
    <x v="34"/>
  </r>
  <r>
    <n v="503648"/>
    <x v="112"/>
    <s v="Diretoria Seminovos"/>
    <x v="5"/>
    <s v="LJSOR - Vendas Varejo Seminovos Sorocaba"/>
    <s v="MARCIO SAMPIERI"/>
    <s v="NEGATIVO"/>
    <d v="1899-12-30T14:04:00"/>
    <d v="1899-12-30T14:04:00"/>
    <d v="1899-12-30T00:00:00"/>
    <s v=" "/>
    <s v=" "/>
    <s v=" "/>
    <s v=" "/>
    <s v=" "/>
    <s v=" "/>
    <s v=" "/>
    <s v=" "/>
    <d v="1899-12-30T14:04:00"/>
    <s v=" "/>
    <s v=" "/>
    <s v=" "/>
    <s v="Contrato de Trabalho Suspenso"/>
    <x v="3"/>
    <x v="5"/>
    <x v="28"/>
  </r>
  <r>
    <n v="130827"/>
    <x v="113"/>
    <s v="Diretoria Seminovos"/>
    <x v="5"/>
    <s v="LJMOG - Vendas Varejo Seminovos Mogi das Cruzes"/>
    <s v="FABIO ALEXANDRE FERRAZ DA SILVA"/>
    <s v="NEGATIVO"/>
    <d v="1899-12-31T22:24:00"/>
    <d v="1899-12-31T22:24:00"/>
    <d v="1899-12-30T00:00:00"/>
    <s v=" "/>
    <s v=" "/>
    <s v=" "/>
    <s v=" "/>
    <s v=" "/>
    <s v=" "/>
    <s v=" "/>
    <s v=" "/>
    <s v=" "/>
    <d v="1899-12-31T08:00:00"/>
    <d v="1899-12-30T14:24:00"/>
    <s v=" "/>
    <s v="Contrato de Trabalho Suspenso"/>
    <x v="3"/>
    <x v="5"/>
    <x v="33"/>
  </r>
  <r>
    <n v="501474"/>
    <x v="114"/>
    <s v="Diretoria Seminovos"/>
    <x v="5"/>
    <s v="LJMOG - Vendas Varejo Seminovos Mogi das Cruzes"/>
    <s v="FABIO ALEXANDRE FERRAZ DA SILVA"/>
    <s v="NEGATIVO"/>
    <d v="1900-01-06T06:24:00"/>
    <d v="1900-01-06T06:24:00"/>
    <d v="1899-12-30T00:00:00"/>
    <s v=" "/>
    <s v=" "/>
    <s v=" "/>
    <s v=" "/>
    <s v=" "/>
    <s v=" "/>
    <s v=" "/>
    <s v=" "/>
    <s v=" "/>
    <d v="1899-12-31T20:48:00"/>
    <d v="1900-01-04T09:36:00"/>
    <s v=" "/>
    <s v="Ativo"/>
    <x v="3"/>
    <x v="5"/>
    <x v="33"/>
  </r>
  <r>
    <n v="503354"/>
    <x v="115"/>
    <s v="Diretoria Seminovos"/>
    <x v="5"/>
    <s v="LJSJA - Vendas Varejo Seminovos São José dos Campos"/>
    <s v="ANDRE BORGES DA COSTA"/>
    <s v="NEGATIVO"/>
    <d v="1899-12-30T07:29:00"/>
    <d v="1899-12-30T07:29:00"/>
    <d v="1899-12-30T00:00:00"/>
    <s v=" "/>
    <s v=" "/>
    <s v=" "/>
    <s v=" "/>
    <s v=" "/>
    <s v=" "/>
    <s v=" "/>
    <s v=" "/>
    <s v=" "/>
    <d v="1899-12-30T07:29:00"/>
    <s v=" "/>
    <s v=" "/>
    <s v="Ativo"/>
    <x v="3"/>
    <x v="5"/>
    <x v="27"/>
  </r>
  <r>
    <n v="124555"/>
    <x v="116"/>
    <s v="Diretoria Seminovos"/>
    <x v="5"/>
    <s v="LJSMG - Vendas Varejo Seminovos São Miguel"/>
    <s v="PEDRO IVO DIAS RODRIGUES"/>
    <s v="NEGATIVO"/>
    <d v="1899-12-30T09:58:00"/>
    <d v="1899-12-30T09:58:00"/>
    <d v="1899-12-30T00:00:00"/>
    <s v=" "/>
    <s v=" "/>
    <s v=" "/>
    <s v=" "/>
    <s v=" "/>
    <s v=" "/>
    <s v=" "/>
    <d v="1899-12-30T01:34:00"/>
    <d v="1899-12-30T08:24:00"/>
    <s v=" "/>
    <s v=" "/>
    <s v=" "/>
    <s v="Ativo"/>
    <x v="3"/>
    <x v="5"/>
    <x v="34"/>
  </r>
  <r>
    <n v="134151"/>
    <x v="117"/>
    <s v="Diretoria Seminovos"/>
    <x v="5"/>
    <s v="LJPGR - Vendas Varejo Seminovos Praia Grande"/>
    <s v="FABIANO SOUZA DA SILVA"/>
    <s v="NEGATIVO"/>
    <d v="1899-12-31T04:48:00"/>
    <d v="1899-12-31T04:48:00"/>
    <d v="1899-12-30T00:00:00"/>
    <s v=" "/>
    <s v=" "/>
    <s v=" "/>
    <s v=" "/>
    <s v=" "/>
    <s v=" "/>
    <s v=" "/>
    <s v=" "/>
    <s v=" "/>
    <d v="1899-12-30T07:12:00"/>
    <d v="1899-12-30T21:36:00"/>
    <s v=" "/>
    <s v="Contrato de Trabalho Suspenso"/>
    <x v="3"/>
    <x v="5"/>
    <x v="29"/>
  </r>
  <r>
    <n v="135730"/>
    <x v="118"/>
    <s v="Diretoria Seminovos"/>
    <x v="5"/>
    <s v="LJSTS - Vendas Varejo Seminovos Santos"/>
    <s v="RICARDO TEOFILO AMORIM"/>
    <s v="NEGATIVO"/>
    <d v="1899-12-30T14:24:00"/>
    <d v="1899-12-30T14:24:00"/>
    <d v="1899-12-30T00:00:00"/>
    <s v=" "/>
    <s v=" "/>
    <s v=" "/>
    <s v=" "/>
    <s v=" "/>
    <s v=" "/>
    <s v=" "/>
    <s v=" "/>
    <s v=" "/>
    <s v=" "/>
    <d v="1899-12-30T14:24:00"/>
    <s v=" "/>
    <s v="Ativo"/>
    <x v="3"/>
    <x v="5"/>
    <x v="30"/>
  </r>
  <r>
    <n v="136227"/>
    <x v="119"/>
    <s v="Diretoria Seminovos"/>
    <x v="5"/>
    <s v="LJOSC - Vendas Varejo Seminovos Osasco"/>
    <s v="ROBSON LUIZ ANDREATTE"/>
    <s v="NEGATIVO"/>
    <d v="1899-12-30T11:12:00"/>
    <d v="1899-12-30T11:12:00"/>
    <d v="1899-12-30T00:00:00"/>
    <s v=" "/>
    <s v=" "/>
    <s v=" "/>
    <s v=" "/>
    <s v=" "/>
    <s v=" "/>
    <s v=" "/>
    <s v=" "/>
    <s v=" "/>
    <d v="1899-12-30T11:12:00"/>
    <s v=" "/>
    <s v=" "/>
    <s v="Contrato de Trabalho Suspenso"/>
    <x v="3"/>
    <x v="5"/>
    <x v="36"/>
  </r>
  <r>
    <n v="130574"/>
    <x v="120"/>
    <s v="Diretoria Seminovos"/>
    <x v="5"/>
    <s v="LJSMG - Vendas Varejo Seminovos São Miguel"/>
    <s v="PEDRO IVO DIAS RODRIGUES"/>
    <s v="NEGATIVO"/>
    <d v="1899-12-30T19:11:00"/>
    <d v="1899-12-30T19:11:00"/>
    <d v="1899-12-30T00:00:00"/>
    <s v=" "/>
    <s v=" "/>
    <s v=" "/>
    <s v=" "/>
    <s v=" "/>
    <s v=" "/>
    <s v=" "/>
    <s v=" "/>
    <s v=" "/>
    <d v="1899-12-30T11:59:00"/>
    <d v="1899-12-30T07:12:00"/>
    <s v=" "/>
    <s v="Contrato de Trabalho Suspenso"/>
    <x v="3"/>
    <x v="5"/>
    <x v="34"/>
  </r>
  <r>
    <n v="503405"/>
    <x v="121"/>
    <s v="Diretoria Seminovos"/>
    <x v="5"/>
    <s v="LJIPA - Vendas Varejo Seminovos Itaim Paulista"/>
    <s v="MAURICIO NAVARRO"/>
    <s v="NEGATIVO"/>
    <d v="1900-01-02T04:49:00"/>
    <d v="1900-01-02T04:49:00"/>
    <d v="1899-12-30T00:00:00"/>
    <s v=" "/>
    <s v=" "/>
    <s v=" "/>
    <s v=" "/>
    <s v=" "/>
    <s v=" "/>
    <s v=" "/>
    <s v=" "/>
    <s v=" "/>
    <s v=" "/>
    <d v="1900-01-02T15:23:00"/>
    <d v="1899-12-30T07:35:00"/>
    <s v="Ativo"/>
    <x v="3"/>
    <x v="5"/>
    <x v="35"/>
  </r>
  <r>
    <n v="503334"/>
    <x v="122"/>
    <s v="Diretoria Seminovos"/>
    <x v="5"/>
    <s v="LJTAB - Vendas Varejo Seminovos Taubaté"/>
    <s v="HERMES DI JORGE"/>
    <s v="NEGATIVO"/>
    <d v="1899-12-30T10:49:00"/>
    <d v="1899-12-30T10:49:00"/>
    <d v="1899-12-30T00:00:00"/>
    <s v=" "/>
    <s v=" "/>
    <s v=" "/>
    <s v=" "/>
    <s v=" "/>
    <s v=" "/>
    <s v=" "/>
    <d v="1899-12-30T03:37:00"/>
    <s v=" "/>
    <s v=" "/>
    <d v="1899-12-30T07:12:00"/>
    <s v=" "/>
    <s v="Contrato de Trabalho Suspenso"/>
    <x v="3"/>
    <x v="5"/>
    <x v="31"/>
  </r>
  <r>
    <n v="134360"/>
    <x v="123"/>
    <s v="Diretoria Seminovos"/>
    <x v="5"/>
    <s v="LJSJC - Vendas Varejo Seminovos São José dos Campos"/>
    <s v="DAVID LEANDRO ROCHA SANCHES"/>
    <s v="NEGATIVO"/>
    <d v="1899-12-31T04:48:00"/>
    <d v="1899-12-31T04:48:00"/>
    <d v="1899-12-30T00:00:00"/>
    <s v=" "/>
    <s v=" "/>
    <s v=" "/>
    <s v=" "/>
    <s v=" "/>
    <s v=" "/>
    <s v=" "/>
    <s v=" "/>
    <s v=" "/>
    <d v="1899-12-30T14:24:00"/>
    <d v="1899-12-30T14:24:00"/>
    <s v=" "/>
    <s v="Ativo"/>
    <x v="3"/>
    <x v="5"/>
    <x v="26"/>
  </r>
  <r>
    <n v="130829"/>
    <x v="124"/>
    <s v="Diretoria Seminovos"/>
    <x v="5"/>
    <s v="LJSJA - Vendas Varejo Seminovos São José dos Campos"/>
    <s v="ANDRE BORGES DA COSTA"/>
    <s v="NEGATIVO"/>
    <d v="1899-12-31T15:42:00"/>
    <d v="1899-12-31T15:42:00"/>
    <d v="1899-12-30T00:00:00"/>
    <s v=" "/>
    <s v=" "/>
    <s v=" "/>
    <s v=" "/>
    <s v=" "/>
    <s v=" "/>
    <s v=" "/>
    <s v=" "/>
    <d v="1899-12-30T18:06:00"/>
    <d v="1899-12-30T07:12:00"/>
    <d v="1899-12-30T14:24:00"/>
    <s v=" "/>
    <s v="Ativo"/>
    <x v="3"/>
    <x v="5"/>
    <x v="27"/>
  </r>
  <r>
    <n v="135901"/>
    <x v="125"/>
    <s v="Diretoria Seminovos"/>
    <x v="5"/>
    <s v="LJSJA - Vendas Varejo Seminovos São José dos Campos"/>
    <s v="ANDRE BORGES DA COSTA"/>
    <s v="NEGATIVO"/>
    <d v="1899-12-31T03:57:00"/>
    <d v="1899-12-31T03:57:00"/>
    <d v="1899-12-30T00:00:00"/>
    <s v=" "/>
    <s v=" "/>
    <s v=" "/>
    <s v=" "/>
    <s v=" "/>
    <s v=" "/>
    <s v=" "/>
    <s v=" "/>
    <s v=" "/>
    <d v="1899-12-30T13:33:00"/>
    <d v="1899-12-30T14:24:00"/>
    <s v=" "/>
    <s v="Ativo"/>
    <x v="3"/>
    <x v="5"/>
    <x v="27"/>
  </r>
  <r>
    <n v="133554"/>
    <x v="126"/>
    <s v="Diretoria Seminovos"/>
    <x v="5"/>
    <s v="LJPGR - Vendas Varejo Seminovos Praia Grande"/>
    <s v="FABIANO SOUZA DA SILVA"/>
    <s v="NEGATIVO"/>
    <d v="1899-12-30T21:36:00"/>
    <d v="1899-12-30T21:36:00"/>
    <d v="1899-12-30T00:00:00"/>
    <s v=" "/>
    <s v=" "/>
    <s v=" "/>
    <s v=" "/>
    <s v=" "/>
    <s v=" "/>
    <s v=" "/>
    <s v=" "/>
    <s v=" "/>
    <s v=" "/>
    <d v="1899-12-30T21:36:00"/>
    <s v=" "/>
    <s v="Ativo"/>
    <x v="3"/>
    <x v="5"/>
    <x v="29"/>
  </r>
  <r>
    <n v="501853"/>
    <x v="127"/>
    <s v="Diretoria Seminovos"/>
    <x v="5"/>
    <s v="LJSJA - Vendas Varejo Seminovos São José dos Campos"/>
    <s v="ANDRE BORGES DA COSTA"/>
    <s v="NEGATIVO"/>
    <d v="1900-01-01T07:14:00"/>
    <d v="1900-01-01T07:14:00"/>
    <d v="1899-12-30T00:00:00"/>
    <s v=" "/>
    <s v=" "/>
    <s v=" "/>
    <s v=" "/>
    <s v=" "/>
    <s v=" "/>
    <s v=" "/>
    <d v="1899-12-30T07:44:00"/>
    <d v="1899-12-30T10:42:00"/>
    <d v="1899-12-30T22:24:00"/>
    <d v="1899-12-30T14:24:00"/>
    <s v=" "/>
    <s v="Ativo"/>
    <x v="3"/>
    <x v="5"/>
    <x v="27"/>
  </r>
  <r>
    <n v="134405"/>
    <x v="128"/>
    <s v="Diretoria Seminovos"/>
    <x v="5"/>
    <s v="LJSTA - Vendas Varejo Seminovos Santo André"/>
    <s v="JORGE LUIZ CANDIDO"/>
    <s v="NEGATIVO"/>
    <d v="1899-12-30T07:24:00"/>
    <d v="1899-12-30T07:24:00"/>
    <d v="1899-12-30T00:00:00"/>
    <s v=" "/>
    <s v=" "/>
    <s v=" "/>
    <s v=" "/>
    <s v=" "/>
    <s v=" "/>
    <s v=" "/>
    <s v=" "/>
    <d v="1899-12-30T07:24:00"/>
    <s v=" "/>
    <s v=" "/>
    <s v=" "/>
    <s v="Ativo"/>
    <x v="3"/>
    <x v="5"/>
    <x v="32"/>
  </r>
  <r>
    <n v="125689"/>
    <x v="129"/>
    <s v="Diretoria Seminovos"/>
    <x v="5"/>
    <s v="LJSMG - Vendas Varejo Seminovos São Miguel"/>
    <s v="PEDRO IVO DIAS RODRIGUES"/>
    <s v="NEGATIVO"/>
    <d v="1899-12-30T12:20:00"/>
    <d v="1899-12-30T12:20:00"/>
    <d v="1899-12-30T00:00:00"/>
    <s v=" "/>
    <s v=" "/>
    <s v=" "/>
    <s v=" "/>
    <s v=" "/>
    <s v=" "/>
    <s v=" "/>
    <s v=" "/>
    <d v="1899-12-30T12:20:00"/>
    <s v=" "/>
    <s v=" "/>
    <s v=" "/>
    <s v="Ativo"/>
    <x v="3"/>
    <x v="5"/>
    <x v="34"/>
  </r>
  <r>
    <n v="135200"/>
    <x v="130"/>
    <s v="Diretoria Seminovos"/>
    <x v="5"/>
    <s v="LJSMG - Vendas Varejo Seminovos São Miguel"/>
    <s v="PEDRO IVO DIAS RODRIGUES"/>
    <s v="NEGATIVO"/>
    <d v="1899-12-30T16:20:00"/>
    <d v="1899-12-30T16:20:00"/>
    <d v="1899-12-30T00:00:00"/>
    <s v=" "/>
    <s v=" "/>
    <s v=" "/>
    <s v=" "/>
    <s v=" "/>
    <s v=" "/>
    <s v=" "/>
    <s v=" "/>
    <d v="1899-12-30T16:20:00"/>
    <s v=" "/>
    <s v=" "/>
    <s v=" "/>
    <s v="Af.Previdência"/>
    <x v="3"/>
    <x v="5"/>
    <x v="34"/>
  </r>
  <r>
    <n v="133901"/>
    <x v="131"/>
    <s v="Diretoria Seminovos"/>
    <x v="5"/>
    <s v="LJSTS - Vendas Varejo Seminovos Santos"/>
    <s v="RICARDO TEOFILO AMORIM"/>
    <s v="NEGATIVO"/>
    <d v="1899-12-30T07:27:00"/>
    <d v="1899-12-30T07:27:00"/>
    <d v="1899-12-30T00:00:00"/>
    <s v=" "/>
    <s v=" "/>
    <s v=" "/>
    <s v=" "/>
    <s v=" "/>
    <s v=" "/>
    <s v=" "/>
    <s v=" "/>
    <s v=" "/>
    <s v=" "/>
    <d v="1899-12-30T07:27:00"/>
    <s v=" "/>
    <s v="Ativo"/>
    <x v="3"/>
    <x v="5"/>
    <x v="30"/>
  </r>
  <r>
    <n v="501377"/>
    <x v="132"/>
    <s v="Diretoria Seminovos"/>
    <x v="5"/>
    <s v="LJMOG - Vendas Varejo Seminovos Mogi das Cruzes"/>
    <s v="FABIO ALEXANDRE FERRAZ DA SILVA"/>
    <s v="NEGATIVO"/>
    <d v="1900-01-09T06:24:00"/>
    <d v="1900-01-09T06:24:00"/>
    <d v="1899-12-30T00:00:00"/>
    <s v=" "/>
    <s v=" "/>
    <s v=" "/>
    <s v=" "/>
    <s v=" "/>
    <s v=" "/>
    <s v=" "/>
    <s v=" "/>
    <s v=" "/>
    <d v="1900-01-01T11:12:00"/>
    <d v="1900-01-06T19:12:00"/>
    <s v=" "/>
    <s v="Contrato de Trabalho Suspenso"/>
    <x v="3"/>
    <x v="5"/>
    <x v="33"/>
  </r>
  <r>
    <n v="502049"/>
    <x v="133"/>
    <s v="Diretoria Seminovos"/>
    <x v="6"/>
    <s v="LJCAX - Loja Seminovos Caxanga"/>
    <s v="RAFAEL CAMPOS MARANHAO"/>
    <s v="NEGATIVO"/>
    <d v="1900-01-05T00:00:00"/>
    <d v="1900-01-05T00:00:00"/>
    <d v="1899-12-30T00:00:00"/>
    <s v=" "/>
    <s v=" "/>
    <s v=" "/>
    <s v=" "/>
    <s v=" "/>
    <s v=" "/>
    <s v=" "/>
    <s v=" "/>
    <s v=" "/>
    <d v="1900-01-05T00:00:00"/>
    <s v=" "/>
    <s v=" "/>
    <s v="Contrato de Trabalho Suspenso"/>
    <x v="2"/>
    <x v="6"/>
    <x v="37"/>
  </r>
  <r>
    <n v="125345"/>
    <x v="134"/>
    <s v="Diretoria Seminovos"/>
    <x v="6"/>
    <s v="LJREC - Vendas Varejo Seminovos Recife"/>
    <s v="MARCIA REGINA MARIA FRAGA DE VASCONCELOS"/>
    <s v="NEGATIVO"/>
    <d v="1899-12-30T12:54:00"/>
    <d v="1899-12-30T12:54:00"/>
    <d v="1899-12-30T00:00:00"/>
    <s v=" "/>
    <s v=" "/>
    <s v=" "/>
    <s v=" "/>
    <s v=" "/>
    <s v=" "/>
    <s v=" "/>
    <d v="1899-12-30T06:28:00"/>
    <d v="1899-12-30T08:50:00"/>
    <s v=" "/>
    <d v="1899-12-30T00:21:00"/>
    <d v="1899-12-30T08:49:00"/>
    <s v="Ativo"/>
    <x v="3"/>
    <x v="6"/>
    <x v="38"/>
  </r>
  <r>
    <n v="136983"/>
    <x v="135"/>
    <s v="Diretoria Seminovos"/>
    <x v="6"/>
    <s v="LJREC - Loja Seminovos Recife"/>
    <s v="MARCIA REGINA MARIA FRAGA DE VASCONCELOS"/>
    <s v="NEGATIVO"/>
    <d v="1899-12-31T05:54:00"/>
    <d v="1899-12-31T05:54:00"/>
    <d v="1899-12-30T00:00:00"/>
    <s v=" "/>
    <s v=" "/>
    <s v=" "/>
    <s v=" "/>
    <s v=" "/>
    <s v=" "/>
    <s v=" "/>
    <s v=" "/>
    <s v=" "/>
    <d v="1899-12-31T05:54:00"/>
    <s v=" "/>
    <s v=" "/>
    <s v="Contrato de Trabalho Suspenso"/>
    <x v="2"/>
    <x v="6"/>
    <x v="38"/>
  </r>
  <r>
    <n v="501873"/>
    <x v="136"/>
    <s v="Diretoria Seminovos"/>
    <x v="6"/>
    <s v="LJJPA - Loja Seminovos João Pessoa"/>
    <s v="WICTOR MARANHAO RODRIGUES"/>
    <s v="NEGATIVO"/>
    <d v="1899-12-30T16:08:00"/>
    <d v="1899-12-30T16:08:00"/>
    <d v="1899-12-30T00:00:00"/>
    <s v=" "/>
    <s v=" "/>
    <s v=" "/>
    <s v=" "/>
    <s v=" "/>
    <s v=" "/>
    <s v=" "/>
    <s v=" "/>
    <s v=" "/>
    <s v=" "/>
    <d v="1899-12-30T07:48:00"/>
    <d v="1899-12-30T10:03:00"/>
    <s v="Ativo"/>
    <x v="2"/>
    <x v="6"/>
    <x v="39"/>
  </r>
  <r>
    <n v="500899"/>
    <x v="137"/>
    <s v="Diretoria Seminovos"/>
    <x v="6"/>
    <s v="LJCAX - Loja Seminovos Caxanga"/>
    <s v="RAFAEL CAMPOS MARANHAO"/>
    <s v="NEGATIVO"/>
    <d v="1900-01-03T00:08:00"/>
    <d v="1900-01-03T00:08:00"/>
    <d v="1899-12-30T00:00:00"/>
    <s v=" "/>
    <s v=" "/>
    <s v=" "/>
    <s v=" "/>
    <s v=" "/>
    <s v=" "/>
    <s v=" "/>
    <d v="1900-01-01T12:03:00"/>
    <d v="1899-12-30T21:00:00"/>
    <s v=" "/>
    <s v=" "/>
    <d v="1899-12-30T08:00:00"/>
    <s v="Ativo"/>
    <x v="6"/>
    <x v="6"/>
    <x v="37"/>
  </r>
  <r>
    <n v="133795"/>
    <x v="138"/>
    <s v="Diretoria Seminovos"/>
    <x v="6"/>
    <s v="LJNGT - Loja Seminovos Nova Iguatemi"/>
    <s v="ALEXANDRE VINICIUS NEGREIROS CABRAL"/>
    <s v="NEGATIVO"/>
    <d v="1900-01-02T10:23:00"/>
    <d v="1900-01-02T10:23:00"/>
    <d v="1899-12-30T00:00:00"/>
    <s v=" "/>
    <s v=" "/>
    <s v=" "/>
    <s v=" "/>
    <s v=" "/>
    <s v=" "/>
    <d v="1899-12-31T04:17:00"/>
    <d v="1899-12-31T23:22:00"/>
    <d v="1899-12-30T06:44:00"/>
    <s v=" "/>
    <s v=" "/>
    <s v=" "/>
    <s v="Ativo"/>
    <x v="7"/>
    <x v="6"/>
    <x v="40"/>
  </r>
  <r>
    <n v="123787"/>
    <x v="139"/>
    <s v="Diretoria Seminovos"/>
    <x v="6"/>
    <s v="LJCGE - Loja Seminovos Campina Grande"/>
    <s v="LEANDRO LEITE DUARTE"/>
    <s v="NEGATIVO"/>
    <d v="1899-12-30T16:00:00"/>
    <d v="1899-12-30T16:00:00"/>
    <d v="1899-12-30T00:00:00"/>
    <s v=" "/>
    <s v=" "/>
    <s v=" "/>
    <s v=" "/>
    <s v=" "/>
    <s v=" "/>
    <s v=" "/>
    <s v=" "/>
    <s v=" "/>
    <d v="1899-12-30T16:00:00"/>
    <s v=" "/>
    <s v=" "/>
    <s v="Ativo"/>
    <x v="2"/>
    <x v="6"/>
    <x v="41"/>
  </r>
  <r>
    <n v="136337"/>
    <x v="140"/>
    <s v="Diretoria Seminovos"/>
    <x v="6"/>
    <s v="SNLOG/REC - Gerência de Logística"/>
    <s v="BERNARDO DIAS GOMIDE"/>
    <s v="NEGATIVO"/>
    <d v="1900-01-26T01:44:00"/>
    <d v="1900-01-26T01:44:00"/>
    <d v="1899-12-30T00:00:00"/>
    <d v="1899-12-30T11:44:00"/>
    <d v="1900-01-05T14:24:00"/>
    <d v="1900-01-05T23:12:00"/>
    <d v="1900-01-05T14:24:00"/>
    <d v="1900-01-01T04:48:00"/>
    <d v="1900-01-03T05:12:00"/>
    <s v=" "/>
    <s v=" "/>
    <s v=" "/>
    <s v=" "/>
    <s v=" "/>
    <s v=" "/>
    <s v="Ativo"/>
    <x v="1"/>
    <x v="6"/>
    <x v="9"/>
  </r>
  <r>
    <n v="503454"/>
    <x v="141"/>
    <s v="Diretoria Seminovos"/>
    <x v="6"/>
    <s v="LJREC - Vendas Varejo Seminovos Recife"/>
    <s v="MARCIA REGINA MARIA FRAGA DE VASCONCELOS"/>
    <s v="NEGATIVO"/>
    <d v="1899-12-30T05:19:00"/>
    <d v="1899-12-30T05:19:00"/>
    <d v="1899-12-30T00:00:00"/>
    <s v=" "/>
    <s v=" "/>
    <s v=" "/>
    <s v=" "/>
    <s v=" "/>
    <s v=" "/>
    <s v=" "/>
    <s v=" "/>
    <s v=" "/>
    <s v=" "/>
    <s v=" "/>
    <d v="1899-12-30T13:41:00"/>
    <s v="Ativo"/>
    <x v="3"/>
    <x v="6"/>
    <x v="38"/>
  </r>
  <r>
    <n v="131499"/>
    <x v="142"/>
    <s v="Diretoria Seminovos"/>
    <x v="6"/>
    <s v="LJSSA - Loja Seminovos Salvador"/>
    <s v="ALISSON LIMA E SILVA"/>
    <s v="NEGATIVO"/>
    <d v="1899-12-30T01:32:00"/>
    <d v="1899-12-30T01:32:00"/>
    <d v="1899-12-30T00:00:00"/>
    <s v=" "/>
    <s v=" "/>
    <s v=" "/>
    <s v=" "/>
    <s v=" "/>
    <s v=" "/>
    <s v=" "/>
    <s v=" "/>
    <s v=" "/>
    <s v=" "/>
    <d v="1899-12-30T01:32:00"/>
    <s v=" "/>
    <s v="Contrato de Trabalho Suspenso"/>
    <x v="2"/>
    <x v="6"/>
    <x v="42"/>
  </r>
  <r>
    <n v="135152"/>
    <x v="143"/>
    <s v="Diretoria Seminovos"/>
    <x v="6"/>
    <s v="LJJBT - Loja Seminovos Jaboatão dos Guararapes"/>
    <s v="MARIO ROBERTO DE OLIVEIRA JUNIOR"/>
    <s v="NEGATIVO"/>
    <d v="1900-01-03T09:36:00"/>
    <d v="1900-01-03T09:36:00"/>
    <d v="1899-12-30T00:00:00"/>
    <s v=" "/>
    <s v=" "/>
    <s v=" "/>
    <s v=" "/>
    <s v=" "/>
    <d v="1900-01-03T09:36:00"/>
    <s v=" "/>
    <s v=" "/>
    <s v=" "/>
    <s v=" "/>
    <s v=" "/>
    <s v=" "/>
    <s v="Ativo"/>
    <x v="6"/>
    <x v="6"/>
    <x v="43"/>
  </r>
  <r>
    <n v="132970"/>
    <x v="144"/>
    <s v="Diretoria Seminovos"/>
    <x v="6"/>
    <s v="LJREC - Loja Seminovos Recife"/>
    <s v="MARCIA REGINA MARIA FRAGA DE VASCONCELOS"/>
    <s v="NEGATIVO"/>
    <d v="1899-12-30T16:45:00"/>
    <d v="1899-12-30T16:45:00"/>
    <d v="1899-12-30T00:00:00"/>
    <s v=" "/>
    <s v=" "/>
    <s v=" "/>
    <s v=" "/>
    <s v=" "/>
    <s v=" "/>
    <s v=" "/>
    <d v="1899-12-30T16:35:00"/>
    <d v="1899-12-30T08:58:00"/>
    <s v=" "/>
    <s v=" "/>
    <s v=" "/>
    <s v="Ativo"/>
    <x v="7"/>
    <x v="6"/>
    <x v="38"/>
  </r>
  <r>
    <n v="134515"/>
    <x v="145"/>
    <s v="Diretoria Seminovos"/>
    <x v="6"/>
    <s v="LJPNA - Loja Seminovos Petrolina"/>
    <s v="EDVALDO GOMES DE MELO NETO"/>
    <s v="NEGATIVO"/>
    <d v="1900-01-14T18:24:00"/>
    <d v="1900-01-14T18:24:00"/>
    <d v="1899-12-30T00:00:00"/>
    <s v=" "/>
    <s v=" "/>
    <s v=" "/>
    <s v=" "/>
    <d v="1900-01-07T10:24:00"/>
    <d v="1900-01-06T08:00:00"/>
    <s v=" "/>
    <s v=" "/>
    <s v=" "/>
    <s v=" "/>
    <s v=" "/>
    <s v=" "/>
    <s v="Ativo"/>
    <x v="2"/>
    <x v="6"/>
    <x v="44"/>
  </r>
  <r>
    <n v="133511"/>
    <x v="146"/>
    <s v="Diretoria Seminovos"/>
    <x v="6"/>
    <s v="LJJPA - Loja Seminovos João Pessoa"/>
    <s v="WICTOR MARANHAO RODRIGUES"/>
    <s v="NEGATIVO"/>
    <d v="1899-12-31T14:34:00"/>
    <d v="1899-12-31T14:34:00"/>
    <d v="1899-12-30T00:00:00"/>
    <s v=" "/>
    <s v=" "/>
    <s v=" "/>
    <s v=" "/>
    <s v=" "/>
    <s v=" "/>
    <s v=" "/>
    <d v="1899-12-30T18:09:00"/>
    <s v=" "/>
    <s v=" "/>
    <s v=" "/>
    <d v="1899-12-30T17:36:00"/>
    <s v="Ativo"/>
    <x v="7"/>
    <x v="6"/>
    <x v="39"/>
  </r>
  <r>
    <n v="503377"/>
    <x v="147"/>
    <s v="Diretoria Seminovos"/>
    <x v="6"/>
    <s v="LJJPA - Vendas Varejo Seminovos João Pessoa"/>
    <s v="WICTOR MARANHAO RODRIGUES"/>
    <s v="NEGATIVO"/>
    <d v="1899-12-30T07:07:00"/>
    <d v="1899-12-30T07:07:00"/>
    <d v="1899-12-30T00:00:00"/>
    <s v=" "/>
    <s v=" "/>
    <s v=" "/>
    <s v=" "/>
    <s v=" "/>
    <s v=" "/>
    <s v=" "/>
    <s v=" "/>
    <s v=" "/>
    <s v=" "/>
    <s v=" "/>
    <d v="1899-12-30T06:41:00"/>
    <s v="Ativo"/>
    <x v="3"/>
    <x v="6"/>
    <x v="39"/>
  </r>
  <r>
    <n v="135204"/>
    <x v="148"/>
    <s v="Diretoria Seminovos"/>
    <x v="6"/>
    <s v="LJJBT - Loja Seminovos Jaboatão dos Guararapes"/>
    <s v="MARIO ROBERTO DE OLIVEIRA JUNIOR"/>
    <s v="NEGATIVO"/>
    <d v="1899-12-30T04:00:00"/>
    <d v="1899-12-30T04:00:00"/>
    <d v="1899-12-30T00:00:00"/>
    <s v=" "/>
    <s v=" "/>
    <s v=" "/>
    <s v=" "/>
    <d v="1899-12-30T04:00:00"/>
    <s v=" "/>
    <s v=" "/>
    <s v=" "/>
    <s v=" "/>
    <s v=" "/>
    <s v=" "/>
    <s v=" "/>
    <s v="Contrato de Trabalho Suspenso"/>
    <x v="2"/>
    <x v="6"/>
    <x v="43"/>
  </r>
  <r>
    <n v="502399"/>
    <x v="149"/>
    <s v="Diretoria Seminovos"/>
    <x v="6"/>
    <s v="LJMCO - Loja Seminovos Maceió"/>
    <s v="MARCOS ANTONIO BRANDAO MESQUITA"/>
    <s v="NEGATIVO"/>
    <d v="1900-01-03T02:33:00"/>
    <d v="1900-01-03T02:33:00"/>
    <d v="1899-12-30T00:00:00"/>
    <s v=" "/>
    <s v=" "/>
    <s v=" "/>
    <s v=" "/>
    <s v=" "/>
    <s v=" "/>
    <s v=" "/>
    <d v="1900-01-01T22:33:00"/>
    <d v="1899-12-31T04:00:00"/>
    <s v=" "/>
    <s v=" "/>
    <s v=" "/>
    <s v="Ativo"/>
    <x v="6"/>
    <x v="6"/>
    <x v="45"/>
  </r>
  <r>
    <n v="131764"/>
    <x v="150"/>
    <s v="Diretoria Seminovos"/>
    <x v="6"/>
    <s v="LJMCZ - Loja Seminovos Maceió"/>
    <s v="JOYCE LARISE CORREIA GOMES"/>
    <s v="NEGATIVO"/>
    <d v="1900-01-01T12:00:00"/>
    <d v="1900-01-01T12:00:00"/>
    <d v="1899-12-30T00:00:00"/>
    <s v=" "/>
    <s v=" "/>
    <s v=" "/>
    <s v=" "/>
    <s v=" "/>
    <s v=" "/>
    <s v=" "/>
    <s v=" "/>
    <s v=" "/>
    <d v="1900-01-01T04:00:00"/>
    <d v="1899-12-30T08:00:00"/>
    <s v=" "/>
    <s v="Ativo"/>
    <x v="6"/>
    <x v="6"/>
    <x v="46"/>
  </r>
  <r>
    <n v="120250"/>
    <x v="151"/>
    <s v="Diretoria Seminovos"/>
    <x v="6"/>
    <s v="LJAJU - Loja Seminovos Aracajú"/>
    <s v="TIAGO ANDRADE ALCANTARA"/>
    <s v="NEGATIVO"/>
    <d v="1899-12-30T11:13:00"/>
    <d v="1899-12-30T11:13:00"/>
    <d v="1899-12-30T00:00:00"/>
    <d v="1899-12-30T00:31:00"/>
    <d v="1899-12-30T01:03:00"/>
    <d v="1899-12-30T00:10:00"/>
    <d v="1899-12-30T07:00:00"/>
    <d v="1899-12-30T00:29:00"/>
    <d v="1899-12-30T02:00:00"/>
    <s v=" "/>
    <s v=" "/>
    <s v=" "/>
    <s v=" "/>
    <s v=" "/>
    <s v=" "/>
    <s v="Ativo"/>
    <x v="6"/>
    <x v="6"/>
    <x v="47"/>
  </r>
  <r>
    <n v="124229"/>
    <x v="152"/>
    <s v="Diretoria Seminovos"/>
    <x v="6"/>
    <s v="LJVDC - Loja Seminovos Vitoria da Conquista"/>
    <s v="FRANCISCO MORAIS ROCHA"/>
    <s v="NEGATIVO"/>
    <d v="1899-12-30T16:00:00"/>
    <d v="1899-12-30T16:00:00"/>
    <d v="1899-12-30T00:00:00"/>
    <s v=" "/>
    <s v=" "/>
    <s v=" "/>
    <s v=" "/>
    <s v=" "/>
    <s v=" "/>
    <s v=" "/>
    <s v=" "/>
    <s v=" "/>
    <d v="1899-12-30T16:00:00"/>
    <s v=" "/>
    <s v=" "/>
    <s v="Ativo"/>
    <x v="2"/>
    <x v="6"/>
    <x v="48"/>
  </r>
  <r>
    <n v="136527"/>
    <x v="153"/>
    <s v="Diretoria Seminovos"/>
    <x v="6"/>
    <s v="SNLOG/SSA - Gerência de Logística"/>
    <s v="BERNARDO DIAS GOMIDE"/>
    <s v="NEGATIVO"/>
    <d v="1900-01-22T02:24:00"/>
    <d v="1900-01-22T02:24:00"/>
    <d v="1899-12-30T00:00:00"/>
    <s v=" "/>
    <d v="1900-01-02T07:12:00"/>
    <d v="1900-01-05T23:12:00"/>
    <d v="1900-01-05T14:24:00"/>
    <d v="1900-01-01T00:24:00"/>
    <d v="1900-01-03T05:12:00"/>
    <s v=" "/>
    <s v=" "/>
    <s v=" "/>
    <s v=" "/>
    <s v=" "/>
    <s v=" "/>
    <s v="Ativo"/>
    <x v="1"/>
    <x v="6"/>
    <x v="9"/>
  </r>
  <r>
    <n v="118011"/>
    <x v="154"/>
    <s v="Diretoria Seminovos"/>
    <x v="6"/>
    <s v="LJMCZ - Loja Seminovos Maceió"/>
    <s v="JOYCE LARISE CORREIA GOMES"/>
    <s v="NEGATIVO"/>
    <d v="1899-12-30T04:00:00"/>
    <d v="1899-12-30T04:00:00"/>
    <d v="1899-12-30T00:00:00"/>
    <s v=" "/>
    <s v=" "/>
    <s v=" "/>
    <s v=" "/>
    <s v=" "/>
    <s v=" "/>
    <s v=" "/>
    <s v=" "/>
    <s v=" "/>
    <d v="1899-12-30T04:00:00"/>
    <s v=" "/>
    <s v=" "/>
    <s v="Ativo"/>
    <x v="2"/>
    <x v="6"/>
    <x v="46"/>
  </r>
  <r>
    <n v="122048"/>
    <x v="155"/>
    <s v="Diretoria Seminovos"/>
    <x v="6"/>
    <s v="LJJPA - Loja Seminovos João Pessoa"/>
    <s v="WICTOR MARANHAO RODRIGUES"/>
    <s v="NEGATIVO"/>
    <d v="1899-12-30T11:50:00"/>
    <d v="1899-12-30T11:50:00"/>
    <d v="1899-12-30T00:00:00"/>
    <s v=" "/>
    <s v=" "/>
    <s v=" "/>
    <s v=" "/>
    <s v=" "/>
    <s v=" "/>
    <s v=" "/>
    <s v=" "/>
    <s v=" "/>
    <d v="1899-12-30T10:58:00"/>
    <s v=" "/>
    <d v="1899-12-30T02:08:00"/>
    <s v="Ativo"/>
    <x v="2"/>
    <x v="6"/>
    <x v="39"/>
  </r>
  <r>
    <n v="135156"/>
    <x v="156"/>
    <s v="Diretoria Seminovos"/>
    <x v="6"/>
    <s v="LJJBT - Loja Seminovos Jaboatão dos Guararapes"/>
    <s v="MARIO ROBERTO DE OLIVEIRA JUNIOR"/>
    <s v="NEGATIVO"/>
    <d v="1899-12-31T02:24:00"/>
    <d v="1899-12-31T02:24:00"/>
    <d v="1899-12-30T00:00:00"/>
    <s v=" "/>
    <s v=" "/>
    <s v=" "/>
    <s v=" "/>
    <s v=" "/>
    <d v="1899-12-31T02:24:00"/>
    <s v=" "/>
    <s v=" "/>
    <s v=" "/>
    <s v=" "/>
    <s v=" "/>
    <s v=" "/>
    <s v="Ativo"/>
    <x v="2"/>
    <x v="6"/>
    <x v="43"/>
  </r>
  <r>
    <n v="133565"/>
    <x v="157"/>
    <s v="Diretoria Seminovos"/>
    <x v="6"/>
    <s v="LJMCO - Vendas Varejo Seminovos Maceió"/>
    <s v="MARCOS ANTONIO BRANDAO MESQUITA"/>
    <s v="NEGATIVO"/>
    <d v="1899-12-30T18:41:00"/>
    <d v="1899-12-30T18:41:00"/>
    <d v="1899-12-30T00:00:00"/>
    <s v=" "/>
    <s v=" "/>
    <s v=" "/>
    <s v=" "/>
    <s v=" "/>
    <s v=" "/>
    <s v=" "/>
    <s v=" "/>
    <d v="1899-12-30T18:41:00"/>
    <s v=" "/>
    <s v=" "/>
    <s v=" "/>
    <s v="Ativo"/>
    <x v="3"/>
    <x v="6"/>
    <x v="45"/>
  </r>
  <r>
    <n v="135557"/>
    <x v="158"/>
    <s v="Diretoria Seminovos"/>
    <x v="6"/>
    <s v="LJPNA - Vendas Varejo Seminovos Petrolina"/>
    <s v="EDVALDO GOMES DE MELO NETO"/>
    <s v="NEGATIVO"/>
    <d v="1899-12-31T20:04:00"/>
    <d v="1899-12-31T20:04:00"/>
    <d v="1899-12-30T00:00:00"/>
    <s v=" "/>
    <s v=" "/>
    <s v=" "/>
    <s v=" "/>
    <d v="1899-12-31T08:31:00"/>
    <d v="1899-12-30T11:33:00"/>
    <s v=" "/>
    <s v=" "/>
    <s v=" "/>
    <s v=" "/>
    <s v=" "/>
    <s v=" "/>
    <s v="Ativo"/>
    <x v="3"/>
    <x v="6"/>
    <x v="44"/>
  </r>
  <r>
    <n v="129386"/>
    <x v="159"/>
    <s v="Diretoria Seminovos"/>
    <x v="6"/>
    <s v="LJJPA - Vendas Varejo Seminovos João Pessoa"/>
    <s v="WICTOR MARANHAO RODRIGUES"/>
    <s v="NEGATIVO"/>
    <d v="1899-12-31T01:14:00"/>
    <d v="1899-12-31T01:14:00"/>
    <d v="1899-12-30T00:00:00"/>
    <s v=" "/>
    <s v=" "/>
    <s v=" "/>
    <s v=" "/>
    <s v=" "/>
    <s v=" "/>
    <s v=" "/>
    <s v=" "/>
    <s v=" "/>
    <d v="1899-12-30T13:39:00"/>
    <d v="1899-12-30T11:35:00"/>
    <s v=" "/>
    <s v="Contrato de Trabalho Suspenso"/>
    <x v="3"/>
    <x v="6"/>
    <x v="39"/>
  </r>
  <r>
    <n v="123768"/>
    <x v="160"/>
    <s v="Diretoria Seminovos"/>
    <x v="6"/>
    <s v="LJSSA - Vendas Varejo Seminovos Salvador"/>
    <s v="ALISSON LIMA E SILVA"/>
    <s v="NEGATIVO"/>
    <d v="1899-12-31T05:07:00"/>
    <d v="1899-12-31T05:07:00"/>
    <d v="1899-12-30T00:00:00"/>
    <s v=" "/>
    <s v=" "/>
    <s v=" "/>
    <s v=" "/>
    <s v=" "/>
    <s v=" "/>
    <s v=" "/>
    <s v=" "/>
    <s v=" "/>
    <d v="1899-12-30T15:35:00"/>
    <d v="1899-12-30T11:10:00"/>
    <d v="1899-12-30T02:22:00"/>
    <s v="Contrato de Trabalho Suspenso"/>
    <x v="3"/>
    <x v="6"/>
    <x v="42"/>
  </r>
  <r>
    <n v="131590"/>
    <x v="161"/>
    <s v="Diretoria Seminovos"/>
    <x v="6"/>
    <s v="LJJPA - Vendas Varejo Seminovos João Pessoa"/>
    <s v="WICTOR MARANHAO RODRIGUES"/>
    <s v="NEGATIVO"/>
    <d v="1899-12-30T00:12:00"/>
    <d v="1899-12-30T00:12:00"/>
    <d v="1899-12-30T00:00:00"/>
    <s v=" "/>
    <s v=" "/>
    <s v=" "/>
    <s v=" "/>
    <s v=" "/>
    <d v="1899-12-30T00:12:00"/>
    <s v=" "/>
    <s v=" "/>
    <s v=" "/>
    <s v=" "/>
    <s v=" "/>
    <s v=" "/>
    <s v="Ativo"/>
    <x v="3"/>
    <x v="6"/>
    <x v="39"/>
  </r>
  <r>
    <n v="132795"/>
    <x v="162"/>
    <s v="Diretoria Seminovos"/>
    <x v="6"/>
    <s v="LJCAX - Vendas Varejo Seminovos Caxanga"/>
    <s v="RAFAEL CAMPOS MARANHAO"/>
    <s v="NEGATIVO"/>
    <d v="1899-12-30T17:58:00"/>
    <d v="1899-12-30T17:58:00"/>
    <d v="1899-12-30T00:00:00"/>
    <s v=" "/>
    <s v=" "/>
    <s v=" "/>
    <s v=" "/>
    <s v=" "/>
    <s v=" "/>
    <s v=" "/>
    <s v=" "/>
    <s v=" "/>
    <s v=" "/>
    <d v="1899-12-30T09:52:00"/>
    <d v="1899-12-30T08:22:00"/>
    <s v="Ativo"/>
    <x v="3"/>
    <x v="6"/>
    <x v="37"/>
  </r>
  <r>
    <n v="131079"/>
    <x v="163"/>
    <s v="Diretoria Seminovos"/>
    <x v="6"/>
    <s v="LJMCZ - Vendas Varejo Seminovos Maceió"/>
    <s v="JOYCE LARISE CORREIA GOMES"/>
    <s v="NEGATIVO"/>
    <d v="1899-12-30T04:48:00"/>
    <d v="1899-12-30T04:48:00"/>
    <d v="1899-12-30T00:00:00"/>
    <s v=" "/>
    <s v=" "/>
    <s v=" "/>
    <s v=" "/>
    <s v=" "/>
    <s v=" "/>
    <s v=" "/>
    <s v=" "/>
    <s v=" "/>
    <d v="1899-12-30T04:48:00"/>
    <s v=" "/>
    <s v=" "/>
    <s v="Contrato de Trabalho Suspenso"/>
    <x v="3"/>
    <x v="6"/>
    <x v="46"/>
  </r>
  <r>
    <n v="125905"/>
    <x v="164"/>
    <s v="Diretoria Seminovos"/>
    <x v="6"/>
    <s v="LJMCZ - Vendas Varejo Seminovos Maceió"/>
    <s v="JOYCE LARISE CORREIA GOMES"/>
    <s v="NEGATIVO"/>
    <d v="1899-12-30T12:04:00"/>
    <d v="1899-12-30T12:04:00"/>
    <d v="1899-12-30T00:00:00"/>
    <s v=" "/>
    <s v=" "/>
    <s v=" "/>
    <s v=" "/>
    <s v=" "/>
    <s v=" "/>
    <s v=" "/>
    <d v="1899-12-30T12:04:00"/>
    <s v=" "/>
    <s v=" "/>
    <s v=" "/>
    <s v=" "/>
    <s v="Ativo"/>
    <x v="3"/>
    <x v="6"/>
    <x v="46"/>
  </r>
  <r>
    <n v="135112"/>
    <x v="165"/>
    <s v="Diretoria Seminovos"/>
    <x v="6"/>
    <s v="LJJBT - Vendas Varejo Seminovos Jaboatão dos Guararapes"/>
    <s v="MARIO ROBERTO DE OLIVEIRA JUNIOR"/>
    <s v="NEGATIVO"/>
    <d v="1899-12-30T21:36:00"/>
    <d v="1899-12-30T21:36:00"/>
    <d v="1899-12-30T00:00:00"/>
    <s v=" "/>
    <s v=" "/>
    <s v=" "/>
    <s v=" "/>
    <s v=" "/>
    <d v="1899-12-30T21:36:00"/>
    <s v=" "/>
    <s v=" "/>
    <s v=" "/>
    <s v=" "/>
    <s v=" "/>
    <s v=" "/>
    <s v="Ativo"/>
    <x v="3"/>
    <x v="6"/>
    <x v="43"/>
  </r>
  <r>
    <n v="131561"/>
    <x v="166"/>
    <s v="Diretoria Seminovos"/>
    <x v="6"/>
    <s v="LJCAX - Vendas Varejo Seminovos Caxanga"/>
    <s v="RAFAEL CAMPOS MARANHAO"/>
    <s v="NEGATIVO"/>
    <d v="1899-12-30T23:29:00"/>
    <d v="1899-12-30T23:29:00"/>
    <d v="1899-12-30T00:00:00"/>
    <s v=" "/>
    <s v=" "/>
    <s v=" "/>
    <s v=" "/>
    <s v=" "/>
    <s v=" "/>
    <s v=" "/>
    <s v=" "/>
    <s v=" "/>
    <s v=" "/>
    <d v="1899-12-30T14:17:00"/>
    <d v="1899-12-30T08:52:00"/>
    <s v="Ativo"/>
    <x v="3"/>
    <x v="6"/>
    <x v="37"/>
  </r>
  <r>
    <n v="134539"/>
    <x v="167"/>
    <s v="Diretoria Seminovos"/>
    <x v="6"/>
    <s v="LJPNA - Vendas Varejo Seminovos Petrolina"/>
    <s v="EDVALDO GOMES DE MELO NETO"/>
    <s v="NEGATIVO"/>
    <d v="1900-01-02T14:00:00"/>
    <d v="1900-01-02T14:00:00"/>
    <d v="1899-12-30T00:00:00"/>
    <s v=" "/>
    <s v=" "/>
    <s v=" "/>
    <s v=" "/>
    <d v="1900-01-02T06:00:00"/>
    <d v="1899-12-30T08:00:00"/>
    <s v=" "/>
    <s v=" "/>
    <s v=" "/>
    <s v=" "/>
    <s v=" "/>
    <s v=" "/>
    <s v="Ativo"/>
    <x v="3"/>
    <x v="6"/>
    <x v="44"/>
  </r>
  <r>
    <n v="123182"/>
    <x v="168"/>
    <s v="Diretoria Seminovos"/>
    <x v="6"/>
    <s v="LJJBT - Vendas Varejo Seminovos Jaboatão dos Guararapes"/>
    <s v="MARIO ROBERTO DE OLIVEIRA JUNIOR"/>
    <s v="NEGATIVO"/>
    <d v="1899-12-30T21:36:00"/>
    <d v="1899-12-30T21:36:00"/>
    <d v="1899-12-30T00:00:00"/>
    <s v=" "/>
    <s v=" "/>
    <s v=" "/>
    <s v=" "/>
    <s v=" "/>
    <s v=" "/>
    <s v=" "/>
    <s v=" "/>
    <s v=" "/>
    <s v=" "/>
    <d v="1899-12-30T21:36:00"/>
    <s v=" "/>
    <s v="Contrato de Trabalho Suspenso"/>
    <x v="3"/>
    <x v="6"/>
    <x v="43"/>
  </r>
  <r>
    <n v="135155"/>
    <x v="169"/>
    <s v="Diretoria Seminovos"/>
    <x v="6"/>
    <s v="LJJBT - Vendas Varejo Seminovos Jaboatão dos Guararapes"/>
    <s v="MARIO ROBERTO DE OLIVEIRA JUNIOR"/>
    <s v="NEGATIVO"/>
    <d v="1899-12-30T21:20:00"/>
    <d v="1899-12-30T21:20:00"/>
    <d v="1899-12-30T00:00:00"/>
    <s v=" "/>
    <s v=" "/>
    <s v=" "/>
    <s v=" "/>
    <d v="1899-12-30T21:20:00"/>
    <s v=" "/>
    <s v=" "/>
    <s v=" "/>
    <s v=" "/>
    <s v=" "/>
    <s v=" "/>
    <s v=" "/>
    <s v="Ativo"/>
    <x v="3"/>
    <x v="6"/>
    <x v="43"/>
  </r>
  <r>
    <n v="134353"/>
    <x v="170"/>
    <s v="Diretoria Seminovos"/>
    <x v="6"/>
    <s v="LJPNA - Vendas Varejo Seminovos Petrolina"/>
    <s v="EDVALDO GOMES DE MELO NETO"/>
    <s v="NEGATIVO"/>
    <d v="1900-01-17T16:48:00"/>
    <d v="1900-01-17T16:48:00"/>
    <d v="1899-12-30T00:00:00"/>
    <s v=" "/>
    <s v=" "/>
    <s v=" "/>
    <s v=" "/>
    <d v="1900-01-08T21:36:00"/>
    <d v="1900-01-07T19:12:00"/>
    <s v=" "/>
    <s v=" "/>
    <s v=" "/>
    <s v=" "/>
    <s v=" "/>
    <s v=" "/>
    <s v="Ativo"/>
    <x v="3"/>
    <x v="6"/>
    <x v="44"/>
  </r>
  <r>
    <n v="122964"/>
    <x v="171"/>
    <s v="Diretoria Seminovos"/>
    <x v="6"/>
    <s v="LJNGT - Vendas Varejo Seminovos Nova Iguatemi"/>
    <s v="ALEXANDRE VINICIUS NEGREIROS CABRAL"/>
    <s v="NEGATIVO"/>
    <d v="1899-12-31T23:18:00"/>
    <d v="1899-12-31T23:18:00"/>
    <d v="1899-12-30T00:00:00"/>
    <s v=" "/>
    <s v=" "/>
    <s v=" "/>
    <s v=" "/>
    <s v=" "/>
    <s v=" "/>
    <s v=" "/>
    <s v=" "/>
    <s v=" "/>
    <d v="1899-12-31T00:28:00"/>
    <d v="1899-12-30T13:31:00"/>
    <d v="1899-12-30T11:51:00"/>
    <s v="Ativo"/>
    <x v="3"/>
    <x v="6"/>
    <x v="40"/>
  </r>
  <r>
    <n v="131488"/>
    <x v="172"/>
    <s v="Diretoria Seminovos"/>
    <x v="6"/>
    <s v="LJCAU - Vendas Varejo Seminovos Caruaru"/>
    <s v="FLAVIO FRANCISCO DE OLIVEIRA"/>
    <s v="NEGATIVO"/>
    <d v="1899-12-31T02:17:00"/>
    <d v="1899-12-31T02:17:00"/>
    <d v="1899-12-30T00:00:00"/>
    <s v=" "/>
    <s v=" "/>
    <s v=" "/>
    <s v=" "/>
    <s v=" "/>
    <s v=" "/>
    <s v=" "/>
    <s v=" "/>
    <d v="1899-12-30T11:05:00"/>
    <d v="1899-12-30T15:12:00"/>
    <s v=" "/>
    <s v=" "/>
    <s v="Contrato de Trabalho Suspenso"/>
    <x v="3"/>
    <x v="6"/>
    <x v="49"/>
  </r>
  <r>
    <n v="503496"/>
    <x v="173"/>
    <s v="Diretoria Seminovos"/>
    <x v="6"/>
    <s v="LJMCZ - Vendas Varejo Seminovos Maceió"/>
    <s v="JOYCE LARISE CORREIA GOMES"/>
    <s v="NEGATIVO"/>
    <d v="1899-12-30T09:00:00"/>
    <d v="1899-12-30T09:00:00"/>
    <d v="1899-12-30T00:00:00"/>
    <s v=" "/>
    <s v=" "/>
    <s v=" "/>
    <s v=" "/>
    <s v=" "/>
    <s v=" "/>
    <s v=" "/>
    <d v="1899-12-30T09:00:00"/>
    <s v=" "/>
    <s v=" "/>
    <s v=" "/>
    <s v=" "/>
    <s v="Ativo"/>
    <x v="3"/>
    <x v="6"/>
    <x v="46"/>
  </r>
  <r>
    <n v="131091"/>
    <x v="174"/>
    <s v="Diretoria Seminovos"/>
    <x v="6"/>
    <s v="LJCGE - Vendas Varejo Seminovos Campina Grande"/>
    <s v="LEANDRO LEITE DUARTE"/>
    <s v="NEGATIVO"/>
    <d v="1899-12-30T02:56:00"/>
    <d v="1899-12-30T02:56:00"/>
    <d v="1899-12-30T00:00:00"/>
    <s v=" "/>
    <s v=" "/>
    <s v=" "/>
    <s v=" "/>
    <s v=" "/>
    <s v=" "/>
    <s v=" "/>
    <s v=" "/>
    <d v="1899-12-30T02:56:00"/>
    <s v=" "/>
    <s v=" "/>
    <s v=" "/>
    <s v="Ativo"/>
    <x v="3"/>
    <x v="6"/>
    <x v="41"/>
  </r>
  <r>
    <n v="132288"/>
    <x v="175"/>
    <s v="Diretoria Seminovos"/>
    <x v="6"/>
    <s v="LJAJU - Vendas Varejo Seminovos Aracajú"/>
    <s v="TIAGO ANDRADE ALCANTARA"/>
    <s v="NEGATIVO"/>
    <d v="1899-12-30T05:10:00"/>
    <d v="1899-12-30T05:10:00"/>
    <d v="1899-12-30T00:00:00"/>
    <s v=" "/>
    <s v=" "/>
    <s v=" "/>
    <s v=" "/>
    <s v=" "/>
    <s v=" "/>
    <d v="1899-12-30T04:39:00"/>
    <s v=" "/>
    <s v=" "/>
    <s v=" "/>
    <s v=" "/>
    <s v=" "/>
    <s v="Ativo"/>
    <x v="3"/>
    <x v="6"/>
    <x v="47"/>
  </r>
  <r>
    <n v="134735"/>
    <x v="176"/>
    <s v="Diretoria Seminovos"/>
    <x v="6"/>
    <s v="LJCAX - Vendas Varejo Seminovos Caxanga"/>
    <s v="RAFAEL CAMPOS MARANHAO"/>
    <s v="NEGATIVO"/>
    <d v="1899-12-30T15:08:00"/>
    <d v="1899-12-30T15:08:00"/>
    <d v="1899-12-30T00:00:00"/>
    <s v=" "/>
    <s v=" "/>
    <s v=" "/>
    <s v=" "/>
    <s v=" "/>
    <d v="1899-12-30T15:08:00"/>
    <s v=" "/>
    <s v=" "/>
    <s v=" "/>
    <s v=" "/>
    <s v=" "/>
    <s v=" "/>
    <s v="Contrato de Trabalho Suspenso"/>
    <x v="3"/>
    <x v="6"/>
    <x v="37"/>
  </r>
  <r>
    <n v="135960"/>
    <x v="177"/>
    <s v="Diretoria Seminovos"/>
    <x v="6"/>
    <s v="LJCAU - Vendas Varejo Seminovos Caruaru"/>
    <s v="FLAVIO FRANCISCO DE OLIVEIRA"/>
    <s v="NEGATIVO"/>
    <d v="1899-12-30T07:12:00"/>
    <d v="1899-12-30T07:12:00"/>
    <d v="1899-12-30T00:00:00"/>
    <s v=" "/>
    <s v=" "/>
    <s v=" "/>
    <s v=" "/>
    <d v="1899-12-30T07:12:00"/>
    <s v=" "/>
    <s v=" "/>
    <s v=" "/>
    <s v=" "/>
    <s v=" "/>
    <s v=" "/>
    <s v=" "/>
    <s v="Ativo"/>
    <x v="3"/>
    <x v="6"/>
    <x v="49"/>
  </r>
  <r>
    <n v="135257"/>
    <x v="178"/>
    <s v="Diretoria Seminovos"/>
    <x v="6"/>
    <s v="LJJBT - Vendas Varejo Seminovos Jaboatão dos Guararapes"/>
    <s v="MARIO ROBERTO DE OLIVEIRA JUNIOR"/>
    <s v="NEGATIVO"/>
    <d v="1899-12-30T06:22:00"/>
    <d v="1899-12-30T06:22:00"/>
    <d v="1899-12-30T00:00:00"/>
    <s v=" "/>
    <s v=" "/>
    <d v="1899-12-30T02:31:00"/>
    <d v="1899-12-30T03:51:00"/>
    <s v=" "/>
    <s v=" "/>
    <s v=" "/>
    <s v=" "/>
    <s v=" "/>
    <s v=" "/>
    <s v=" "/>
    <s v=" "/>
    <s v="Ativo"/>
    <x v="3"/>
    <x v="6"/>
    <x v="43"/>
  </r>
  <r>
    <n v="135308"/>
    <x v="179"/>
    <s v="Diretoria Seminovos"/>
    <x v="6"/>
    <s v="LJVDC - Vendas Varejo Seminovos Vitoria da Conquista"/>
    <s v="FRANCISCO MORAIS ROCHA"/>
    <s v="NEGATIVO"/>
    <d v="1899-12-30T00:42:00"/>
    <d v="1899-12-30T00:42:00"/>
    <d v="1899-12-30T00:00:00"/>
    <s v=" "/>
    <s v=" "/>
    <s v=" "/>
    <s v=" "/>
    <s v=" "/>
    <s v=" "/>
    <s v=" "/>
    <s v=" "/>
    <s v=" "/>
    <s v=" "/>
    <d v="1899-12-30T00:42:00"/>
    <s v=" "/>
    <s v="Ativo"/>
    <x v="3"/>
    <x v="6"/>
    <x v="48"/>
  </r>
  <r>
    <n v="132405"/>
    <x v="180"/>
    <s v="Diretoria Seminovos"/>
    <x v="6"/>
    <s v="LJREC - Vendas Varejo Seminovos Recife"/>
    <s v="MARCIA REGINA MARIA FRAGA DE VASCONCELOS"/>
    <s v="NEGATIVO"/>
    <d v="1900-01-02T10:54:00"/>
    <d v="1900-01-02T10:54:00"/>
    <d v="1899-12-30T00:00:00"/>
    <s v=" "/>
    <s v=" "/>
    <s v=" "/>
    <s v=" "/>
    <s v=" "/>
    <s v=" "/>
    <s v=" "/>
    <s v=" "/>
    <d v="1899-12-30T04:40:00"/>
    <s v=" "/>
    <s v=" "/>
    <d v="1899-12-30T19:47:00"/>
    <s v="Ativo"/>
    <x v="3"/>
    <x v="6"/>
    <x v="38"/>
  </r>
  <r>
    <n v="503075"/>
    <x v="181"/>
    <s v="Diretoria Seminovos"/>
    <x v="6"/>
    <s v="LJNGT - Vendas Varejo Seminovos Nova Iguatemi"/>
    <s v="ALEXANDRE VINICIUS NEGREIROS CABRAL"/>
    <s v="NEGATIVO"/>
    <d v="1899-12-30T03:47:00"/>
    <d v="1899-12-30T03:47:00"/>
    <d v="1899-12-30T00:00:00"/>
    <s v=" "/>
    <s v=" "/>
    <s v=" "/>
    <s v=" "/>
    <s v=" "/>
    <s v=" "/>
    <s v=" "/>
    <s v=" "/>
    <s v=" "/>
    <s v=" "/>
    <s v=" "/>
    <d v="1899-12-30T00:44:00"/>
    <s v="Ativo"/>
    <x v="3"/>
    <x v="6"/>
    <x v="40"/>
  </r>
  <r>
    <n v="503000"/>
    <x v="182"/>
    <s v="Diretoria Seminovos"/>
    <x v="6"/>
    <s v="LJAJU - Vendas Varejo Seminovos Aracajú"/>
    <s v="TIAGO ANDRADE ALCANTARA"/>
    <s v="NEGATIVO"/>
    <d v="1899-12-30T05:52:00"/>
    <d v="1899-12-30T05:52:00"/>
    <d v="1899-12-30T00:00:00"/>
    <s v=" "/>
    <s v=" "/>
    <s v=" "/>
    <s v=" "/>
    <d v="1899-12-30T05:52:00"/>
    <s v=" "/>
    <s v=" "/>
    <s v=" "/>
    <s v=" "/>
    <s v=" "/>
    <s v=" "/>
    <s v=" "/>
    <s v="Contrato de Trabalho Suspenso"/>
    <x v="3"/>
    <x v="6"/>
    <x v="47"/>
  </r>
  <r>
    <n v="503184"/>
    <x v="183"/>
    <s v="Diretoria Seminovos"/>
    <x v="6"/>
    <s v="LJAJU - Vendas Varejo Seminovos Aracajú"/>
    <s v="TIAGO ANDRADE ALCANTARA"/>
    <s v="NEGATIVO"/>
    <d v="1899-12-30T04:04:00"/>
    <d v="1899-12-30T04:04:00"/>
    <d v="1899-12-30T00:00:00"/>
    <s v=" "/>
    <s v=" "/>
    <s v=" "/>
    <s v=" "/>
    <d v="1899-12-30T13:07:00"/>
    <s v=" "/>
    <d v="1899-12-30T03:57:00"/>
    <s v=" "/>
    <s v=" "/>
    <s v=" "/>
    <s v=" "/>
    <s v=" "/>
    <s v="Ativo"/>
    <x v="3"/>
    <x v="6"/>
    <x v="47"/>
  </r>
  <r>
    <n v="501397"/>
    <x v="184"/>
    <s v="Diretoria Seminovos"/>
    <x v="7"/>
    <s v="LJBEL - Loja Seminovos Belém"/>
    <s v="REINALDO GERSON FERREIRA DA SILVA"/>
    <s v="NEGATIVO"/>
    <d v="1900-01-08T09:18:00"/>
    <d v="1900-01-08T09:18:00"/>
    <d v="1899-12-30T00:00:00"/>
    <s v=" "/>
    <s v=" "/>
    <s v=" "/>
    <s v=" "/>
    <d v="1900-01-07T18:43:00"/>
    <d v="1899-12-30T12:18:00"/>
    <d v="1899-12-30T02:24:00"/>
    <s v=" "/>
    <s v=" "/>
    <s v=" "/>
    <s v=" "/>
    <s v=" "/>
    <s v="Ativo"/>
    <x v="2"/>
    <x v="7"/>
    <x v="50"/>
  </r>
  <r>
    <n v="125275"/>
    <x v="185"/>
    <s v="Diretoria Seminovos"/>
    <x v="7"/>
    <s v="LJIMP - Loja Seminovos Imperatriz"/>
    <s v="SIDNEY CLEY CUNHA DURAND PINTO"/>
    <s v="NEGATIVO"/>
    <d v="1900-01-06T22:45:00"/>
    <d v="1900-01-06T22:45:00"/>
    <d v="1899-12-30T00:00:00"/>
    <s v=" "/>
    <s v=" "/>
    <s v=" "/>
    <s v=" "/>
    <s v=" "/>
    <s v=" "/>
    <s v=" "/>
    <d v="1900-01-01T02:53:00"/>
    <d v="1899-12-31T04:00:00"/>
    <s v=" "/>
    <d v="1900-01-01T15:23:00"/>
    <d v="1899-12-31T07:19:00"/>
    <s v="Ativo"/>
    <x v="6"/>
    <x v="7"/>
    <x v="51"/>
  </r>
  <r>
    <n v="130063"/>
    <x v="186"/>
    <s v="Diretoria Seminovos"/>
    <x v="7"/>
    <s v="LJSLS - Loja Seminovos São Luis"/>
    <s v="MARIO JORGE MENDONCA MIRANDA"/>
    <s v="NEGATIVO"/>
    <d v="1900-01-04T17:37:00"/>
    <d v="1900-01-04T17:37:00"/>
    <d v="1899-12-30T00:00:00"/>
    <s v=" "/>
    <s v=" "/>
    <s v=" "/>
    <s v=" "/>
    <s v=" "/>
    <s v=" "/>
    <s v=" "/>
    <s v=" "/>
    <s v=" "/>
    <d v="1900-01-04T17:37:00"/>
    <s v=" "/>
    <s v=" "/>
    <s v="Ativo"/>
    <x v="2"/>
    <x v="7"/>
    <x v="52"/>
  </r>
  <r>
    <n v="136399"/>
    <x v="187"/>
    <s v="Diretoria Seminovos"/>
    <x v="7"/>
    <s v="SNLOG/FZA - Gerência de Logística"/>
    <s v="BERNARDO DIAS GOMIDE"/>
    <s v="NEGATIVO"/>
    <d v="1900-01-20T09:49:00"/>
    <d v="1900-01-20T09:49:00"/>
    <d v="1899-12-30T00:00:00"/>
    <s v=" "/>
    <d v="1900-01-03T04:13:00"/>
    <d v="1900-01-05T23:12:00"/>
    <d v="1900-01-05T14:24:00"/>
    <d v="1899-12-31T15:36:00"/>
    <d v="1900-01-01T00:24:00"/>
    <s v=" "/>
    <s v=" "/>
    <s v=" "/>
    <s v=" "/>
    <s v=" "/>
    <s v=" "/>
    <s v="Ativo"/>
    <x v="1"/>
    <x v="7"/>
    <x v="9"/>
  </r>
  <r>
    <n v="123543"/>
    <x v="188"/>
    <s v="Diretoria Seminovos"/>
    <x v="7"/>
    <s v="LJSJB - Loja Seminovos Fortaleza São Jose Bastos"/>
    <s v="RAFAEL CARNEIRO DE MORAES"/>
    <s v="NEGATIVO"/>
    <d v="1900-01-04T16:00:00"/>
    <d v="1900-01-04T16:00:00"/>
    <d v="1899-12-30T00:00:00"/>
    <s v=" "/>
    <s v=" "/>
    <s v=" "/>
    <s v=" "/>
    <d v="1900-01-04T16:00:00"/>
    <s v=" "/>
    <s v=" "/>
    <s v=" "/>
    <s v=" "/>
    <s v=" "/>
    <s v=" "/>
    <s v=" "/>
    <s v="Contrato de Trabalho Suspenso"/>
    <x v="2"/>
    <x v="7"/>
    <x v="53"/>
  </r>
  <r>
    <n v="132152"/>
    <x v="189"/>
    <s v="Diretoria Seminovos"/>
    <x v="7"/>
    <s v="LJBEL - Loja Seminovos Belém"/>
    <s v="REINALDO GERSON FERREIRA DA SILVA"/>
    <s v="NEGATIVO"/>
    <d v="1900-01-06T07:16:00"/>
    <d v="1900-01-06T07:16:00"/>
    <d v="1899-12-30T00:00:00"/>
    <d v="1899-12-31T17:36:00"/>
    <d v="1899-12-30T05:28:00"/>
    <d v="1900-01-01T14:30:00"/>
    <d v="1899-12-31T20:00:00"/>
    <s v=" "/>
    <d v="1899-12-30T19:25:00"/>
    <d v="1899-12-30T02:16:00"/>
    <s v=" "/>
    <s v=" "/>
    <s v=" "/>
    <s v=" "/>
    <s v=" "/>
    <s v="Ativo"/>
    <x v="7"/>
    <x v="7"/>
    <x v="50"/>
  </r>
  <r>
    <n v="130961"/>
    <x v="190"/>
    <s v="Diretoria Seminovos"/>
    <x v="7"/>
    <s v="LJMAB - Loja Seminovos Marabá"/>
    <s v="JORGE LUIS GONCALVES DE ARAUJO"/>
    <s v="NEGATIVO"/>
    <d v="1900-01-06T15:41:00"/>
    <d v="1900-01-06T15:41:00"/>
    <d v="1899-12-30T00:00:00"/>
    <s v=" "/>
    <s v=" "/>
    <d v="1899-12-31T11:09:00"/>
    <d v="1899-12-31T16:00:00"/>
    <s v=" "/>
    <d v="1900-01-01T07:14:00"/>
    <d v="1899-12-31T11:30:00"/>
    <s v=" "/>
    <s v=" "/>
    <s v=" "/>
    <s v=" "/>
    <s v=" "/>
    <s v="Ativo"/>
    <x v="6"/>
    <x v="7"/>
    <x v="54"/>
  </r>
  <r>
    <n v="121149"/>
    <x v="191"/>
    <s v="Diretoria Seminovos"/>
    <x v="7"/>
    <s v="LJFTZ - Loja Seminovos Fortaleza Santos Dumont"/>
    <s v="THYAGO GUILHERME DE OLIVEIRA"/>
    <s v="NEGATIVO"/>
    <d v="1900-01-10T16:00:00"/>
    <d v="1900-01-10T16:00:00"/>
    <d v="1899-12-30T00:00:00"/>
    <s v=" "/>
    <s v=" "/>
    <s v=" "/>
    <s v=" "/>
    <d v="1900-01-06T16:00:00"/>
    <d v="1900-01-03T00:00:00"/>
    <s v=" "/>
    <s v=" "/>
    <s v=" "/>
    <s v=" "/>
    <s v=" "/>
    <s v=" "/>
    <s v="Ativo"/>
    <x v="2"/>
    <x v="7"/>
    <x v="55"/>
  </r>
  <r>
    <n v="502882"/>
    <x v="192"/>
    <s v="Diretoria Seminovos"/>
    <x v="7"/>
    <s v="LJFZA - Loja Seminovos Fortaleza"/>
    <s v="HUGO ROHSNER BEZERRA"/>
    <s v="NEGATIVO"/>
    <d v="1900-01-08T01:59:00"/>
    <d v="1900-01-08T01:59:00"/>
    <d v="1899-12-30T00:00:00"/>
    <s v=" "/>
    <s v=" "/>
    <s v=" "/>
    <s v=" "/>
    <d v="1900-01-07T07:16:00"/>
    <d v="1899-12-30T18:30:00"/>
    <d v="1899-12-30T00:14:00"/>
    <s v=" "/>
    <s v=" "/>
    <s v=" "/>
    <s v=" "/>
    <s v=" "/>
    <s v="Ativo"/>
    <x v="2"/>
    <x v="7"/>
    <x v="56"/>
  </r>
  <r>
    <n v="136981"/>
    <x v="193"/>
    <s v="Diretoria Seminovos"/>
    <x v="7"/>
    <s v="LJPVH - Loja Seminovos Porto Velho"/>
    <s v="SHELLY DE OLIVEIRA SOUZA"/>
    <s v="NEGATIVO"/>
    <d v="1900-01-04T12:00:00"/>
    <d v="1900-01-04T12:00:00"/>
    <d v="1899-12-30T00:00:00"/>
    <s v=" "/>
    <s v=" "/>
    <s v=" "/>
    <s v=" "/>
    <d v="1900-01-04T12:00:00"/>
    <s v=" "/>
    <s v=" "/>
    <s v=" "/>
    <s v=" "/>
    <s v=" "/>
    <s v=" "/>
    <s v=" "/>
    <s v="Ativo"/>
    <x v="2"/>
    <x v="7"/>
    <x v="57"/>
  </r>
  <r>
    <n v="123504"/>
    <x v="194"/>
    <s v="Diretoria Seminovos"/>
    <x v="7"/>
    <s v="LJSLM - Loja Seminovos Senador Lemos Belém"/>
    <s v="EDINELSON VALENTE BARREIROS"/>
    <s v="NEGATIVO"/>
    <d v="1900-01-16T08:00:00"/>
    <d v="1900-01-16T08:00:00"/>
    <d v="1899-12-30T00:00:00"/>
    <s v=" "/>
    <s v=" "/>
    <s v=" "/>
    <s v=" "/>
    <d v="1900-01-08T00:00:00"/>
    <d v="1900-01-07T08:00:00"/>
    <s v=" "/>
    <s v=" "/>
    <s v=" "/>
    <s v=" "/>
    <s v=" "/>
    <s v=" "/>
    <s v="Ativo"/>
    <x v="2"/>
    <x v="7"/>
    <x v="58"/>
  </r>
  <r>
    <n v="118702"/>
    <x v="195"/>
    <s v="Diretoria Seminovos"/>
    <x v="7"/>
    <s v="LJFTZ - Loja Seminovos Fortaleza Santos Dumont"/>
    <s v="THYAGO GUILHERME DE OLIVEIRA"/>
    <s v="NEGATIVO"/>
    <d v="1900-01-10T00:00:00"/>
    <d v="1900-01-10T00:00:00"/>
    <d v="1899-12-30T00:00:00"/>
    <s v=" "/>
    <s v=" "/>
    <s v=" "/>
    <s v=" "/>
    <d v="1900-01-06T16:00:00"/>
    <d v="1900-01-02T08:00:00"/>
    <s v=" "/>
    <s v=" "/>
    <s v=" "/>
    <s v=" "/>
    <s v=" "/>
    <s v=" "/>
    <s v="Ativo"/>
    <x v="2"/>
    <x v="7"/>
    <x v="55"/>
  </r>
  <r>
    <n v="501900"/>
    <x v="196"/>
    <s v="Diretoria Seminovos"/>
    <x v="7"/>
    <s v="LJCAM - Loja Seminovos Capim Macio"/>
    <s v="GILSON GUTEMBERG COSTA DA CRUZ"/>
    <s v="NEGATIVO"/>
    <d v="1900-01-02T07:12:00"/>
    <d v="1900-01-02T07:12:00"/>
    <d v="1899-12-30T00:00:00"/>
    <s v=" "/>
    <s v=" "/>
    <s v=" "/>
    <s v=" "/>
    <s v=" "/>
    <s v=" "/>
    <s v=" "/>
    <s v=" "/>
    <s v=" "/>
    <d v="1899-12-31T15:36:00"/>
    <d v="1899-12-31T15:36:00"/>
    <s v=" "/>
    <s v="Ativo"/>
    <x v="6"/>
    <x v="7"/>
    <x v="59"/>
  </r>
  <r>
    <n v="137162"/>
    <x v="197"/>
    <s v="Diretoria Seminovos"/>
    <x v="7"/>
    <s v="LJMSO - Loja Seminovos Mossoró"/>
    <s v="DANILO ALVES DO NASCIMENTO"/>
    <s v="NEGATIVO"/>
    <d v="1900-01-01T22:24:00"/>
    <d v="1900-01-01T22:24:00"/>
    <d v="1899-12-30T00:00:00"/>
    <s v=" "/>
    <s v=" "/>
    <s v=" "/>
    <s v=" "/>
    <s v=" "/>
    <s v=" "/>
    <s v=" "/>
    <s v=" "/>
    <s v=" "/>
    <s v=" "/>
    <d v="1900-01-01T22:24:00"/>
    <s v=" "/>
    <s v="Ativo"/>
    <x v="2"/>
    <x v="7"/>
    <x v="60"/>
  </r>
  <r>
    <n v="503327"/>
    <x v="198"/>
    <s v="Diretoria Seminovos"/>
    <x v="7"/>
    <s v="LJFZA - Loja Seminovos Fortaleza"/>
    <s v="HUGO ROHSNER BEZERRA"/>
    <s v="NEGATIVO"/>
    <d v="1900-01-01T14:24:00"/>
    <d v="1900-01-01T14:24:00"/>
    <d v="1899-12-30T00:00:00"/>
    <s v=" "/>
    <s v=" "/>
    <d v="1899-12-31T02:59:00"/>
    <d v="1899-12-31T20:00:00"/>
    <s v=" "/>
    <s v=" "/>
    <s v=" "/>
    <s v=" "/>
    <s v=" "/>
    <s v=" "/>
    <s v=" "/>
    <s v=" "/>
    <s v="Ativo"/>
    <x v="7"/>
    <x v="7"/>
    <x v="56"/>
  </r>
  <r>
    <n v="502364"/>
    <x v="199"/>
    <s v="Diretoria Seminovos"/>
    <x v="7"/>
    <s v="LJTER - Loja Seminovos Teresina"/>
    <s v="EDUARDO LUCAS DOS SANTOS"/>
    <s v="NEGATIVO"/>
    <d v="1900-01-10T08:00:00"/>
    <d v="1900-01-10T08:00:00"/>
    <d v="1899-12-30T00:00:00"/>
    <s v=" "/>
    <s v=" "/>
    <s v=" "/>
    <s v=" "/>
    <d v="1900-01-02T00:00:00"/>
    <d v="1900-01-07T08:00:00"/>
    <s v=" "/>
    <s v=" "/>
    <s v=" "/>
    <s v=" "/>
    <s v=" "/>
    <s v=" "/>
    <s v="Contrato de Trabalho Suspenso"/>
    <x v="2"/>
    <x v="7"/>
    <x v="61"/>
  </r>
  <r>
    <n v="130145"/>
    <x v="200"/>
    <s v="Diretoria Seminovos"/>
    <x v="7"/>
    <s v="LJFZA - Loja Seminovos Fortaleza"/>
    <s v="HUGO ROHSNER BEZERRA"/>
    <s v="NEGATIVO"/>
    <d v="1900-01-09T02:33:00"/>
    <d v="1900-01-09T02:33:00"/>
    <d v="1899-12-30T00:00:00"/>
    <s v=" "/>
    <s v=" "/>
    <s v=" "/>
    <s v=" "/>
    <d v="1900-01-07T12:11:00"/>
    <d v="1899-12-31T14:03:00"/>
    <d v="1899-12-30T00:06:00"/>
    <s v=" "/>
    <s v=" "/>
    <s v=" "/>
    <s v=" "/>
    <s v=" "/>
    <s v="Ativo"/>
    <x v="2"/>
    <x v="7"/>
    <x v="56"/>
  </r>
  <r>
    <n v="119230"/>
    <x v="201"/>
    <s v="Diretoria Seminovos"/>
    <x v="7"/>
    <s v="LJSLS - Loja Seminovos São Luis"/>
    <s v="MARIO JORGE MENDONCA MIRANDA"/>
    <s v="NEGATIVO"/>
    <d v="1900-01-08T21:30:00"/>
    <d v="1900-01-08T21:30:00"/>
    <d v="1899-12-30T00:00:00"/>
    <s v=" "/>
    <s v=" "/>
    <s v=" "/>
    <s v=" "/>
    <s v=" "/>
    <s v=" "/>
    <s v=" "/>
    <d v="1900-01-02T20:55:00"/>
    <s v=" "/>
    <d v="1900-01-05T00:25:00"/>
    <d v="1899-12-30T00:10:00"/>
    <s v=" "/>
    <s v="Ativo"/>
    <x v="2"/>
    <x v="7"/>
    <x v="52"/>
  </r>
  <r>
    <n v="117977"/>
    <x v="202"/>
    <s v="Diretoria Seminovos"/>
    <x v="7"/>
    <s v="LJTER - Loja Seminovos Teresina"/>
    <s v="EDUARDO LUCAS DOS SANTOS"/>
    <s v="NEGATIVO"/>
    <d v="1900-01-11T08:00:00"/>
    <d v="1900-01-11T08:00:00"/>
    <d v="1899-12-30T00:00:00"/>
    <s v=" "/>
    <s v=" "/>
    <s v=" "/>
    <s v=" "/>
    <d v="1900-01-03T00:00:00"/>
    <d v="1900-01-07T08:00:00"/>
    <s v=" "/>
    <s v=" "/>
    <s v=" "/>
    <s v=" "/>
    <s v=" "/>
    <s v=" "/>
    <s v="Ativo"/>
    <x v="2"/>
    <x v="7"/>
    <x v="61"/>
  </r>
  <r>
    <n v="134952"/>
    <x v="203"/>
    <s v="Diretoria Seminovos"/>
    <x v="7"/>
    <s v="LJMSO - Loja Seminovos Mossoró"/>
    <s v="DANILO ALVES DO NASCIMENTO"/>
    <s v="NEGATIVO"/>
    <d v="1900-01-11T08:08:00"/>
    <d v="1900-01-11T08:08:00"/>
    <d v="1899-12-30T00:00:00"/>
    <d v="1899-12-30T13:21:00"/>
    <d v="1899-12-30T03:39:00"/>
    <d v="1899-12-30T01:17:00"/>
    <d v="1900-01-05T19:29:00"/>
    <d v="1899-12-30T21:17:00"/>
    <d v="1900-01-02T21:05:00"/>
    <s v=" "/>
    <s v=" "/>
    <s v=" "/>
    <s v=" "/>
    <s v=" "/>
    <s v=" "/>
    <s v="Ativo"/>
    <x v="6"/>
    <x v="7"/>
    <x v="60"/>
  </r>
  <r>
    <n v="136530"/>
    <x v="204"/>
    <s v="Diretoria Seminovos"/>
    <x v="7"/>
    <s v="LJMNS - Loja Seminovos Manaus"/>
    <s v="PEDRO GOMES COSTA MOTA"/>
    <s v="NEGATIVO"/>
    <d v="1900-01-04T06:50:00"/>
    <d v="1900-01-04T06:50:00"/>
    <d v="1899-12-30T00:00:00"/>
    <s v=" "/>
    <s v=" "/>
    <s v=" "/>
    <s v=" "/>
    <d v="1900-01-03T00:09:00"/>
    <d v="1899-12-30T19:21:00"/>
    <d v="1899-12-30T11:04:00"/>
    <s v=" "/>
    <s v=" "/>
    <s v=" "/>
    <s v=" "/>
    <s v=" "/>
    <s v="Ativo"/>
    <x v="2"/>
    <x v="7"/>
    <x v="62"/>
  </r>
  <r>
    <n v="135727"/>
    <x v="205"/>
    <s v="Diretoria Seminovos"/>
    <x v="7"/>
    <s v="LJNAN - Loja Seminovos Natal"/>
    <s v="AIVERTON FERREIRA DE ARAUJO TORRES"/>
    <s v="NEGATIVO"/>
    <d v="1899-12-30T16:00:00"/>
    <d v="1899-12-30T16:00:00"/>
    <d v="1899-12-30T00:00:00"/>
    <s v=" "/>
    <s v=" "/>
    <s v=" "/>
    <s v=" "/>
    <s v=" "/>
    <d v="1899-12-30T16:00:00"/>
    <s v=" "/>
    <s v=" "/>
    <s v=" "/>
    <s v=" "/>
    <s v=" "/>
    <s v=" "/>
    <s v="Ativo"/>
    <x v="2"/>
    <x v="7"/>
    <x v="63"/>
  </r>
  <r>
    <n v="134799"/>
    <x v="206"/>
    <s v="Diretoria Seminovos"/>
    <x v="7"/>
    <s v="LJMSO - Vendas Varejo Seminovos Mossoró"/>
    <s v="DANILO ALVES DO NASCIMENTO"/>
    <s v="NEGATIVO"/>
    <d v="1900-01-06T12:45:00"/>
    <d v="1900-01-06T12:45:00"/>
    <d v="1899-12-30T00:00:00"/>
    <d v="1899-12-30T01:06:00"/>
    <d v="1899-12-30T13:00:00"/>
    <d v="1899-12-30T01:03:00"/>
    <s v=" "/>
    <s v=" "/>
    <d v="1900-01-05T21:36:00"/>
    <s v=" "/>
    <s v=" "/>
    <s v=" "/>
    <s v=" "/>
    <s v=" "/>
    <s v=" "/>
    <s v="Ativo"/>
    <x v="3"/>
    <x v="7"/>
    <x v="60"/>
  </r>
  <r>
    <n v="503223"/>
    <x v="207"/>
    <s v="Diretoria Seminovos"/>
    <x v="7"/>
    <s v="LJFZA - Vendas Varejo Seminovos Fortaleza"/>
    <s v="HUGO ROHSNER BEZERRA"/>
    <s v="NEGATIVO"/>
    <d v="1900-01-06T01:55:00"/>
    <d v="1900-01-06T01:55:00"/>
    <d v="1899-12-30T00:00:00"/>
    <s v=" "/>
    <s v=" "/>
    <s v=" "/>
    <s v=" "/>
    <d v="1900-01-04T09:39:00"/>
    <d v="1900-01-01T02:24:00"/>
    <s v=" "/>
    <s v=" "/>
    <s v=" "/>
    <s v=" "/>
    <s v=" "/>
    <s v=" "/>
    <s v="Ativo"/>
    <x v="3"/>
    <x v="7"/>
    <x v="56"/>
  </r>
  <r>
    <n v="135951"/>
    <x v="208"/>
    <s v="Diretoria Seminovos"/>
    <x v="7"/>
    <s v="LJJZN - Vendas Varejo Seminovos Juazeiro do Norte"/>
    <s v="JACKSON SANTOS NETO"/>
    <s v="NEGATIVO"/>
    <d v="1899-12-30T13:05:00"/>
    <d v="1899-12-30T13:05:00"/>
    <d v="1899-12-30T00:00:00"/>
    <s v=" "/>
    <s v=" "/>
    <d v="1899-12-30T13:05:00"/>
    <s v=" "/>
    <s v=" "/>
    <s v=" "/>
    <s v=" "/>
    <s v=" "/>
    <s v=" "/>
    <s v=" "/>
    <s v=" "/>
    <s v=" "/>
    <s v="Ativo"/>
    <x v="3"/>
    <x v="7"/>
    <x v="64"/>
  </r>
  <r>
    <n v="130000"/>
    <x v="209"/>
    <s v="Diretoria Seminovos"/>
    <x v="7"/>
    <s v="LJFZA - Vendas Varejo Seminovos Fortaleza"/>
    <s v="HUGO ROHSNER BEZERRA"/>
    <s v="NEGATIVO"/>
    <d v="1900-01-02T20:37:00"/>
    <d v="1900-01-02T20:37:00"/>
    <d v="1899-12-30T00:00:00"/>
    <s v=" "/>
    <s v=" "/>
    <s v=" "/>
    <s v=" "/>
    <d v="1900-01-03T14:14:00"/>
    <d v="1899-12-30T02:35:00"/>
    <d v="1899-12-30T00:08:00"/>
    <s v=" "/>
    <s v=" "/>
    <s v=" "/>
    <s v=" "/>
    <s v=" "/>
    <s v="Ativo"/>
    <x v="3"/>
    <x v="7"/>
    <x v="56"/>
  </r>
  <r>
    <n v="130001"/>
    <x v="210"/>
    <s v="Diretoria Seminovos"/>
    <x v="7"/>
    <s v="LJFZA - Vendas Varejo Seminovos Fortaleza"/>
    <s v="HUGO ROHSNER BEZERRA"/>
    <s v="NEGATIVO"/>
    <d v="1900-01-05T10:54:00"/>
    <d v="1900-01-05T10:54:00"/>
    <d v="1899-12-30T00:00:00"/>
    <s v=" "/>
    <s v=" "/>
    <s v=" "/>
    <s v=" "/>
    <d v="1900-01-04T10:20:00"/>
    <d v="1899-12-30T17:38:00"/>
    <d v="1899-12-30T02:55:00"/>
    <s v=" "/>
    <s v=" "/>
    <s v=" "/>
    <s v=" "/>
    <s v=" "/>
    <s v="Ativo"/>
    <x v="3"/>
    <x v="7"/>
    <x v="56"/>
  </r>
  <r>
    <n v="123224"/>
    <x v="211"/>
    <s v="Diretoria Seminovos"/>
    <x v="7"/>
    <s v="LJTER - Vendas Varejo Seminovos Teresina"/>
    <s v="EDUARDO LUCAS DOS SANTOS"/>
    <s v="NEGATIVO"/>
    <d v="1900-01-08T23:12:00"/>
    <d v="1900-01-08T23:12:00"/>
    <d v="1899-12-30T00:00:00"/>
    <s v=" "/>
    <s v=" "/>
    <s v=" "/>
    <s v=" "/>
    <d v="1900-01-01T11:12:00"/>
    <d v="1900-01-06T12:00:00"/>
    <s v=" "/>
    <s v=" "/>
    <s v=" "/>
    <s v=" "/>
    <s v=" "/>
    <s v=" "/>
    <s v="Contrato de Trabalho Suspenso"/>
    <x v="3"/>
    <x v="7"/>
    <x v="61"/>
  </r>
  <r>
    <n v="129949"/>
    <x v="212"/>
    <s v="Diretoria Seminovos"/>
    <x v="7"/>
    <s v="LJTER - Vendas Varejo Seminovos Teresina"/>
    <s v="EDUARDO LUCAS DOS SANTOS"/>
    <s v="NEGATIVO"/>
    <d v="1900-01-08T04:00:00"/>
    <d v="1900-01-08T04:00:00"/>
    <d v="1899-12-30T00:00:00"/>
    <s v=" "/>
    <s v=" "/>
    <s v=" "/>
    <s v=" "/>
    <s v=" "/>
    <d v="1900-01-08T04:00:00"/>
    <s v=" "/>
    <s v=" "/>
    <s v=" "/>
    <s v=" "/>
    <s v=" "/>
    <s v=" "/>
    <s v="Contrato de Trabalho Suspenso"/>
    <x v="3"/>
    <x v="7"/>
    <x v="61"/>
  </r>
  <r>
    <n v="131459"/>
    <x v="213"/>
    <s v="Diretoria Seminovos"/>
    <x v="7"/>
    <s v="LJJZN - Vendas Varejo Seminovos Juazeiro do Norte"/>
    <s v="JACKSON SANTOS NETO"/>
    <s v="NEGATIVO"/>
    <d v="1899-12-31T04:48:00"/>
    <d v="1899-12-31T04:48:00"/>
    <d v="1899-12-30T00:00:00"/>
    <s v=" "/>
    <s v=" "/>
    <s v=" "/>
    <s v=" "/>
    <d v="1899-12-31T04:48:00"/>
    <s v=" "/>
    <s v=" "/>
    <s v=" "/>
    <s v=" "/>
    <s v=" "/>
    <s v=" "/>
    <s v=" "/>
    <s v="Ativo"/>
    <x v="3"/>
    <x v="7"/>
    <x v="64"/>
  </r>
  <r>
    <n v="125152"/>
    <x v="214"/>
    <s v="Diretoria Seminovos"/>
    <x v="7"/>
    <s v="LJIMP - Vendas Varejo Seminovos Imperatriz"/>
    <s v="SIDNEY CLEY CUNHA DURAND PINTO"/>
    <s v="NEGATIVO"/>
    <d v="1899-12-30T00:51:00"/>
    <d v="1899-12-30T00:51:00"/>
    <d v="1899-12-30T00:00:00"/>
    <s v=" "/>
    <s v=" "/>
    <s v=" "/>
    <s v=" "/>
    <s v=" "/>
    <s v=" "/>
    <s v=" "/>
    <s v=" "/>
    <s v=" "/>
    <s v=" "/>
    <s v=" "/>
    <d v="1899-12-30T00:51:00"/>
    <s v="Contrato de Trabalho Suspenso"/>
    <x v="3"/>
    <x v="7"/>
    <x v="51"/>
  </r>
  <r>
    <n v="134417"/>
    <x v="215"/>
    <s v="Diretoria Seminovos"/>
    <x v="7"/>
    <s v="LJIMP - Vendas Varejo Seminovos Imperatriz"/>
    <s v="SIDNEY CLEY CUNHA DURAND PINTO"/>
    <s v="NEGATIVO"/>
    <d v="1899-12-30T16:33:00"/>
    <d v="1899-12-30T16:33:00"/>
    <d v="1899-12-30T00:00:00"/>
    <s v=" "/>
    <s v=" "/>
    <s v=" "/>
    <s v=" "/>
    <s v=" "/>
    <d v="1899-12-30T12:33:00"/>
    <d v="1899-12-30T10:14:00"/>
    <s v=" "/>
    <s v=" "/>
    <s v=" "/>
    <s v=" "/>
    <s v=" "/>
    <s v="Ativo"/>
    <x v="3"/>
    <x v="7"/>
    <x v="51"/>
  </r>
  <r>
    <n v="124548"/>
    <x v="216"/>
    <s v="Diretoria Seminovos"/>
    <x v="7"/>
    <s v="LJFTZ - Vendas Varejo Seminovos Fortaleza Santos Dumont"/>
    <s v="THYAGO GUILHERME DE OLIVEIRA"/>
    <s v="NEGATIVO"/>
    <d v="1900-01-03T19:12:00"/>
    <d v="1900-01-03T19:12:00"/>
    <d v="1899-12-30T00:00:00"/>
    <s v=" "/>
    <s v=" "/>
    <s v=" "/>
    <s v=" "/>
    <d v="1899-12-31T19:12:00"/>
    <d v="1900-01-02T00:00:00"/>
    <s v=" "/>
    <s v=" "/>
    <s v=" "/>
    <s v=" "/>
    <s v=" "/>
    <s v=" "/>
    <s v="Ativo"/>
    <x v="3"/>
    <x v="7"/>
    <x v="55"/>
  </r>
  <r>
    <n v="134789"/>
    <x v="217"/>
    <s v="Diretoria Seminovos"/>
    <x v="7"/>
    <s v="LJMSO - Vendas Varejo Seminovos Mossoró"/>
    <s v="DANILO ALVES DO NASCIMENTO"/>
    <s v="NEGATIVO"/>
    <d v="1900-01-06T03:34:00"/>
    <d v="1900-01-06T03:34:00"/>
    <d v="1899-12-30T00:00:00"/>
    <s v=" "/>
    <d v="1899-12-30T01:12:00"/>
    <d v="1899-12-30T04:46:00"/>
    <s v=" "/>
    <s v=" "/>
    <d v="1900-01-05T21:36:00"/>
    <s v=" "/>
    <s v=" "/>
    <s v=" "/>
    <s v=" "/>
    <s v=" "/>
    <s v=" "/>
    <s v="Ativo"/>
    <x v="3"/>
    <x v="7"/>
    <x v="60"/>
  </r>
  <r>
    <n v="136871"/>
    <x v="218"/>
    <s v="Diretoria Seminovos"/>
    <x v="7"/>
    <s v="LJPVH - Vendas Varejo Seminovos Porto Velho"/>
    <s v="SHELLY DE OLIVEIRA SOUZA"/>
    <s v="NEGATIVO"/>
    <d v="1900-01-04T12:00:00"/>
    <d v="1900-01-04T12:00:00"/>
    <d v="1899-12-30T00:00:00"/>
    <s v=" "/>
    <s v=" "/>
    <s v=" "/>
    <s v=" "/>
    <d v="1900-01-04T12:00:00"/>
    <s v=" "/>
    <s v=" "/>
    <s v=" "/>
    <s v=" "/>
    <s v=" "/>
    <s v=" "/>
    <s v=" "/>
    <s v="Ativo"/>
    <x v="3"/>
    <x v="7"/>
    <x v="57"/>
  </r>
  <r>
    <n v="129366"/>
    <x v="219"/>
    <s v="Diretoria Seminovos"/>
    <x v="7"/>
    <s v="LJFTZ - Vendas Varejo Seminovos Fortaleza Santos Dumont"/>
    <s v="THYAGO GUILHERME DE OLIVEIRA"/>
    <s v="NEGATIVO"/>
    <d v="1900-01-03T19:12:00"/>
    <d v="1900-01-03T19:12:00"/>
    <d v="1899-12-30T00:00:00"/>
    <s v=" "/>
    <s v=" "/>
    <s v=" "/>
    <s v=" "/>
    <d v="1899-12-31T19:12:00"/>
    <d v="1900-01-02T00:00:00"/>
    <s v=" "/>
    <s v=" "/>
    <s v=" "/>
    <s v=" "/>
    <s v=" "/>
    <s v=" "/>
    <s v="Ativo"/>
    <x v="3"/>
    <x v="7"/>
    <x v="55"/>
  </r>
  <r>
    <n v="130462"/>
    <x v="220"/>
    <s v="Diretoria Seminovos"/>
    <x v="7"/>
    <s v="LJCAM - Vendas Varejo Seminovos Capim Macio"/>
    <s v="GILSON GUTEMBERG COSTA DA CRUZ"/>
    <s v="NEGATIVO"/>
    <d v="1899-12-30T13:13:00"/>
    <d v="1899-12-30T13:13:00"/>
    <d v="1899-12-30T00:00:00"/>
    <s v=" "/>
    <s v=" "/>
    <s v=" "/>
    <s v=" "/>
    <s v=" "/>
    <s v=" "/>
    <s v=" "/>
    <s v=" "/>
    <s v=" "/>
    <s v=" "/>
    <d v="1899-12-30T09:13:00"/>
    <d v="1899-12-30T04:00:00"/>
    <s v="Ativo"/>
    <x v="3"/>
    <x v="7"/>
    <x v="59"/>
  </r>
  <r>
    <n v="133524"/>
    <x v="221"/>
    <s v="Diretoria Seminovos"/>
    <x v="7"/>
    <s v="LJSJB - Vendas Varejo Seminovos Fortaleza São Jose Bastos"/>
    <s v="RAFAEL CARNEIRO DE MORAES"/>
    <s v="NEGATIVO"/>
    <d v="1900-01-07T01:39:00"/>
    <d v="1900-01-07T01:39:00"/>
    <d v="1899-12-30T00:00:00"/>
    <s v=" "/>
    <s v=" "/>
    <d v="1899-12-30T03:15:00"/>
    <s v=" "/>
    <d v="1900-01-06T22:24:00"/>
    <s v=" "/>
    <s v=" "/>
    <s v=" "/>
    <s v=" "/>
    <s v=" "/>
    <s v=" "/>
    <s v=" "/>
    <s v="Ativo"/>
    <x v="3"/>
    <x v="7"/>
    <x v="53"/>
  </r>
  <r>
    <n v="124472"/>
    <x v="222"/>
    <s v="Diretoria Seminovos"/>
    <x v="7"/>
    <s v="LJTER - Vendas Varejo Seminovos Teresina"/>
    <s v="EDUARDO LUCAS DOS SANTOS"/>
    <s v="NEGATIVO"/>
    <d v="1900-01-10T07:12:00"/>
    <d v="1900-01-10T07:12:00"/>
    <d v="1899-12-30T00:00:00"/>
    <s v=" "/>
    <s v=" "/>
    <s v=" "/>
    <s v=" "/>
    <d v="1900-01-02T19:12:00"/>
    <d v="1900-01-06T12:00:00"/>
    <s v=" "/>
    <s v=" "/>
    <s v=" "/>
    <s v=" "/>
    <s v=" "/>
    <s v=" "/>
    <s v="Ativo"/>
    <x v="3"/>
    <x v="7"/>
    <x v="61"/>
  </r>
  <r>
    <n v="132950"/>
    <x v="223"/>
    <s v="Diretoria Seminovos"/>
    <x v="7"/>
    <s v="LJSLS - Vendas Varejo Seminovos São Luis"/>
    <s v="MARIO JORGE MENDONCA MIRANDA"/>
    <s v="NEGATIVO"/>
    <d v="1899-12-30T10:18:00"/>
    <d v="1899-12-30T10:18:00"/>
    <d v="1899-12-30T00:00:00"/>
    <s v=" "/>
    <s v=" "/>
    <s v=" "/>
    <s v=" "/>
    <s v=" "/>
    <s v=" "/>
    <s v=" "/>
    <d v="1899-12-30T10:18:00"/>
    <s v=" "/>
    <s v=" "/>
    <s v=" "/>
    <s v=" "/>
    <s v="Contrato de Trabalho Suspenso"/>
    <x v="3"/>
    <x v="7"/>
    <x v="52"/>
  </r>
  <r>
    <n v="125521"/>
    <x v="224"/>
    <s v="Diretoria Seminovos"/>
    <x v="7"/>
    <s v="LJTER - Vendas Varejo Seminovos Teresina"/>
    <s v="EDUARDO LUCAS DOS SANTOS"/>
    <s v="NEGATIVO"/>
    <d v="1900-01-10T07:12:00"/>
    <d v="1900-01-10T07:12:00"/>
    <d v="1899-12-30T00:00:00"/>
    <s v=" "/>
    <s v=" "/>
    <s v=" "/>
    <s v=" "/>
    <d v="1900-01-02T19:12:00"/>
    <d v="1900-01-06T12:00:00"/>
    <s v=" "/>
    <s v=" "/>
    <s v=" "/>
    <s v=" "/>
    <s v=" "/>
    <s v=" "/>
    <s v="Ativo"/>
    <x v="3"/>
    <x v="7"/>
    <x v="61"/>
  </r>
  <r>
    <n v="133411"/>
    <x v="225"/>
    <s v="Diretoria Seminovos"/>
    <x v="7"/>
    <s v="LJMNS - Vendas Varejo Seminovos Manaus"/>
    <s v="PEDRO GOMES COSTA MOTA"/>
    <s v="NEGATIVO"/>
    <d v="1899-12-31T04:18:00"/>
    <d v="1899-12-31T04:18:00"/>
    <d v="1899-12-30T00:00:00"/>
    <s v=" "/>
    <s v=" "/>
    <s v=" "/>
    <s v=" "/>
    <s v=" "/>
    <s v=" "/>
    <d v="1899-12-30T21:27:00"/>
    <s v=" "/>
    <s v=" "/>
    <s v=" "/>
    <s v=" "/>
    <s v=" "/>
    <s v="Ativo"/>
    <x v="3"/>
    <x v="7"/>
    <x v="62"/>
  </r>
  <r>
    <n v="135496"/>
    <x v="226"/>
    <s v="Diretoria Seminovos"/>
    <x v="7"/>
    <s v="LJSLS - Vendas Varejo Seminovos São Luis"/>
    <s v="MARIO JORGE MENDONCA MIRANDA"/>
    <s v="NEGATIVO"/>
    <d v="1899-12-30T14:12:00"/>
    <d v="1899-12-30T14:12:00"/>
    <d v="1899-12-30T00:00:00"/>
    <s v=" "/>
    <s v=" "/>
    <s v=" "/>
    <s v=" "/>
    <s v=" "/>
    <s v=" "/>
    <s v=" "/>
    <d v="1899-12-30T14:12:00"/>
    <s v=" "/>
    <s v=" "/>
    <s v=" "/>
    <s v=" "/>
    <s v="Ativo"/>
    <x v="3"/>
    <x v="7"/>
    <x v="52"/>
  </r>
  <r>
    <n v="124785"/>
    <x v="227"/>
    <s v="Diretoria Seminovos"/>
    <x v="7"/>
    <s v="LJFZA - Vendas Varejo Seminovos Fortaleza"/>
    <s v="HUGO ROHSNER BEZERRA"/>
    <s v="NEGATIVO"/>
    <d v="1900-01-04T12:02:00"/>
    <d v="1900-01-04T12:02:00"/>
    <d v="1899-12-30T00:00:00"/>
    <s v=" "/>
    <s v=" "/>
    <s v=" "/>
    <s v=" "/>
    <d v="1900-01-04T08:44:00"/>
    <d v="1899-12-30T07:30:00"/>
    <d v="1899-12-30T04:09:00"/>
    <s v=" "/>
    <s v=" "/>
    <s v=" "/>
    <s v=" "/>
    <s v=" "/>
    <s v="Ativo"/>
    <x v="3"/>
    <x v="7"/>
    <x v="56"/>
  </r>
  <r>
    <n v="136969"/>
    <x v="228"/>
    <s v="Diretoria Seminovos"/>
    <x v="7"/>
    <s v="LJMSO - Vendas Varejo Seminovos Mossoró"/>
    <s v="DANILO ALVES DO NASCIMENTO"/>
    <s v="NEGATIVO"/>
    <d v="1899-12-30T18:17:00"/>
    <d v="1899-12-30T18:17:00"/>
    <d v="1899-12-30T00:00:00"/>
    <s v=" "/>
    <s v=" "/>
    <s v=" "/>
    <s v=" "/>
    <s v=" "/>
    <s v=" "/>
    <s v=" "/>
    <s v=" "/>
    <d v="1899-12-30T18:17:00"/>
    <s v=" "/>
    <s v=" "/>
    <s v=" "/>
    <s v="Ativo"/>
    <x v="3"/>
    <x v="7"/>
    <x v="60"/>
  </r>
  <r>
    <n v="136859"/>
    <x v="229"/>
    <s v="Diretoria Seminovos"/>
    <x v="7"/>
    <s v="LJPVH - Vendas Varejo Seminovos Porto Velho"/>
    <s v="SHELLY DE OLIVEIRA SOUZA"/>
    <s v="NEGATIVO"/>
    <d v="1900-01-04T12:00:00"/>
    <d v="1900-01-04T12:00:00"/>
    <d v="1899-12-30T00:00:00"/>
    <s v=" "/>
    <s v=" "/>
    <s v=" "/>
    <s v=" "/>
    <d v="1900-01-04T12:00:00"/>
    <s v=" "/>
    <s v=" "/>
    <s v=" "/>
    <s v=" "/>
    <s v=" "/>
    <s v=" "/>
    <s v=" "/>
    <s v="Ativo"/>
    <x v="3"/>
    <x v="7"/>
    <x v="57"/>
  </r>
  <r>
    <n v="132512"/>
    <x v="230"/>
    <s v="Diretoria Seminovos"/>
    <x v="7"/>
    <s v="LJSLM - Vendas Varejo Seminovos Senador Lemos Belém"/>
    <s v="EDINELSON VALENTE BARREIROS"/>
    <s v="NEGATIVO"/>
    <d v="1900-01-06T08:26:00"/>
    <d v="1900-01-06T08:26:00"/>
    <d v="1899-12-30T00:00:00"/>
    <s v=" "/>
    <s v=" "/>
    <s v=" "/>
    <s v=" "/>
    <s v=" "/>
    <d v="1900-01-06T08:26:00"/>
    <s v=" "/>
    <s v=" "/>
    <s v=" "/>
    <s v=" "/>
    <s v=" "/>
    <s v=" "/>
    <s v="Ativo"/>
    <x v="3"/>
    <x v="7"/>
    <x v="58"/>
  </r>
  <r>
    <n v="501691"/>
    <x v="231"/>
    <s v="Diretoria Seminovos"/>
    <x v="7"/>
    <s v="LJFZA - Vendas Varejo Seminovos Fortaleza"/>
    <s v="HUGO ROHSNER BEZERRA"/>
    <s v="NEGATIVO"/>
    <d v="1900-01-03T11:35:00"/>
    <d v="1900-01-03T11:35:00"/>
    <d v="1899-12-30T00:00:00"/>
    <s v=" "/>
    <s v=" "/>
    <s v=" "/>
    <s v=" "/>
    <d v="1900-01-03T09:31:00"/>
    <d v="1899-12-30T08:02:00"/>
    <d v="1899-12-30T01:32:00"/>
    <s v=" "/>
    <s v=" "/>
    <s v=" "/>
    <s v=" "/>
    <s v=" "/>
    <s v="Ativo"/>
    <x v="3"/>
    <x v="7"/>
    <x v="56"/>
  </r>
  <r>
    <n v="134648"/>
    <x v="232"/>
    <s v="Diretoria Seminovos"/>
    <x v="7"/>
    <s v="LJSLM - Vendas Varejo Seminovos Senador Lemos Belém"/>
    <s v="EDINELSON VALENTE BARREIROS"/>
    <s v="NEGATIVO"/>
    <d v="1900-01-10T12:00:00"/>
    <d v="1900-01-10T12:00:00"/>
    <d v="1899-12-30T00:00:00"/>
    <s v=" "/>
    <s v=" "/>
    <s v=" "/>
    <s v=" "/>
    <d v="1900-01-03T00:00:00"/>
    <d v="1900-01-06T12:00:00"/>
    <s v=" "/>
    <s v=" "/>
    <s v=" "/>
    <s v=" "/>
    <s v=" "/>
    <s v=" "/>
    <s v="Ativo"/>
    <x v="3"/>
    <x v="7"/>
    <x v="58"/>
  </r>
  <r>
    <n v="131554"/>
    <x v="233"/>
    <s v="Diretoria Seminovos"/>
    <x v="7"/>
    <s v="LJCAM - Vendas Varejo Seminovos Capim Macio"/>
    <s v="GILSON GUTEMBERG COSTA DA CRUZ"/>
    <s v="NEGATIVO"/>
    <d v="1899-12-30T10:42:00"/>
    <d v="1899-12-30T10:42:00"/>
    <d v="1899-12-30T00:00:00"/>
    <s v=" "/>
    <s v=" "/>
    <s v=" "/>
    <s v=" "/>
    <s v=" "/>
    <s v=" "/>
    <s v=" "/>
    <d v="1899-12-30T10:42:00"/>
    <s v=" "/>
    <s v=" "/>
    <s v=" "/>
    <s v=" "/>
    <s v="Ativo"/>
    <x v="3"/>
    <x v="7"/>
    <x v="59"/>
  </r>
  <r>
    <n v="502699"/>
    <x v="234"/>
    <s v="Diretoria Seminovos"/>
    <x v="7"/>
    <s v="LJSJB - Vendas Varejo Seminovos Fortaleza São Jose Bastos"/>
    <s v="RAFAEL CARNEIRO DE MORAES"/>
    <s v="NEGATIVO"/>
    <d v="1900-01-06T22:24:00"/>
    <d v="1900-01-06T22:24:00"/>
    <d v="1899-12-30T00:00:00"/>
    <s v=" "/>
    <s v=" "/>
    <s v=" "/>
    <s v=" "/>
    <d v="1900-01-06T22:24:00"/>
    <s v=" "/>
    <s v=" "/>
    <s v=" "/>
    <s v=" "/>
    <s v=" "/>
    <s v=" "/>
    <s v=" "/>
    <s v="Ativo"/>
    <x v="3"/>
    <x v="7"/>
    <x v="53"/>
  </r>
  <r>
    <n v="130067"/>
    <x v="235"/>
    <s v="Diretoria Seminovos"/>
    <x v="7"/>
    <s v="LJIMP - Vendas Varejo Seminovos Imperatriz"/>
    <s v="SIDNEY CLEY CUNHA DURAND PINTO"/>
    <s v="NEGATIVO"/>
    <d v="1899-12-30T13:41:00"/>
    <d v="1899-12-30T13:41:00"/>
    <d v="1899-12-30T00:00:00"/>
    <s v=" "/>
    <s v=" "/>
    <s v=" "/>
    <s v=" "/>
    <s v=" "/>
    <s v=" "/>
    <s v=" "/>
    <s v=" "/>
    <s v=" "/>
    <s v=" "/>
    <d v="1899-12-30T01:41:00"/>
    <d v="1899-12-30T10:24:00"/>
    <s v="Ativo"/>
    <x v="3"/>
    <x v="7"/>
    <x v="51"/>
  </r>
  <r>
    <n v="134788"/>
    <x v="236"/>
    <s v="Diretoria Seminovos"/>
    <x v="7"/>
    <s v="LJMSO - Vendas Varejo Seminovos Mossoró"/>
    <s v="DANILO ALVES DO NASCIMENTO"/>
    <s v="NEGATIVO"/>
    <d v="1900-01-02T21:36:00"/>
    <d v="1900-01-02T21:36:00"/>
    <d v="1899-12-30T00:00:00"/>
    <s v=" "/>
    <s v=" "/>
    <s v=" "/>
    <s v=" "/>
    <s v=" "/>
    <d v="1900-01-02T21:36:00"/>
    <s v=" "/>
    <s v=" "/>
    <s v=" "/>
    <s v=" "/>
    <s v=" "/>
    <s v=" "/>
    <s v="Contrato de Trabalho Suspenso"/>
    <x v="3"/>
    <x v="7"/>
    <x v="60"/>
  </r>
  <r>
    <n v="136521"/>
    <x v="237"/>
    <s v="Diretoria Seminovos"/>
    <x v="8"/>
    <s v="LJRJB - Loja Seminovos RJ Avenida Brasil"/>
    <s v="MARLON CESAR RIBEIRO DE LIMA"/>
    <s v="NEGATIVO"/>
    <d v="1900-01-16T08:00:00"/>
    <d v="1900-01-16T08:00:00"/>
    <d v="1899-12-30T00:00:00"/>
    <s v=" "/>
    <d v="1900-01-08T00:00:00"/>
    <d v="1900-01-07T08:00:00"/>
    <s v=" "/>
    <s v=" "/>
    <s v=" "/>
    <s v=" "/>
    <s v=" "/>
    <s v=" "/>
    <s v=" "/>
    <s v=" "/>
    <s v=" "/>
    <s v="Ativo"/>
    <x v="2"/>
    <x v="8"/>
    <x v="65"/>
  </r>
  <r>
    <n v="118141"/>
    <x v="238"/>
    <s v="Diretoria Seminovos"/>
    <x v="8"/>
    <s v="LJNIG - Loja Seminovos Nova Iguaçu"/>
    <s v="TABAJARA ALVARO MENDONCA ALVARES"/>
    <s v="NEGATIVO"/>
    <d v="1899-12-31T08:48:00"/>
    <d v="1899-12-31T08:48:00"/>
    <d v="1899-12-30T00:00:00"/>
    <s v=" "/>
    <d v="1899-12-30T20:07:00"/>
    <d v="1899-12-30T16:00:00"/>
    <s v=" "/>
    <s v=" "/>
    <s v=" "/>
    <s v=" "/>
    <s v=" "/>
    <s v=" "/>
    <s v=" "/>
    <s v=" "/>
    <s v=" "/>
    <s v="Ativo"/>
    <x v="2"/>
    <x v="8"/>
    <x v="66"/>
  </r>
  <r>
    <n v="129877"/>
    <x v="239"/>
    <s v="Diretoria Seminovos"/>
    <x v="8"/>
    <s v="LJRJB - Loja Seminovos RJ Avenida Brasil"/>
    <s v="MARLON CESAR RIBEIRO DE LIMA"/>
    <s v="NEGATIVO"/>
    <d v="1899-12-30T03:34:00"/>
    <d v="1899-12-30T03:34:00"/>
    <d v="1899-12-30T00:00:00"/>
    <s v=" "/>
    <s v=" "/>
    <d v="1899-12-30T03:34:00"/>
    <s v=" "/>
    <s v=" "/>
    <s v=" "/>
    <s v=" "/>
    <s v=" "/>
    <s v=" "/>
    <s v=" "/>
    <s v=" "/>
    <s v=" "/>
    <s v="Ativo"/>
    <x v="6"/>
    <x v="8"/>
    <x v="65"/>
  </r>
  <r>
    <n v="131250"/>
    <x v="240"/>
    <s v="Diretoria Seminovos"/>
    <x v="8"/>
    <s v="LJUPB - Loja Seminovos Up Town Barra"/>
    <s v="THIAGO HENRIQUE MELO FERREIRA"/>
    <s v="NEGATIVO"/>
    <d v="1900-01-03T00:13:00"/>
    <d v="1900-01-03T00:13:00"/>
    <d v="1899-12-30T00:00:00"/>
    <s v=" "/>
    <d v="1899-12-30T06:41:00"/>
    <d v="1900-01-02T05:56:00"/>
    <d v="1899-12-30T07:01:00"/>
    <s v=" "/>
    <s v=" "/>
    <s v=" "/>
    <s v=" "/>
    <s v=" "/>
    <s v=" "/>
    <s v=" "/>
    <s v=" "/>
    <s v="Ativo"/>
    <x v="2"/>
    <x v="8"/>
    <x v="67"/>
  </r>
  <r>
    <n v="119427"/>
    <x v="241"/>
    <s v="Diretoria Seminovos"/>
    <x v="8"/>
    <s v="LJRIO - Loja Seminovos Rio de Janeiro"/>
    <s v="LEONARDO MATOS MOURA CAMPOS"/>
    <s v="NEGATIVO"/>
    <d v="1899-12-30T07:04:00"/>
    <d v="1899-12-30T07:04:00"/>
    <d v="1899-12-30T00:00:00"/>
    <s v=" "/>
    <s v=" "/>
    <d v="1899-12-30T03:04:00"/>
    <d v="1899-12-30T04:00:00"/>
    <s v=" "/>
    <s v=" "/>
    <s v=" "/>
    <s v=" "/>
    <s v=" "/>
    <s v=" "/>
    <s v=" "/>
    <s v=" "/>
    <s v="Contrato de Trabalho Suspenso"/>
    <x v="2"/>
    <x v="8"/>
    <x v="68"/>
  </r>
  <r>
    <n v="500513"/>
    <x v="242"/>
    <s v="Diretoria Seminovos"/>
    <x v="8"/>
    <s v="LJBAR - Loja Seminovos Barra da Tijuca"/>
    <s v="GUSTAVO DE ALMEIDA STUTZEL"/>
    <s v="NEGATIVO"/>
    <d v="1900-01-02T12:33:00"/>
    <d v="1900-01-02T12:33:00"/>
    <d v="1899-12-30T00:00:00"/>
    <s v=" "/>
    <d v="1900-01-01T18:24:00"/>
    <d v="1899-12-30T12:32:00"/>
    <d v="1899-12-30T05:08:00"/>
    <s v=" "/>
    <s v=" "/>
    <s v=" "/>
    <s v=" "/>
    <s v=" "/>
    <s v=" "/>
    <s v=" "/>
    <s v=" "/>
    <s v="Ativo"/>
    <x v="2"/>
    <x v="8"/>
    <x v="69"/>
  </r>
  <r>
    <n v="501933"/>
    <x v="243"/>
    <s v="Diretoria Seminovos"/>
    <x v="8"/>
    <s v="LJDUQ - Loja Seminovos Duque de Caxias"/>
    <s v="OTAVIO BARREIRA DE ARAUJO SOUSA"/>
    <s v="NEGATIVO"/>
    <d v="1899-12-30T21:45:00"/>
    <d v="1899-12-30T21:45:00"/>
    <d v="1899-12-30T00:00:00"/>
    <d v="1899-12-30T08:00:00"/>
    <d v="1899-12-30T06:32:00"/>
    <d v="1899-12-30T08:00:00"/>
    <s v=" "/>
    <s v=" "/>
    <s v=" "/>
    <s v=" "/>
    <s v=" "/>
    <s v=" "/>
    <s v=" "/>
    <s v=" "/>
    <s v=" "/>
    <s v="Ativo"/>
    <x v="2"/>
    <x v="8"/>
    <x v="70"/>
  </r>
  <r>
    <n v="500893"/>
    <x v="244"/>
    <s v="Diretoria Seminovos"/>
    <x v="8"/>
    <s v="LJDUQ - Loja Seminovos Duque de Caxias"/>
    <s v="OTAVIO BARREIRA DE ARAUJO SOUSA"/>
    <s v="NEGATIVO"/>
    <d v="1899-12-30T16:03:00"/>
    <d v="1899-12-30T16:03:00"/>
    <d v="1899-12-30T00:00:00"/>
    <s v=" "/>
    <d v="1899-12-30T04:00:00"/>
    <d v="1899-12-30T07:21:00"/>
    <s v=" "/>
    <s v=" "/>
    <s v=" "/>
    <s v=" "/>
    <s v=" "/>
    <s v=" "/>
    <s v=" "/>
    <s v=" "/>
    <s v=" "/>
    <s v="Ativo"/>
    <x v="6"/>
    <x v="8"/>
    <x v="70"/>
  </r>
  <r>
    <n v="130857"/>
    <x v="245"/>
    <s v="Diretoria Seminovos"/>
    <x v="8"/>
    <s v="LJBAR - Loja Seminovos Barra da Tijuca"/>
    <s v="GUSTAVO DE ALMEIDA STUTZEL"/>
    <s v="NEGATIVO"/>
    <d v="1900-01-02T09:36:00"/>
    <d v="1900-01-02T09:36:00"/>
    <d v="1899-12-30T00:00:00"/>
    <s v=" "/>
    <d v="1900-01-01T13:54:00"/>
    <d v="1899-12-30T13:12:00"/>
    <d v="1899-12-30T03:39:00"/>
    <s v=" "/>
    <s v=" "/>
    <s v=" "/>
    <s v=" "/>
    <s v=" "/>
    <s v=" "/>
    <s v=" "/>
    <s v=" "/>
    <s v="Ativo"/>
    <x v="2"/>
    <x v="8"/>
    <x v="69"/>
  </r>
  <r>
    <n v="137160"/>
    <x v="246"/>
    <s v="Diretoria Seminovos"/>
    <x v="8"/>
    <s v="LJROS - Loja Seminovos  Rio das Ostras"/>
    <s v="STEFANO ZELAYA CORREIA"/>
    <s v="NEGATIVO"/>
    <d v="1899-12-30T03:54:00"/>
    <d v="1899-12-30T03:54:00"/>
    <d v="1899-12-30T00:00:00"/>
    <s v=" "/>
    <s v=" "/>
    <d v="1899-12-30T02:37:00"/>
    <d v="1899-12-30T01:17:00"/>
    <s v=" "/>
    <s v=" "/>
    <s v=" "/>
    <s v=" "/>
    <s v=" "/>
    <s v=" "/>
    <s v=" "/>
    <s v=" "/>
    <s v="Ativo"/>
    <x v="2"/>
    <x v="8"/>
    <x v="71"/>
  </r>
  <r>
    <n v="130808"/>
    <x v="247"/>
    <s v="Diretoria Seminovos"/>
    <x v="8"/>
    <s v="LJPTS -  Loja Seminovos Petrópolis"/>
    <s v="ANA PAULA DOS SANTOS BATISTA"/>
    <s v="NEGATIVO"/>
    <d v="1899-12-30T10:07:00"/>
    <d v="1899-12-30T10:07:00"/>
    <d v="1899-12-30T00:00:00"/>
    <s v=" "/>
    <s v=" "/>
    <d v="1899-12-30T06:10:00"/>
    <s v=" "/>
    <s v=" "/>
    <s v=" "/>
    <s v=" "/>
    <s v=" "/>
    <s v=" "/>
    <s v=" "/>
    <s v=" "/>
    <s v=" "/>
    <s v="Ativo"/>
    <x v="2"/>
    <x v="8"/>
    <x v="72"/>
  </r>
  <r>
    <n v="132856"/>
    <x v="248"/>
    <s v="Diretoria Seminovos"/>
    <x v="8"/>
    <s v="LJNIT - Loja Seminovos Niterói"/>
    <s v="FELIPE REIS BARGIELA"/>
    <s v="NEGATIVO"/>
    <d v="1899-12-30T07:19:00"/>
    <d v="1899-12-30T07:19:00"/>
    <d v="1899-12-30T00:00:00"/>
    <s v=" "/>
    <s v=" "/>
    <d v="1899-12-30T00:05:00"/>
    <d v="1899-12-30T13:12:00"/>
    <s v=" "/>
    <s v=" "/>
    <s v=" "/>
    <s v=" "/>
    <s v=" "/>
    <s v=" "/>
    <s v=" "/>
    <s v=" "/>
    <s v="Ativo"/>
    <x v="7"/>
    <x v="8"/>
    <x v="73"/>
  </r>
  <r>
    <n v="123399"/>
    <x v="249"/>
    <s v="Diretoria Seminovos"/>
    <x v="8"/>
    <s v="LJNIG - Loja Seminovos Nova Iguaçu"/>
    <s v="TABAJARA ALVARO MENDONCA ALVARES"/>
    <s v="NEGATIVO"/>
    <d v="1899-12-31T23:35:00"/>
    <d v="1899-12-31T23:35:00"/>
    <d v="1899-12-30T00:00:00"/>
    <s v=" "/>
    <d v="1900-01-01T02:18:00"/>
    <d v="1899-12-30T03:52:00"/>
    <d v="1899-12-30T00:17:00"/>
    <s v=" "/>
    <s v=" "/>
    <s v=" "/>
    <s v=" "/>
    <s v=" "/>
    <s v=" "/>
    <s v=" "/>
    <s v=" "/>
    <s v="Ativo"/>
    <x v="2"/>
    <x v="8"/>
    <x v="66"/>
  </r>
  <r>
    <n v="136004"/>
    <x v="250"/>
    <s v="Diretoria Seminovos"/>
    <x v="8"/>
    <s v="LJUPB - Loja Seminovos Up Town Barra"/>
    <s v="THIAGO HENRIQUE MELO FERREIRA"/>
    <s v="NEGATIVO"/>
    <d v="1900-01-02T07:45:00"/>
    <d v="1900-01-02T07:45:00"/>
    <d v="1899-12-30T00:00:00"/>
    <s v=" "/>
    <d v="1899-12-31T15:54:00"/>
    <d v="1899-12-31T15:51:00"/>
    <s v=" "/>
    <s v=" "/>
    <s v=" "/>
    <s v=" "/>
    <s v=" "/>
    <s v=" "/>
    <s v=" "/>
    <s v=" "/>
    <s v=" "/>
    <s v="Contrato de Trabalho Suspenso"/>
    <x v="2"/>
    <x v="8"/>
    <x v="67"/>
  </r>
  <r>
    <n v="503078"/>
    <x v="251"/>
    <s v="Diretoria Seminovos"/>
    <x v="8"/>
    <s v="LJNIG - Vendas Varejo Seminovos Nova Iguaçu"/>
    <s v="TABAJARA ALVARO MENDONCA ALVARES"/>
    <s v="NEGATIVO"/>
    <d v="1899-12-30T10:39:00"/>
    <d v="1899-12-30T10:39:00"/>
    <d v="1899-12-30T00:00:00"/>
    <s v=" "/>
    <s v=" "/>
    <s v=" "/>
    <d v="1899-12-30T04:32:00"/>
    <s v=" "/>
    <s v=" "/>
    <s v=" "/>
    <s v=" "/>
    <s v=" "/>
    <s v=" "/>
    <s v=" "/>
    <s v=" "/>
    <s v="Ativo"/>
    <x v="3"/>
    <x v="8"/>
    <x v="66"/>
  </r>
  <r>
    <n v="133500"/>
    <x v="252"/>
    <s v="Diretoria Seminovos"/>
    <x v="8"/>
    <s v="LJRJB - Loja Seminovos RJ Avenida Brasil"/>
    <s v="MARLON CESAR RIBEIRO DE LIMA"/>
    <s v="NEGATIVO"/>
    <d v="1900-01-16T19:09:00"/>
    <d v="1900-01-16T19:09:00"/>
    <d v="1899-12-30T00:00:00"/>
    <s v=" "/>
    <d v="1900-01-08T09:48:00"/>
    <d v="1900-01-07T09:21:00"/>
    <s v=" "/>
    <s v=" "/>
    <s v=" "/>
    <s v=" "/>
    <s v=" "/>
    <s v=" "/>
    <s v=" "/>
    <s v=" "/>
    <s v=" "/>
    <s v="Ativo"/>
    <x v="2"/>
    <x v="8"/>
    <x v="65"/>
  </r>
  <r>
    <n v="124380"/>
    <x v="253"/>
    <s v="Diretoria Seminovos"/>
    <x v="8"/>
    <s v="LJNIT - Vendas Varejo Seminovos Niterói"/>
    <s v="FELIPE REIS BARGIELA"/>
    <s v="NEGATIVO"/>
    <d v="1899-12-30T06:46:00"/>
    <d v="1899-12-30T06:46:00"/>
    <d v="1899-12-30T00:00:00"/>
    <s v=" "/>
    <s v=" "/>
    <s v=" "/>
    <d v="1899-12-30T00:12:00"/>
    <s v=" "/>
    <s v=" "/>
    <s v=" "/>
    <s v=" "/>
    <s v=" "/>
    <s v=" "/>
    <s v=" "/>
    <s v=" "/>
    <s v="Ativo"/>
    <x v="3"/>
    <x v="8"/>
    <x v="73"/>
  </r>
  <r>
    <n v="120151"/>
    <x v="254"/>
    <s v="Diretoria Seminovos"/>
    <x v="8"/>
    <s v="LJNIT - Loja Seminovos Niterói"/>
    <s v="FELIPE REIS BARGIELA"/>
    <s v="NEGATIVO"/>
    <d v="1899-12-30T00:57:00"/>
    <d v="1899-12-30T00:57:00"/>
    <d v="1899-12-30T00:00:00"/>
    <s v=" "/>
    <s v=" "/>
    <s v=" "/>
    <d v="1899-12-30T01:03:00"/>
    <s v=" "/>
    <s v=" "/>
    <s v=" "/>
    <s v=" "/>
    <s v=" "/>
    <s v=" "/>
    <s v=" "/>
    <s v=" "/>
    <s v="Ativo"/>
    <x v="2"/>
    <x v="8"/>
    <x v="73"/>
  </r>
  <r>
    <n v="132012"/>
    <x v="255"/>
    <s v="Diretoria Seminovos"/>
    <x v="8"/>
    <s v="LJBAR - Loja Seminovos Barra da Tijuca"/>
    <s v="GUSTAVO DE ALMEIDA STUTZEL"/>
    <s v="NEGATIVO"/>
    <d v="1900-01-01T19:29:00"/>
    <d v="1900-01-01T19:29:00"/>
    <d v="1899-12-30T00:00:00"/>
    <s v=" "/>
    <d v="1900-01-01T13:19:00"/>
    <d v="1899-12-30T06:10:00"/>
    <s v=" "/>
    <s v=" "/>
    <s v=" "/>
    <s v=" "/>
    <s v=" "/>
    <s v=" "/>
    <s v=" "/>
    <s v=" "/>
    <s v=" "/>
    <s v="Contrato de Trabalho Suspenso"/>
    <x v="2"/>
    <x v="8"/>
    <x v="69"/>
  </r>
  <r>
    <n v="125545"/>
    <x v="256"/>
    <s v="Diretoria Seminovos"/>
    <x v="8"/>
    <s v="LJNIT - Loja Seminovos Niterói"/>
    <s v="FELIPE REIS BARGIELA"/>
    <s v="NEGATIVO"/>
    <d v="1899-12-30T07:58:00"/>
    <d v="1899-12-30T07:58:00"/>
    <d v="1899-12-30T00:00:00"/>
    <s v=" "/>
    <s v=" "/>
    <d v="1899-12-30T10:54:00"/>
    <s v=" "/>
    <s v=" "/>
    <s v=" "/>
    <s v=" "/>
    <s v=" "/>
    <s v=" "/>
    <s v=" "/>
    <s v=" "/>
    <s v=" "/>
    <s v="Ativo"/>
    <x v="2"/>
    <x v="8"/>
    <x v="73"/>
  </r>
  <r>
    <n v="135236"/>
    <x v="257"/>
    <s v="Diretoria Seminovos"/>
    <x v="8"/>
    <s v="LJITD - Loja Seminovos Intendente"/>
    <s v="MARCIO PEREIRA NASCIMENTO FILHO"/>
    <s v="NEGATIVO"/>
    <d v="1899-12-30T03:51:00"/>
    <d v="1899-12-30T03:51:00"/>
    <d v="1899-12-30T00:00:00"/>
    <s v=" "/>
    <s v=" "/>
    <d v="1899-12-30T03:58:00"/>
    <d v="1899-12-30T00:54:00"/>
    <s v=" "/>
    <s v=" "/>
    <s v=" "/>
    <s v=" "/>
    <s v=" "/>
    <s v=" "/>
    <s v=" "/>
    <s v=" "/>
    <s v="Ativo"/>
    <x v="2"/>
    <x v="8"/>
    <x v="74"/>
  </r>
  <r>
    <n v="117689"/>
    <x v="258"/>
    <s v="Diretoria Seminovos"/>
    <x v="8"/>
    <s v="LJITD - Loja Seminovos Intendente"/>
    <s v="MARCIO PEREIRA NASCIMENTO FILHO"/>
    <s v="NEGATIVO"/>
    <d v="1899-12-30T11:42:00"/>
    <d v="1899-12-30T11:42:00"/>
    <d v="1899-12-30T00:00:00"/>
    <d v="1899-12-30T10:08:00"/>
    <d v="1899-12-30T01:34:00"/>
    <s v=" "/>
    <s v=" "/>
    <s v=" "/>
    <s v=" "/>
    <s v=" "/>
    <s v=" "/>
    <s v=" "/>
    <s v=" "/>
    <s v=" "/>
    <s v=" "/>
    <s v="Ativo"/>
    <x v="6"/>
    <x v="8"/>
    <x v="74"/>
  </r>
  <r>
    <n v="133057"/>
    <x v="259"/>
    <s v="Diretoria Seminovos"/>
    <x v="8"/>
    <s v="LJRJB - Loja Seminovos RJ Avenida Brasil"/>
    <s v="MARLON CESAR RIBEIRO DE LIMA"/>
    <s v="NEGATIVO"/>
    <d v="1900-01-04T09:38:00"/>
    <d v="1900-01-04T09:38:00"/>
    <d v="1899-12-30T00:00:00"/>
    <d v="1900-01-01T03:37:00"/>
    <d v="1899-12-30T12:45:00"/>
    <d v="1900-01-01T17:16:00"/>
    <s v=" "/>
    <s v=" "/>
    <s v=" "/>
    <s v=" "/>
    <s v=" "/>
    <s v=" "/>
    <s v=" "/>
    <s v=" "/>
    <s v=" "/>
    <s v="Licença Mater."/>
    <x v="7"/>
    <x v="8"/>
    <x v="65"/>
  </r>
  <r>
    <n v="136529"/>
    <x v="260"/>
    <s v="Diretoria Seminovos"/>
    <x v="8"/>
    <s v="LJITD - Loja Seminovos Intendente"/>
    <s v="MARCIO PEREIRA NASCIMENTO FILHO"/>
    <s v="NEGATIVO"/>
    <d v="1899-12-30T09:10:00"/>
    <d v="1899-12-30T09:10:00"/>
    <d v="1899-12-30T00:00:00"/>
    <d v="1899-12-30T04:19:00"/>
    <s v=" "/>
    <d v="1899-12-30T02:37:00"/>
    <d v="1899-12-30T02:11:00"/>
    <s v=" "/>
    <s v=" "/>
    <s v=" "/>
    <s v=" "/>
    <s v=" "/>
    <s v=" "/>
    <s v=" "/>
    <s v=" "/>
    <s v="Ativo"/>
    <x v="2"/>
    <x v="8"/>
    <x v="74"/>
  </r>
  <r>
    <n v="132918"/>
    <x v="261"/>
    <s v="Diretoria Seminovos"/>
    <x v="8"/>
    <s v="LJDUQ - Vendas Varejo Seminovos Duque de Caxias"/>
    <s v="OTAVIO BARREIRA DE ARAUJO SOUSA"/>
    <s v="NEGATIVO"/>
    <d v="1899-12-30T15:57:00"/>
    <d v="1899-12-30T15:57:00"/>
    <d v="1899-12-30T00:00:00"/>
    <s v=" "/>
    <d v="1899-12-30T06:45:00"/>
    <d v="1899-12-30T09:05:00"/>
    <s v=" "/>
    <s v=" "/>
    <s v=" "/>
    <s v=" "/>
    <s v=" "/>
    <s v=" "/>
    <s v=" "/>
    <s v=" "/>
    <s v=" "/>
    <s v="Ativo"/>
    <x v="3"/>
    <x v="8"/>
    <x v="70"/>
  </r>
  <r>
    <n v="130742"/>
    <x v="262"/>
    <s v="Diretoria Seminovos"/>
    <x v="8"/>
    <s v="LJUPB - Vendas Varejo Seminovos Up Town Barra"/>
    <s v="THIAGO HENRIQUE MELO FERREIRA"/>
    <s v="NEGATIVO"/>
    <d v="1900-01-11T17:12:00"/>
    <d v="1900-01-11T17:12:00"/>
    <d v="1899-12-30T00:00:00"/>
    <s v=" "/>
    <d v="1900-01-06T16:35:00"/>
    <d v="1900-01-03T22:16:00"/>
    <s v=" "/>
    <s v=" "/>
    <s v=" "/>
    <s v=" "/>
    <s v=" "/>
    <s v=" "/>
    <s v=" "/>
    <s v=" "/>
    <s v=" "/>
    <s v="Ativo"/>
    <x v="3"/>
    <x v="8"/>
    <x v="67"/>
  </r>
  <r>
    <n v="503617"/>
    <x v="263"/>
    <s v="Diretoria Seminovos"/>
    <x v="8"/>
    <s v="LJDUQ - Vendas Varejo Seminovos Duque de Caxias"/>
    <s v="OTAVIO BARREIRA DE ARAUJO SOUSA"/>
    <s v="NEGATIVO"/>
    <d v="1899-12-30T11:21:00"/>
    <d v="1899-12-30T11:21:00"/>
    <d v="1899-12-30T00:00:00"/>
    <d v="1899-12-30T04:09:00"/>
    <s v=" "/>
    <d v="1899-12-30T07:12:00"/>
    <s v=" "/>
    <s v=" "/>
    <s v=" "/>
    <s v=" "/>
    <s v=" "/>
    <s v=" "/>
    <s v=" "/>
    <s v=" "/>
    <s v=" "/>
    <s v="Ativo"/>
    <x v="3"/>
    <x v="8"/>
    <x v="70"/>
  </r>
  <r>
    <n v="133269"/>
    <x v="264"/>
    <s v="Diretoria Seminovos"/>
    <x v="8"/>
    <s v="LJCGD - Vendas Varejo Seminovos Campo Grande Rj"/>
    <s v="FABIO PINTO PEREZ"/>
    <s v="NEGATIVO"/>
    <d v="1899-12-30T00:12:00"/>
    <d v="1899-12-30T00:12:00"/>
    <d v="1899-12-30T00:00:00"/>
    <s v=" "/>
    <s v=" "/>
    <d v="1899-12-30T00:12:00"/>
    <s v=" "/>
    <s v=" "/>
    <s v=" "/>
    <s v=" "/>
    <s v=" "/>
    <s v=" "/>
    <s v=" "/>
    <s v=" "/>
    <s v=" "/>
    <s v="Contrato de Trabalho Suspenso"/>
    <x v="3"/>
    <x v="8"/>
    <x v="75"/>
  </r>
  <r>
    <n v="132830"/>
    <x v="265"/>
    <s v="Diretoria Seminovos"/>
    <x v="8"/>
    <s v="LJRJB - Vendas Varejo Seminovos RJ Avenida Brasil"/>
    <s v="MARLON CESAR RIBEIRO DE LIMA"/>
    <s v="NEGATIVO"/>
    <d v="1899-12-30T05:09:00"/>
    <d v="1899-12-30T05:09:00"/>
    <d v="1899-12-30T00:00:00"/>
    <s v=" "/>
    <s v=" "/>
    <d v="1899-12-30T05:09:00"/>
    <s v=" "/>
    <s v=" "/>
    <s v=" "/>
    <s v=" "/>
    <s v=" "/>
    <s v=" "/>
    <s v=" "/>
    <s v=" "/>
    <s v=" "/>
    <s v="Ativo"/>
    <x v="3"/>
    <x v="8"/>
    <x v="65"/>
  </r>
  <r>
    <n v="502078"/>
    <x v="266"/>
    <s v="Diretoria Seminovos"/>
    <x v="8"/>
    <s v="LJNIT - Vendas Varejo Seminovos Niterói"/>
    <s v="FELIPE REIS BARGIELA"/>
    <s v="NEGATIVO"/>
    <d v="1899-12-30T06:31:00"/>
    <d v="1899-12-30T06:31:00"/>
    <d v="1899-12-30T00:00:00"/>
    <s v=" "/>
    <s v=" "/>
    <d v="1899-12-30T07:27:00"/>
    <d v="1899-12-30T07:12:00"/>
    <s v=" "/>
    <s v=" "/>
    <s v=" "/>
    <s v=" "/>
    <s v=" "/>
    <s v=" "/>
    <s v=" "/>
    <s v=" "/>
    <s v="Ativo"/>
    <x v="3"/>
    <x v="8"/>
    <x v="73"/>
  </r>
  <r>
    <n v="135982"/>
    <x v="267"/>
    <s v="Diretoria Seminovos"/>
    <x v="8"/>
    <s v="LJROS - Vendas Varejo Seminovos Rio das Ostras"/>
    <s v="STEFANO ZELAYA CORREIA"/>
    <s v="NEGATIVO"/>
    <d v="1899-12-30T03:54:00"/>
    <d v="1899-12-30T03:54:00"/>
    <d v="1899-12-30T00:00:00"/>
    <s v=" "/>
    <s v=" "/>
    <d v="1899-12-30T01:18:00"/>
    <d v="1899-12-30T02:36:00"/>
    <s v=" "/>
    <s v=" "/>
    <s v=" "/>
    <s v=" "/>
    <s v=" "/>
    <s v=" "/>
    <s v=" "/>
    <s v=" "/>
    <s v="Ativo"/>
    <x v="3"/>
    <x v="8"/>
    <x v="71"/>
  </r>
  <r>
    <n v="124228"/>
    <x v="268"/>
    <s v="Diretoria Seminovos"/>
    <x v="8"/>
    <s v="LJRJB - Vendas Varejo Seminovos RJ Avenida Brasil"/>
    <s v="MARLON CESAR RIBEIRO DE LIMA"/>
    <s v="NEGATIVO"/>
    <d v="1899-12-30T01:08:00"/>
    <d v="1899-12-30T01:08:00"/>
    <d v="1899-12-30T00:00:00"/>
    <s v=" "/>
    <d v="1899-12-30T00:51:00"/>
    <d v="1899-12-30T00:17:00"/>
    <s v=" "/>
    <s v=" "/>
    <s v=" "/>
    <s v=" "/>
    <s v=" "/>
    <s v=" "/>
    <s v=" "/>
    <s v=" "/>
    <s v=" "/>
    <s v="Ativo"/>
    <x v="3"/>
    <x v="8"/>
    <x v="65"/>
  </r>
  <r>
    <n v="125192"/>
    <x v="269"/>
    <s v="Diretoria Seminovos"/>
    <x v="8"/>
    <s v="LJITG - Vendas Varejo Seminovos Itaguai"/>
    <s v="ANA PAULA DOS SANTOS BATISTA"/>
    <s v="NEGATIVO"/>
    <d v="1900-01-01T19:20:00"/>
    <d v="1900-01-01T19:20:00"/>
    <d v="1899-12-30T00:00:00"/>
    <s v=" "/>
    <d v="1899-12-31T11:16:00"/>
    <d v="1899-12-31T10:22:00"/>
    <d v="1899-12-30T05:15:00"/>
    <s v=" "/>
    <s v=" "/>
    <s v=" "/>
    <s v=" "/>
    <s v=" "/>
    <s v=" "/>
    <s v=" "/>
    <s v=" "/>
    <s v="Ativo"/>
    <x v="3"/>
    <x v="8"/>
    <x v="76"/>
  </r>
  <r>
    <n v="131226"/>
    <x v="270"/>
    <s v="Diretoria Seminovos"/>
    <x v="8"/>
    <s v="LJDUQ - Vendas Varejo Seminovos Duque de Caxias"/>
    <s v="OTAVIO BARREIRA DE ARAUJO SOUSA"/>
    <s v="NEGATIVO"/>
    <d v="1899-12-30T22:22:00"/>
    <d v="1899-12-30T22:22:00"/>
    <d v="1899-12-30T00:00:00"/>
    <s v=" "/>
    <d v="1899-12-30T09:56:00"/>
    <d v="1899-12-30T12:26:00"/>
    <s v=" "/>
    <s v=" "/>
    <s v=" "/>
    <s v=" "/>
    <s v=" "/>
    <s v=" "/>
    <s v=" "/>
    <s v=" "/>
    <s v=" "/>
    <s v="Contrato de Trabalho Suspenso"/>
    <x v="3"/>
    <x v="8"/>
    <x v="70"/>
  </r>
  <r>
    <n v="122842"/>
    <x v="271"/>
    <s v="Diretoria Seminovos"/>
    <x v="8"/>
    <s v="LJRJB - Vendas Varejo Seminovos RJ Avenida Brasil"/>
    <s v="MARLON CESAR RIBEIRO DE LIMA"/>
    <s v="NEGATIVO"/>
    <d v="1900-01-09T11:32:00"/>
    <d v="1900-01-09T11:32:00"/>
    <d v="1899-12-30T00:00:00"/>
    <s v=" "/>
    <d v="1900-01-01T18:24:00"/>
    <d v="1900-01-06T17:08:00"/>
    <s v=" "/>
    <s v=" "/>
    <s v=" "/>
    <s v=" "/>
    <s v=" "/>
    <s v=" "/>
    <s v=" "/>
    <s v=" "/>
    <s v=" "/>
    <s v="Contrato de Trabalho Suspenso"/>
    <x v="3"/>
    <x v="8"/>
    <x v="65"/>
  </r>
  <r>
    <n v="135803"/>
    <x v="272"/>
    <s v="Diretoria Seminovos"/>
    <x v="8"/>
    <s v="LJRIO - Vendas Varejo Seminovos Rio de Janeiro"/>
    <s v="LEONARDO MATOS MOURA CAMPOS"/>
    <s v="NEGATIVO"/>
    <d v="1899-12-30T02:24:00"/>
    <d v="1899-12-30T02:24:00"/>
    <d v="1899-12-30T00:00:00"/>
    <s v=" "/>
    <s v=" "/>
    <d v="1899-12-30T00:41:00"/>
    <s v=" "/>
    <s v=" "/>
    <s v=" "/>
    <s v=" "/>
    <s v=" "/>
    <s v=" "/>
    <s v=" "/>
    <s v=" "/>
    <s v=" "/>
    <s v="Ativo"/>
    <x v="3"/>
    <x v="8"/>
    <x v="68"/>
  </r>
  <r>
    <n v="130584"/>
    <x v="273"/>
    <s v="Diretoria Seminovos"/>
    <x v="8"/>
    <s v="LJNIT - Loja Seminovos Niterói"/>
    <s v="FELIPE REIS BARGIELA"/>
    <s v="NEGATIVO"/>
    <d v="1899-12-30T04:42:00"/>
    <d v="1899-12-30T04:42:00"/>
    <d v="1899-12-30T00:00:00"/>
    <s v=" "/>
    <s v=" "/>
    <s v=" "/>
    <s v=" "/>
    <s v=" "/>
    <s v=" "/>
    <s v=" "/>
    <s v=" "/>
    <s v=" "/>
    <s v=" "/>
    <s v=" "/>
    <s v=" "/>
    <s v="Ativo"/>
    <x v="6"/>
    <x v="8"/>
    <x v="73"/>
  </r>
  <r>
    <n v="124160"/>
    <x v="274"/>
    <s v="Diretoria Seminovos"/>
    <x v="8"/>
    <s v="LJNIG - Vendas Varejo Seminovos Nova Iguaçu"/>
    <s v="TABAJARA ALVARO MENDONCA ALVARES"/>
    <s v="NEGATIVO"/>
    <d v="1899-12-30T01:36:00"/>
    <d v="1899-12-30T01:36:00"/>
    <d v="1899-12-30T00:00:00"/>
    <d v="1899-12-30T11:36:00"/>
    <s v=" "/>
    <d v="1899-12-30T07:12:00"/>
    <s v=" "/>
    <s v=" "/>
    <s v=" "/>
    <s v=" "/>
    <s v=" "/>
    <s v=" "/>
    <s v=" "/>
    <s v=" "/>
    <s v=" "/>
    <s v="Ativo"/>
    <x v="3"/>
    <x v="8"/>
    <x v="66"/>
  </r>
  <r>
    <n v="133564"/>
    <x v="275"/>
    <s v="Diretoria Seminovos"/>
    <x v="8"/>
    <s v="LJITG - Vendas Varejo Seminovos Itaguai"/>
    <s v="ANA PAULA DOS SANTOS BATISTA"/>
    <s v="NEGATIVO"/>
    <d v="1899-12-30T02:45:00"/>
    <d v="1899-12-30T02:45:00"/>
    <d v="1899-12-30T00:00:00"/>
    <s v=" "/>
    <s v=" "/>
    <s v=" "/>
    <d v="1899-12-30T04:26:00"/>
    <s v=" "/>
    <s v=" "/>
    <s v=" "/>
    <s v=" "/>
    <s v=" "/>
    <s v=" "/>
    <s v=" "/>
    <s v=" "/>
    <s v="Ativo"/>
    <x v="3"/>
    <x v="8"/>
    <x v="76"/>
  </r>
  <r>
    <n v="136168"/>
    <x v="276"/>
    <s v="Diretoria Seminovos"/>
    <x v="8"/>
    <s v="LJROS - Vendas Varejo Seminovos Rio das Ostras"/>
    <s v="STEFANO ZELAYA CORREIA"/>
    <s v="NEGATIVO"/>
    <d v="1899-12-31T13:31:00"/>
    <d v="1899-12-31T13:31:00"/>
    <d v="1899-12-30T00:00:00"/>
    <s v=" "/>
    <s v=" "/>
    <d v="1899-12-31T12:13:00"/>
    <d v="1899-12-30T01:18:00"/>
    <s v=" "/>
    <s v=" "/>
    <s v=" "/>
    <s v=" "/>
    <s v=" "/>
    <s v=" "/>
    <s v=" "/>
    <s v=" "/>
    <s v="Ativo"/>
    <x v="3"/>
    <x v="8"/>
    <x v="71"/>
  </r>
  <r>
    <n v="114135"/>
    <x v="277"/>
    <s v="Diretoria Seminovos"/>
    <x v="8"/>
    <s v="LJRJB - Vendas Varejo Seminovos RJ Avenida Brasil"/>
    <s v="MARLON CESAR RIBEIRO DE LIMA"/>
    <s v="NEGATIVO"/>
    <d v="1899-12-30T18:55:00"/>
    <d v="1899-12-30T18:55:00"/>
    <d v="1899-12-30T00:00:00"/>
    <s v=" "/>
    <s v=" "/>
    <d v="1899-12-30T18:55:00"/>
    <s v=" "/>
    <s v=" "/>
    <s v=" "/>
    <s v=" "/>
    <s v=" "/>
    <s v=" "/>
    <s v=" "/>
    <s v=" "/>
    <s v=" "/>
    <s v="Ativo"/>
    <x v="3"/>
    <x v="8"/>
    <x v="65"/>
  </r>
  <r>
    <n v="135983"/>
    <x v="278"/>
    <s v="Diretoria Seminovos"/>
    <x v="8"/>
    <s v="LJROS - Vendas Varejo Seminovos Rio das Ostras"/>
    <s v="STEFANO ZELAYA CORREIA"/>
    <s v="NEGATIVO"/>
    <d v="1899-12-31T14:03:00"/>
    <d v="1899-12-31T14:03:00"/>
    <d v="1899-12-30T00:00:00"/>
    <s v=" "/>
    <s v=" "/>
    <d v="1899-12-31T04:16:00"/>
    <d v="1899-12-30T09:47:00"/>
    <s v=" "/>
    <s v=" "/>
    <s v=" "/>
    <s v=" "/>
    <s v=" "/>
    <s v=" "/>
    <s v=" "/>
    <s v=" "/>
    <s v="Ativo"/>
    <x v="3"/>
    <x v="8"/>
    <x v="71"/>
  </r>
  <r>
    <n v="130861"/>
    <x v="279"/>
    <s v="Diretoria Seminovos"/>
    <x v="8"/>
    <s v="LJUPB - Vendas Varejo Seminovos Up Town Barra"/>
    <s v="THIAGO HENRIQUE MELO FERREIRA"/>
    <s v="NEGATIVO"/>
    <d v="1899-12-30T07:30:00"/>
    <d v="1899-12-30T07:30:00"/>
    <d v="1899-12-30T00:00:00"/>
    <s v=" "/>
    <s v=" "/>
    <s v=" "/>
    <d v="1899-12-30T04:50:00"/>
    <s v=" "/>
    <s v=" "/>
    <s v=" "/>
    <s v=" "/>
    <s v=" "/>
    <s v=" "/>
    <s v=" "/>
    <s v=" "/>
    <s v="Ativo"/>
    <x v="3"/>
    <x v="8"/>
    <x v="67"/>
  </r>
  <r>
    <n v="503332"/>
    <x v="280"/>
    <s v="Diretoria Seminovos"/>
    <x v="8"/>
    <s v="LJITD - Vendas Varejo Seminovos Intendente"/>
    <s v="MARCIO PEREIRA NASCIMENTO FILHO"/>
    <s v="NEGATIVO"/>
    <d v="1899-12-30T03:49:00"/>
    <d v="1899-12-30T03:49:00"/>
    <d v="1899-12-30T00:00:00"/>
    <s v=" "/>
    <s v=" "/>
    <d v="1899-12-30T04:21:00"/>
    <d v="1899-12-30T07:15:00"/>
    <s v=" "/>
    <s v=" "/>
    <s v=" "/>
    <s v=" "/>
    <s v=" "/>
    <s v=" "/>
    <s v=" "/>
    <s v=" "/>
    <s v="Ativo"/>
    <x v="3"/>
    <x v="8"/>
    <x v="74"/>
  </r>
  <r>
    <n v="130859"/>
    <x v="281"/>
    <s v="Diretoria Seminovos"/>
    <x v="8"/>
    <s v="LJUPB - Vendas Varejo Seminovos Up Town Barra"/>
    <s v="THIAGO HENRIQUE MELO FERREIRA"/>
    <s v="NEGATIVO"/>
    <d v="1900-01-12T00:23:00"/>
    <d v="1900-01-12T00:23:00"/>
    <d v="1899-12-30T00:00:00"/>
    <s v=" "/>
    <d v="1900-01-07T08:48:00"/>
    <d v="1900-01-03T15:35:00"/>
    <s v=" "/>
    <s v=" "/>
    <s v=" "/>
    <s v=" "/>
    <s v=" "/>
    <s v=" "/>
    <s v=" "/>
    <s v=" "/>
    <s v=" "/>
    <s v="Ativo"/>
    <x v="3"/>
    <x v="8"/>
    <x v="67"/>
  </r>
  <r>
    <n v="132238"/>
    <x v="282"/>
    <s v="Diretoria Seminovos"/>
    <x v="8"/>
    <s v="LJUPB - Vendas Varejo Seminovos Up Town Barra"/>
    <s v="THIAGO HENRIQUE MELO FERREIRA"/>
    <s v="NEGATIVO"/>
    <d v="1900-01-09T08:50:00"/>
    <d v="1900-01-09T08:50:00"/>
    <d v="1899-12-30T00:00:00"/>
    <s v=" "/>
    <s v=" "/>
    <s v=" "/>
    <s v=" "/>
    <d v="1900-01-08T14:20:00"/>
    <d v="1899-12-30T18:30:00"/>
    <s v=" "/>
    <s v=" "/>
    <s v=" "/>
    <s v=" "/>
    <s v=" "/>
    <s v=" "/>
    <s v="Contrato de Trabalho Suspenso"/>
    <x v="3"/>
    <x v="8"/>
    <x v="67"/>
  </r>
  <r>
    <n v="502898"/>
    <x v="283"/>
    <s v="Diretoria Seminovos"/>
    <x v="8"/>
    <s v="LJCGD - Vendas Varejo Seminovos Campo Grande Rj"/>
    <s v="FABIO PINTO PEREZ"/>
    <s v="NEGATIVO"/>
    <d v="1899-12-31T12:38:00"/>
    <d v="1899-12-31T12:38:00"/>
    <d v="1899-12-30T00:00:00"/>
    <s v=" "/>
    <s v=" "/>
    <s v=" "/>
    <d v="1899-12-30T11:15:00"/>
    <s v=" "/>
    <s v=" "/>
    <s v=" "/>
    <s v=" "/>
    <s v=" "/>
    <s v=" "/>
    <s v=" "/>
    <s v=" "/>
    <s v="Ativo"/>
    <x v="3"/>
    <x v="8"/>
    <x v="75"/>
  </r>
  <r>
    <n v="125194"/>
    <x v="284"/>
    <s v="Diretoria Seminovos"/>
    <x v="8"/>
    <s v="LJITG - Vendas Varejo Seminovos Itaguai"/>
    <s v="ANA PAULA DOS SANTOS BATISTA"/>
    <s v="NEGATIVO"/>
    <d v="1899-12-31T23:50:00"/>
    <d v="1899-12-31T23:50:00"/>
    <d v="1899-12-30T00:00:00"/>
    <d v="1899-12-30T05:57:00"/>
    <d v="1899-12-30T02:23:00"/>
    <d v="1899-12-31T00:50:00"/>
    <d v="1899-12-30T14:06:00"/>
    <s v=" "/>
    <s v=" "/>
    <s v=" "/>
    <s v=" "/>
    <s v=" "/>
    <s v=" "/>
    <s v=" "/>
    <s v=" "/>
    <s v="Ativo"/>
    <x v="3"/>
    <x v="8"/>
    <x v="76"/>
  </r>
  <r>
    <n v="130374"/>
    <x v="285"/>
    <s v="Diretoria Seminovos"/>
    <x v="8"/>
    <s v="LJDUQ - Vendas Varejo Seminovos Duque de Caxias"/>
    <s v="OTAVIO BARREIRA DE ARAUJO SOUSA"/>
    <s v="NEGATIVO"/>
    <d v="1899-12-30T23:22:00"/>
    <d v="1899-12-30T23:22:00"/>
    <d v="1899-12-30T00:00:00"/>
    <d v="1899-12-30T14:56:00"/>
    <s v=" "/>
    <d v="1899-12-30T07:12:00"/>
    <s v=" "/>
    <s v=" "/>
    <s v=" "/>
    <s v=" "/>
    <s v=" "/>
    <s v=" "/>
    <s v=" "/>
    <s v=" "/>
    <s v=" "/>
    <s v="Ativo"/>
    <x v="3"/>
    <x v="8"/>
    <x v="70"/>
  </r>
  <r>
    <n v="136514"/>
    <x v="286"/>
    <s v="Diretoria Seminovos"/>
    <x v="8"/>
    <s v="LJRJB - Vendas Varejo Seminovos RJ Avenida Brasil"/>
    <s v="MARLON CESAR RIBEIRO DE LIMA"/>
    <s v="NEGATIVO"/>
    <d v="1899-12-30T19:47:00"/>
    <d v="1899-12-30T19:47:00"/>
    <d v="1899-12-30T00:00:00"/>
    <s v=" "/>
    <d v="1899-12-30T10:53:00"/>
    <d v="1899-12-30T08:54:00"/>
    <s v=" "/>
    <s v=" "/>
    <s v=" "/>
    <s v=" "/>
    <s v=" "/>
    <s v=" "/>
    <s v=" "/>
    <s v=" "/>
    <s v=" "/>
    <s v="Ativo"/>
    <x v="3"/>
    <x v="8"/>
    <x v="65"/>
  </r>
  <r>
    <n v="122847"/>
    <x v="287"/>
    <s v="Diretoria Seminovos"/>
    <x v="8"/>
    <s v="LJRJB - Vendas Varejo Seminovos RJ Avenida Brasil"/>
    <s v="MARLON CESAR RIBEIRO DE LIMA"/>
    <s v="NEGATIVO"/>
    <d v="1899-12-30T02:01:00"/>
    <d v="1899-12-30T02:01:00"/>
    <d v="1899-12-30T00:00:00"/>
    <s v=" "/>
    <s v=" "/>
    <d v="1899-12-30T02:01:00"/>
    <s v=" "/>
    <s v=" "/>
    <s v=" "/>
    <s v=" "/>
    <s v=" "/>
    <s v=" "/>
    <s v=" "/>
    <s v=" "/>
    <s v=" "/>
    <s v="Ativo"/>
    <x v="3"/>
    <x v="8"/>
    <x v="65"/>
  </r>
  <r>
    <n v="134611"/>
    <x v="288"/>
    <s v="Diretoria Seminovos"/>
    <x v="8"/>
    <s v="LJDUQ - Vendas Varejo Seminovos Duque de Caxias"/>
    <s v="OTAVIO BARREIRA DE ARAUJO SOUSA"/>
    <s v="NEGATIVO"/>
    <d v="1899-12-30T04:42:00"/>
    <d v="1899-12-30T04:42:00"/>
    <d v="1899-12-30T00:00:00"/>
    <s v=" "/>
    <s v=" "/>
    <d v="1899-12-30T07:29:00"/>
    <s v=" "/>
    <s v=" "/>
    <s v=" "/>
    <s v=" "/>
    <s v=" "/>
    <s v=" "/>
    <s v=" "/>
    <s v=" "/>
    <s v=" "/>
    <s v="Ativo"/>
    <x v="3"/>
    <x v="8"/>
    <x v="70"/>
  </r>
  <r>
    <n v="500294"/>
    <x v="289"/>
    <s v="Diretoria Seminovos"/>
    <x v="9"/>
    <s v="LJSAO - Loja Seminovos São Paulo"/>
    <s v="MARCOS ELISEU JAHRMANN"/>
    <s v="NEGATIVO"/>
    <d v="1899-12-31T21:32:00"/>
    <d v="1899-12-31T21:32:00"/>
    <d v="1899-12-30T00:00:00"/>
    <s v=" "/>
    <s v=" "/>
    <s v=" "/>
    <s v=" "/>
    <s v=" "/>
    <s v=" "/>
    <s v=" "/>
    <s v=" "/>
    <d v="1899-12-30T03:02:00"/>
    <d v="1899-12-31T16:37:00"/>
    <d v="1899-12-30T01:53:00"/>
    <s v=" "/>
    <s v="Contrato de Trabalho Suspenso"/>
    <x v="2"/>
    <x v="9"/>
    <x v="77"/>
  </r>
  <r>
    <n v="120809"/>
    <x v="290"/>
    <s v="Diretoria Seminovos"/>
    <x v="9"/>
    <s v="LJSPP - Loja Seminovos Penha"/>
    <s v="FERNANDO CARDOSO DA SILVA FILHO"/>
    <s v="NEGATIVO"/>
    <d v="1899-12-30T11:32:00"/>
    <d v="1899-12-30T11:32:00"/>
    <d v="1899-12-30T00:00:00"/>
    <s v=" "/>
    <s v=" "/>
    <s v=" "/>
    <s v=" "/>
    <s v=" "/>
    <s v=" "/>
    <d v="1899-12-30T01:00:00"/>
    <s v=" "/>
    <d v="1899-12-30T10:32:00"/>
    <s v=" "/>
    <s v=" "/>
    <s v=" "/>
    <s v="Ativo"/>
    <x v="6"/>
    <x v="9"/>
    <x v="78"/>
  </r>
  <r>
    <n v="124554"/>
    <x v="291"/>
    <s v="Diretoria Seminovos"/>
    <x v="9"/>
    <s v="LJSPP - Loja Seminovos Penha"/>
    <s v="FERNANDO CARDOSO DA SILVA FILHO"/>
    <s v="NEGATIVO"/>
    <d v="1899-12-30T15:00:00"/>
    <d v="1899-12-30T15:00:00"/>
    <d v="1899-12-30T00:00:00"/>
    <s v=" "/>
    <s v=" "/>
    <s v=" "/>
    <s v=" "/>
    <s v=" "/>
    <s v=" "/>
    <s v=" "/>
    <s v=" "/>
    <s v=" "/>
    <s v=" "/>
    <s v=" "/>
    <d v="1899-12-30T15:00:00"/>
    <s v="Ativo"/>
    <x v="6"/>
    <x v="9"/>
    <x v="78"/>
  </r>
  <r>
    <n v="133747"/>
    <x v="292"/>
    <s v="Diretoria Seminovos"/>
    <x v="9"/>
    <s v="LJENC - Loja Seminovos Nova Engenheiro Caetano Alvares"/>
    <s v="LUCIANO ANTONIALLI"/>
    <s v="NEGATIVO"/>
    <d v="1899-12-30T12:44:00"/>
    <d v="1899-12-30T12:44:00"/>
    <d v="1899-12-30T00:00:00"/>
    <s v=" "/>
    <s v=" "/>
    <s v=" "/>
    <s v=" "/>
    <s v=" "/>
    <s v=" "/>
    <s v=" "/>
    <s v=" "/>
    <s v=" "/>
    <s v=" "/>
    <d v="1899-12-30T04:23:00"/>
    <d v="1899-12-30T09:58:00"/>
    <s v="Ativo"/>
    <x v="6"/>
    <x v="9"/>
    <x v="79"/>
  </r>
  <r>
    <n v="134669"/>
    <x v="293"/>
    <s v="Diretoria Seminovos"/>
    <x v="9"/>
    <s v="LJNAU - Loja Seminovos Nações Unidas"/>
    <s v="DANIEL RODRIGUES CARDOZO DOS SANTOS JUNIOR"/>
    <s v="NEGATIVO"/>
    <d v="1899-12-30T04:52:00"/>
    <d v="1899-12-30T04:52:00"/>
    <d v="1899-12-30T00:00:00"/>
    <s v=" "/>
    <s v=" "/>
    <s v=" "/>
    <s v=" "/>
    <s v=" "/>
    <s v=" "/>
    <s v=" "/>
    <d v="1899-12-30T00:52:00"/>
    <d v="1899-12-30T04:00:00"/>
    <s v=" "/>
    <s v=" "/>
    <s v=" "/>
    <s v="Ativo"/>
    <x v="6"/>
    <x v="9"/>
    <x v="80"/>
  </r>
  <r>
    <n v="129948"/>
    <x v="294"/>
    <s v="Diretoria Seminovos"/>
    <x v="9"/>
    <s v="LJSPP - Loja Seminovos Penha"/>
    <s v="FERNANDO CARDOSO DA SILVA FILHO"/>
    <s v="NEGATIVO"/>
    <d v="1900-01-07T15:34:00"/>
    <d v="1900-01-07T15:34:00"/>
    <d v="1899-12-30T00:00:00"/>
    <s v=" "/>
    <s v=" "/>
    <s v=" "/>
    <s v=" "/>
    <s v=" "/>
    <s v=" "/>
    <s v=" "/>
    <s v=" "/>
    <d v="1899-12-30T04:09:00"/>
    <d v="1900-01-03T10:37:00"/>
    <d v="1900-01-02T07:12:00"/>
    <d v="1899-12-30T17:36:00"/>
    <s v="Ativo"/>
    <x v="2"/>
    <x v="9"/>
    <x v="78"/>
  </r>
  <r>
    <n v="121964"/>
    <x v="295"/>
    <s v="Diretoria Seminovos"/>
    <x v="9"/>
    <s v="LJNAU - Loja Seminovos Nações Unidas"/>
    <s v="DANIEL RODRIGUES CARDOZO DOS SANTOS JUNIOR"/>
    <s v="NEGATIVO"/>
    <d v="1899-12-30T13:45:00"/>
    <d v="1899-12-30T13:45:00"/>
    <d v="1899-12-30T00:00:00"/>
    <s v=" "/>
    <s v=" "/>
    <s v=" "/>
    <s v=" "/>
    <s v=" "/>
    <s v=" "/>
    <s v=" "/>
    <s v=" "/>
    <d v="1899-12-30T05:45:00"/>
    <d v="1899-12-30T08:00:00"/>
    <s v=" "/>
    <s v=" "/>
    <s v="Ativo"/>
    <x v="2"/>
    <x v="9"/>
    <x v="80"/>
  </r>
  <r>
    <n v="133032"/>
    <x v="296"/>
    <s v="Diretoria Seminovos"/>
    <x v="9"/>
    <s v="LJNAU - Loja Seminovos Nações Unidas"/>
    <s v="DANIEL RODRIGUES CARDOZO DOS SANTOS JUNIOR"/>
    <s v="NEGATIVO"/>
    <d v="1899-12-30T00:35:00"/>
    <d v="1899-12-30T00:35:00"/>
    <d v="1899-12-30T00:00:00"/>
    <s v=" "/>
    <s v=" "/>
    <s v=" "/>
    <s v=" "/>
    <s v=" "/>
    <s v=" "/>
    <s v=" "/>
    <s v=" "/>
    <d v="1899-12-30T00:35:00"/>
    <s v=" "/>
    <s v=" "/>
    <s v=" "/>
    <s v="Ativo"/>
    <x v="7"/>
    <x v="9"/>
    <x v="80"/>
  </r>
  <r>
    <n v="129718"/>
    <x v="297"/>
    <s v="Diretoria Seminovos"/>
    <x v="9"/>
    <s v="LJPRI - Loja Seminovos Prime"/>
    <s v="LUCIANO ANTONIALLI"/>
    <s v="NEGATIVO"/>
    <d v="1900-01-08T05:05:00"/>
    <d v="1900-01-08T05:05:00"/>
    <d v="1899-12-30T00:00:00"/>
    <s v=" "/>
    <s v=" "/>
    <s v=" "/>
    <s v=" "/>
    <s v=" "/>
    <s v=" "/>
    <s v=" "/>
    <s v=" "/>
    <d v="1899-12-30T15:39:00"/>
    <d v="1899-12-30T08:00:00"/>
    <d v="1900-01-07T00:00:00"/>
    <d v="1899-12-30T05:26:00"/>
    <s v="Ativo"/>
    <x v="2"/>
    <x v="9"/>
    <x v="81"/>
  </r>
  <r>
    <n v="135800"/>
    <x v="298"/>
    <s v="Diretoria Seminovos"/>
    <x v="9"/>
    <s v="LJLEP - Loja Seminovos Vila Leopoldina"/>
    <s v="RENIVALDO GONCALVES DO NASCIMENTO"/>
    <s v="NEGATIVO"/>
    <d v="1899-12-30T10:06:00"/>
    <d v="1899-12-30T10:06:00"/>
    <d v="1899-12-30T00:00:00"/>
    <s v=" "/>
    <s v=" "/>
    <s v=" "/>
    <s v=" "/>
    <s v=" "/>
    <s v=" "/>
    <s v=" "/>
    <s v=" "/>
    <s v=" "/>
    <d v="1899-12-30T10:06:00"/>
    <s v=" "/>
    <s v=" "/>
    <s v="Ativo"/>
    <x v="2"/>
    <x v="9"/>
    <x v="82"/>
  </r>
  <r>
    <n v="134640"/>
    <x v="299"/>
    <s v="Diretoria Seminovos"/>
    <x v="9"/>
    <s v="LJNAU - Loja Seminovos Nações Unidas"/>
    <s v="DANIEL RODRIGUES CARDOZO DOS SANTOS JUNIOR"/>
    <s v="NEGATIVO"/>
    <d v="1899-12-30T09:35:00"/>
    <d v="1899-12-30T09:35:00"/>
    <d v="1899-12-30T00:00:00"/>
    <s v=" "/>
    <s v=" "/>
    <s v=" "/>
    <s v=" "/>
    <s v=" "/>
    <s v=" "/>
    <s v=" "/>
    <s v=" "/>
    <d v="1899-12-30T01:35:00"/>
    <d v="1899-12-30T08:00:00"/>
    <s v=" "/>
    <s v=" "/>
    <s v="Ativo"/>
    <x v="2"/>
    <x v="9"/>
    <x v="80"/>
  </r>
  <r>
    <n v="130573"/>
    <x v="300"/>
    <s v="Diretoria Seminovos"/>
    <x v="9"/>
    <s v="LJCTN - Loja Seminovos Center Norte"/>
    <s v="MARCOS CAZARINI"/>
    <s v="NEGATIVO"/>
    <d v="1899-12-30T16:00:00"/>
    <d v="1899-12-30T16:00:00"/>
    <d v="1899-12-30T00:00:00"/>
    <s v=" "/>
    <s v=" "/>
    <s v=" "/>
    <s v=" "/>
    <s v=" "/>
    <s v=" "/>
    <s v=" "/>
    <s v=" "/>
    <s v=" "/>
    <s v=" "/>
    <d v="1899-12-30T16:00:00"/>
    <s v=" "/>
    <s v="Ativo"/>
    <x v="2"/>
    <x v="9"/>
    <x v="83"/>
  </r>
  <r>
    <n v="132954"/>
    <x v="301"/>
    <s v="Diretoria Seminovos"/>
    <x v="9"/>
    <s v="LJCTN - Loja Seminovos Center Norte"/>
    <s v="MARCOS CAZARINI"/>
    <s v="NEGATIVO"/>
    <d v="1900-01-01T04:13:00"/>
    <d v="1900-01-01T04:13:00"/>
    <d v="1899-12-30T00:00:00"/>
    <s v=" "/>
    <s v=" "/>
    <s v=" "/>
    <s v=" "/>
    <s v=" "/>
    <s v=" "/>
    <s v=" "/>
    <d v="1900-01-01T03:49:00"/>
    <s v=" "/>
    <s v=" "/>
    <s v=" "/>
    <d v="1899-12-30T00:24:00"/>
    <s v="Ativo"/>
    <x v="7"/>
    <x v="9"/>
    <x v="83"/>
  </r>
  <r>
    <n v="130838"/>
    <x v="302"/>
    <s v="Diretoria Seminovos"/>
    <x v="9"/>
    <s v="LJCTN - Loja Seminovos Center Norte"/>
    <s v="MARCOS CAZARINI"/>
    <s v="NEGATIVO"/>
    <d v="1899-12-31T06:46:00"/>
    <d v="1899-12-31T06:46:00"/>
    <d v="1899-12-30T00:00:00"/>
    <s v=" "/>
    <s v=" "/>
    <s v=" "/>
    <s v=" "/>
    <s v=" "/>
    <s v=" "/>
    <s v=" "/>
    <s v=" "/>
    <d v="1899-12-30T06:46:00"/>
    <d v="1899-12-30T08:00:00"/>
    <d v="1899-12-30T16:00:00"/>
    <s v=" "/>
    <s v="Ativo"/>
    <x v="2"/>
    <x v="9"/>
    <x v="83"/>
  </r>
  <r>
    <n v="502582"/>
    <x v="303"/>
    <s v="Diretoria Seminovos"/>
    <x v="9"/>
    <s v="LJSAM - Loja Seminovos Santo Amaro"/>
    <s v="RENIVALDO GONCALVES DO NASCIMENTO"/>
    <s v="NEGATIVO"/>
    <d v="1899-12-30T15:40:00"/>
    <d v="1899-12-30T15:40:00"/>
    <d v="1899-12-30T00:00:00"/>
    <s v=" "/>
    <s v=" "/>
    <s v=" "/>
    <s v=" "/>
    <s v=" "/>
    <s v=" "/>
    <s v=" "/>
    <s v=" "/>
    <s v=" "/>
    <s v=" "/>
    <d v="1899-12-30T04:53:00"/>
    <d v="1899-12-30T11:57:00"/>
    <s v="Ativo"/>
    <x v="2"/>
    <x v="9"/>
    <x v="84"/>
  </r>
  <r>
    <n v="120568"/>
    <x v="304"/>
    <s v="Diretoria Seminovos"/>
    <x v="9"/>
    <s v="LJSAO - Loja Seminovos São Paulo"/>
    <s v="MARCOS ELISEU JAHRMANN"/>
    <s v="NEGATIVO"/>
    <d v="1899-12-31T16:26:00"/>
    <d v="1899-12-31T16:26:00"/>
    <d v="1899-12-30T00:00:00"/>
    <s v=" "/>
    <s v=" "/>
    <s v=" "/>
    <s v=" "/>
    <s v=" "/>
    <s v=" "/>
    <s v=" "/>
    <s v=" "/>
    <s v=" "/>
    <d v="1899-12-31T05:23:00"/>
    <d v="1899-12-30T12:20:00"/>
    <d v="1899-12-30T00:59:00"/>
    <s v="Ativo"/>
    <x v="2"/>
    <x v="9"/>
    <x v="77"/>
  </r>
  <r>
    <n v="129319"/>
    <x v="305"/>
    <s v="Diretoria Seminovos"/>
    <x v="9"/>
    <s v="LJRJF - Loja Seminovos Ricardo Jafet"/>
    <s v="GUILHERME COIMBRA GUIMARAES"/>
    <s v="NEGATIVO"/>
    <d v="1900-01-03T04:53:00"/>
    <d v="1900-01-03T04:53:00"/>
    <d v="1899-12-30T00:00:00"/>
    <s v=" "/>
    <s v=" "/>
    <s v=" "/>
    <s v=" "/>
    <s v=" "/>
    <s v=" "/>
    <s v=" "/>
    <s v=" "/>
    <s v=" "/>
    <d v="1899-12-31T10:15:00"/>
    <d v="1900-01-01T08:45:00"/>
    <d v="1899-12-30T07:26:00"/>
    <s v="Ativo"/>
    <x v="2"/>
    <x v="9"/>
    <x v="85"/>
  </r>
  <r>
    <n v="500746"/>
    <x v="306"/>
    <s v="Diretoria Seminovos"/>
    <x v="9"/>
    <s v="LJLPA - Loja Seminovos Lapa"/>
    <s v="BRUNO SILVEIRA KAESER"/>
    <s v="NEGATIVO"/>
    <d v="1900-01-11T00:06:00"/>
    <d v="1900-01-11T00:06:00"/>
    <d v="1899-12-30T00:00:00"/>
    <s v=" "/>
    <s v=" "/>
    <s v=" "/>
    <s v=" "/>
    <s v=" "/>
    <s v=" "/>
    <s v=" "/>
    <s v=" "/>
    <s v=" "/>
    <d v="1900-01-02T17:44:00"/>
    <d v="1900-01-07T05:50:00"/>
    <d v="1899-12-30T00:32:00"/>
    <s v="Ativo"/>
    <x v="2"/>
    <x v="9"/>
    <x v="86"/>
  </r>
  <r>
    <n v="132284"/>
    <x v="307"/>
    <s v="Diretoria Seminovos"/>
    <x v="9"/>
    <s v="LJSPP - Loja Seminovos Penha"/>
    <s v="FERNANDO CARDOSO DA SILVA FILHO"/>
    <s v="NEGATIVO"/>
    <d v="1900-01-04T05:27:00"/>
    <d v="1900-01-04T05:27:00"/>
    <d v="1899-12-30T00:00:00"/>
    <s v=" "/>
    <s v=" "/>
    <s v=" "/>
    <s v=" "/>
    <s v=" "/>
    <s v=" "/>
    <s v=" "/>
    <s v=" "/>
    <d v="1899-12-30T01:14:00"/>
    <d v="1900-01-03T19:25:00"/>
    <d v="1899-12-30T08:48:00"/>
    <s v=" "/>
    <s v="Contrato de Trabalho Suspenso"/>
    <x v="2"/>
    <x v="9"/>
    <x v="78"/>
  </r>
  <r>
    <n v="133466"/>
    <x v="308"/>
    <s v="Diretoria Seminovos"/>
    <x v="9"/>
    <s v="LJSPP - Loja Seminovos Penha"/>
    <s v="FERNANDO CARDOSO DA SILVA FILHO"/>
    <s v="NEGATIVO"/>
    <d v="1900-01-01T06:26:00"/>
    <d v="1900-01-01T06:26:00"/>
    <d v="1899-12-30T00:00:00"/>
    <s v=" "/>
    <s v=" "/>
    <s v=" "/>
    <d v="1899-12-30T02:35:00"/>
    <d v="1899-12-30T10:36:00"/>
    <d v="1899-12-30T00:13:00"/>
    <d v="1899-12-30T04:32:00"/>
    <d v="1899-12-30T17:36:00"/>
    <d v="1899-12-30T18:54:00"/>
    <s v=" "/>
    <s v=" "/>
    <s v=" "/>
    <s v="Ativo"/>
    <x v="7"/>
    <x v="9"/>
    <x v="78"/>
  </r>
  <r>
    <n v="133618"/>
    <x v="309"/>
    <s v="Diretoria Seminovos"/>
    <x v="9"/>
    <s v="LJSPN - Vendas Varejo Seminovos Vila Guilherme"/>
    <s v="ALAN GUARNIERI NUNES"/>
    <s v="NEGATIVO"/>
    <d v="1899-12-30T04:20:00"/>
    <d v="1899-12-30T04:20:00"/>
    <d v="1899-12-30T00:00:00"/>
    <s v=" "/>
    <s v=" "/>
    <s v=" "/>
    <s v=" "/>
    <s v=" "/>
    <s v=" "/>
    <s v=" "/>
    <s v=" "/>
    <s v=" "/>
    <s v=" "/>
    <d v="1899-12-30T02:07:00"/>
    <d v="1899-12-30T05:02:00"/>
    <s v="Ativo"/>
    <x v="3"/>
    <x v="9"/>
    <x v="87"/>
  </r>
  <r>
    <n v="124977"/>
    <x v="310"/>
    <s v="Diretoria Seminovos"/>
    <x v="9"/>
    <s v="LJLEP - Loja Seminovos Vila Leopoldina"/>
    <s v="RENIVALDO GONCALVES DO NASCIMENTO"/>
    <s v="NEGATIVO"/>
    <d v="1899-12-30T02:37:00"/>
    <d v="1899-12-30T02:37:00"/>
    <d v="1899-12-30T00:00:00"/>
    <s v=" "/>
    <s v=" "/>
    <s v=" "/>
    <s v=" "/>
    <s v=" "/>
    <s v=" "/>
    <s v=" "/>
    <s v=" "/>
    <s v=" "/>
    <d v="1899-12-30T02:37:00"/>
    <s v=" "/>
    <s v=" "/>
    <s v="Contrato de Trabalho Suspenso"/>
    <x v="2"/>
    <x v="9"/>
    <x v="82"/>
  </r>
  <r>
    <n v="122479"/>
    <x v="311"/>
    <s v="Diretoria Seminovos"/>
    <x v="9"/>
    <s v="LJSCM - Loja Seminovos Shopping Cidade Morumbi Sp"/>
    <s v="JOAO FELIPE DE BARROS BICUDO"/>
    <s v="NEGATIVO"/>
    <d v="1900-01-14T09:36:00"/>
    <d v="1900-01-14T09:36:00"/>
    <d v="1899-12-30T00:00:00"/>
    <s v=" "/>
    <s v=" "/>
    <s v=" "/>
    <s v=" "/>
    <s v=" "/>
    <s v=" "/>
    <s v=" "/>
    <s v=" "/>
    <s v=" "/>
    <d v="1900-01-06T08:00:00"/>
    <d v="1900-01-07T01:36:00"/>
    <s v=" "/>
    <s v="Ativo"/>
    <x v="2"/>
    <x v="9"/>
    <x v="88"/>
  </r>
  <r>
    <n v="500680"/>
    <x v="312"/>
    <s v="Diretoria Seminovos"/>
    <x v="9"/>
    <s v="LJLPA - Loja Seminovos Lapa"/>
    <s v="BRUNO SILVEIRA KAESER"/>
    <s v="NEGATIVO"/>
    <d v="1899-12-31T00:28:00"/>
    <d v="1899-12-31T00:28:00"/>
    <d v="1899-12-30T00:00:00"/>
    <s v=" "/>
    <s v=" "/>
    <s v=" "/>
    <s v=" "/>
    <s v=" "/>
    <s v=" "/>
    <s v=" "/>
    <s v=" "/>
    <d v="1899-12-30T20:51:00"/>
    <s v=" "/>
    <s v=" "/>
    <d v="1899-12-30T03:37:00"/>
    <s v="Ativo"/>
    <x v="6"/>
    <x v="9"/>
    <x v="86"/>
  </r>
  <r>
    <n v="129986"/>
    <x v="313"/>
    <s v="Diretoria Seminovos"/>
    <x v="9"/>
    <s v="LJSAO - Vendas Varejo Seminovos São Paulo"/>
    <s v="MARCOS ELISEU JAHRMANN"/>
    <s v="NEGATIVO"/>
    <d v="1899-12-30T00:04:00"/>
    <d v="1899-12-30T00:04:00"/>
    <d v="1899-12-30T00:00:00"/>
    <s v=" "/>
    <s v=" "/>
    <s v=" "/>
    <s v=" "/>
    <s v=" "/>
    <s v=" "/>
    <s v=" "/>
    <s v=" "/>
    <s v=" "/>
    <s v=" "/>
    <s v=" "/>
    <d v="1899-12-30T00:54:00"/>
    <s v="Ativo"/>
    <x v="3"/>
    <x v="9"/>
    <x v="77"/>
  </r>
  <r>
    <n v="503532"/>
    <x v="314"/>
    <s v="Diretoria Seminovos"/>
    <x v="9"/>
    <s v="LJSPP - Vendas Varejo Seminovos Penha"/>
    <s v="FERNANDO CARDOSO DA SILVA FILHO"/>
    <s v="NEGATIVO"/>
    <d v="1899-12-30T01:19:00"/>
    <d v="1899-12-30T01:19:00"/>
    <d v="1899-12-30T00:00:00"/>
    <s v=" "/>
    <s v=" "/>
    <s v=" "/>
    <s v=" "/>
    <s v=" "/>
    <s v=" "/>
    <s v=" "/>
    <s v=" "/>
    <s v=" "/>
    <s v=" "/>
    <s v=" "/>
    <d v="1899-12-30T00:39:00"/>
    <s v="Ativo"/>
    <x v="3"/>
    <x v="9"/>
    <x v="78"/>
  </r>
  <r>
    <n v="122004"/>
    <x v="315"/>
    <s v="Diretoria Seminovos"/>
    <x v="9"/>
    <s v="LJLPA - Loja Seminovos Lapa"/>
    <s v="BRUNO SILVEIRA KAESER"/>
    <s v="NEGATIVO"/>
    <d v="1900-01-02T05:17:00"/>
    <d v="1900-01-02T05:17:00"/>
    <d v="1899-12-30T00:00:00"/>
    <s v=" "/>
    <s v=" "/>
    <s v=" "/>
    <s v=" "/>
    <s v=" "/>
    <s v=" "/>
    <s v=" "/>
    <s v=" "/>
    <s v=" "/>
    <d v="1900-01-02T05:17:00"/>
    <s v=" "/>
    <s v=" "/>
    <s v="Ativo"/>
    <x v="2"/>
    <x v="9"/>
    <x v="86"/>
  </r>
  <r>
    <n v="130026"/>
    <x v="316"/>
    <s v="Diretoria Seminovos"/>
    <x v="9"/>
    <s v="LJSMT - Loja Seminovos São Mateus"/>
    <s v="EDERSON TRAMA"/>
    <s v="NEGATIVO"/>
    <d v="1899-12-30T08:48:00"/>
    <d v="1899-12-30T08:48:00"/>
    <d v="1899-12-30T00:00:00"/>
    <s v=" "/>
    <s v=" "/>
    <s v=" "/>
    <s v=" "/>
    <s v=" "/>
    <s v=" "/>
    <s v=" "/>
    <s v=" "/>
    <s v=" "/>
    <d v="1899-12-30T08:48:00"/>
    <s v=" "/>
    <s v=" "/>
    <s v="Ativo"/>
    <x v="2"/>
    <x v="9"/>
    <x v="89"/>
  </r>
  <r>
    <n v="135865"/>
    <x v="317"/>
    <s v="Diretoria Seminovos"/>
    <x v="9"/>
    <s v="LJNAU - Loja Seminovos Nações Unidas"/>
    <s v="DANIEL RODRIGUES CARDOZO DOS SANTOS JUNIOR"/>
    <s v="NEGATIVO"/>
    <d v="1899-12-30T08:00:00"/>
    <d v="1899-12-30T08:00:00"/>
    <d v="1899-12-30T00:00:00"/>
    <s v=" "/>
    <s v=" "/>
    <s v=" "/>
    <s v=" "/>
    <s v=" "/>
    <s v=" "/>
    <s v=" "/>
    <s v=" "/>
    <s v=" "/>
    <d v="1899-12-30T08:00:00"/>
    <s v=" "/>
    <s v=" "/>
    <s v="Ativo"/>
    <x v="2"/>
    <x v="9"/>
    <x v="80"/>
  </r>
  <r>
    <n v="502909"/>
    <x v="318"/>
    <s v="Diretoria Seminovos"/>
    <x v="9"/>
    <s v="LJSPN - Loja Seminovos Vila Guilherme"/>
    <s v="ALAN GUARNIERI NUNES"/>
    <s v="NEGATIVO"/>
    <d v="1899-12-30T03:13:00"/>
    <d v="1899-12-30T03:13:00"/>
    <d v="1899-12-30T00:00:00"/>
    <s v=" "/>
    <s v=" "/>
    <s v=" "/>
    <s v=" "/>
    <s v=" "/>
    <s v=" "/>
    <s v=" "/>
    <s v=" "/>
    <d v="1899-12-30T02:20:00"/>
    <d v="1899-12-30T00:53:00"/>
    <s v=" "/>
    <s v=" "/>
    <s v="Contrato de Trabalho Suspenso"/>
    <x v="2"/>
    <x v="9"/>
    <x v="87"/>
  </r>
  <r>
    <n v="122592"/>
    <x v="319"/>
    <s v="Diretoria Seminovos"/>
    <x v="9"/>
    <s v="LJSPN - Loja Seminovos Vila Guilherme"/>
    <s v="ALAN GUARNIERI NUNES"/>
    <s v="NEGATIVO"/>
    <d v="1900-01-07T01:05:00"/>
    <d v="1900-01-07T01:05:00"/>
    <d v="1899-12-30T00:00:00"/>
    <s v=" "/>
    <s v=" "/>
    <s v=" "/>
    <s v=" "/>
    <s v=" "/>
    <d v="1900-01-01T00:41:00"/>
    <d v="1899-12-31T13:37:00"/>
    <d v="1900-01-01T14:47:00"/>
    <d v="1899-12-31T20:00:00"/>
    <s v=" "/>
    <s v=" "/>
    <s v=" "/>
    <s v="Ativo"/>
    <x v="7"/>
    <x v="9"/>
    <x v="87"/>
  </r>
  <r>
    <n v="502398"/>
    <x v="320"/>
    <s v="Diretoria Seminovos"/>
    <x v="9"/>
    <s v="LJNAU - Loja Seminovos Nações Unidas"/>
    <s v="DANIEL RODRIGUES CARDOZO DOS SANTOS JUNIOR"/>
    <s v="NEGATIVO"/>
    <d v="1899-12-30T10:53:00"/>
    <d v="1899-12-30T10:53:00"/>
    <d v="1899-12-30T00:00:00"/>
    <s v=" "/>
    <s v=" "/>
    <s v=" "/>
    <s v=" "/>
    <s v=" "/>
    <s v=" "/>
    <s v=" "/>
    <s v=" "/>
    <d v="1899-12-30T02:53:00"/>
    <s v=" "/>
    <s v=" "/>
    <s v=" "/>
    <s v="Ativo"/>
    <x v="6"/>
    <x v="9"/>
    <x v="80"/>
  </r>
  <r>
    <n v="120996"/>
    <x v="321"/>
    <s v="Diretoria Seminovos"/>
    <x v="9"/>
    <s v="LJSPP - Loja Seminovos Penha"/>
    <s v="FERNANDO CARDOSO DA SILVA FILHO"/>
    <s v="NEGATIVO"/>
    <d v="1900-01-04T08:00:00"/>
    <d v="1900-01-04T08:00:00"/>
    <d v="1899-12-30T00:00:00"/>
    <s v=" "/>
    <s v=" "/>
    <s v=" "/>
    <s v=" "/>
    <s v=" "/>
    <s v=" "/>
    <s v=" "/>
    <s v=" "/>
    <s v=" "/>
    <d v="1900-01-02T08:00:00"/>
    <d v="1899-12-31T00:00:00"/>
    <d v="1899-12-31T00:00:00"/>
    <s v="Ativo"/>
    <x v="2"/>
    <x v="9"/>
    <x v="78"/>
  </r>
  <r>
    <n v="121865"/>
    <x v="322"/>
    <s v="Diretoria Seminovos"/>
    <x v="9"/>
    <s v="LJSPS - Loja Seminovos Francisco Morato"/>
    <s v="SAMUEL SATOSHI SANTOS SUZUKI"/>
    <s v="NEGATIVO"/>
    <d v="1899-12-30T08:01:00"/>
    <d v="1899-12-30T08:01:00"/>
    <d v="1899-12-30T00:00:00"/>
    <s v=" "/>
    <s v=" "/>
    <s v=" "/>
    <s v=" "/>
    <s v=" "/>
    <s v=" "/>
    <s v=" "/>
    <s v=" "/>
    <s v=" "/>
    <s v=" "/>
    <d v="1899-12-30T04:01:00"/>
    <d v="1899-12-30T04:00:00"/>
    <s v="Contrato de Trabalho Suspenso"/>
    <x v="2"/>
    <x v="9"/>
    <x v="90"/>
  </r>
  <r>
    <n v="503398"/>
    <x v="323"/>
    <s v="Diretoria Seminovos"/>
    <x v="9"/>
    <s v="LJSAO - Administração Seminovos São Paulo"/>
    <s v="MARCELA ATAIDE MUNIZ"/>
    <s v="NEGATIVO"/>
    <d v="1899-12-30T06:31:00"/>
    <d v="1899-12-30T06:31:00"/>
    <d v="1899-12-30T00:00:00"/>
    <d v="1899-12-30T04:53:00"/>
    <d v="1899-12-30T01:38:00"/>
    <s v=" "/>
    <s v=" "/>
    <s v=" "/>
    <s v=" "/>
    <s v=" "/>
    <s v=" "/>
    <s v=" "/>
    <s v=" "/>
    <s v=" "/>
    <s v=" "/>
    <s v="Ativo"/>
    <x v="7"/>
    <x v="9"/>
    <x v="77"/>
  </r>
  <r>
    <n v="136266"/>
    <x v="324"/>
    <s v="Diretoria Seminovos"/>
    <x v="9"/>
    <s v="SNLOG/SAO - Gerência de Logística"/>
    <s v="BERNARDO DIAS GOMIDE"/>
    <s v="NEGATIVO"/>
    <d v="1900-01-29T16:16:00"/>
    <d v="1900-01-29T16:16:00"/>
    <d v="1899-12-30T00:00:00"/>
    <d v="1900-01-03T06:40:00"/>
    <d v="1900-01-05T14:24:00"/>
    <d v="1900-01-05T23:12:00"/>
    <d v="1900-01-05T14:24:00"/>
    <d v="1900-01-01T00:24:00"/>
    <d v="1900-01-03T05:12:00"/>
    <s v=" "/>
    <s v=" "/>
    <s v=" "/>
    <s v=" "/>
    <s v=" "/>
    <s v=" "/>
    <s v="Ativo"/>
    <x v="1"/>
    <x v="9"/>
    <x v="9"/>
  </r>
  <r>
    <n v="132415"/>
    <x v="325"/>
    <s v="Diretoria Seminovos"/>
    <x v="9"/>
    <s v="LJLPA - Vendas Varejo Seminovos Lapa"/>
    <s v="BRUNO SILVEIRA KAESER"/>
    <s v="NEGATIVO"/>
    <d v="1900-01-11T10:31:00"/>
    <d v="1900-01-11T10:31:00"/>
    <d v="1899-12-30T00:00:00"/>
    <s v=" "/>
    <s v=" "/>
    <s v=" "/>
    <s v=" "/>
    <s v=" "/>
    <s v=" "/>
    <s v=" "/>
    <s v=" "/>
    <s v=" "/>
    <d v="1900-01-03T04:07:00"/>
    <d v="1900-01-07T06:24:00"/>
    <s v=" "/>
    <s v="Contrato de Trabalho Suspenso"/>
    <x v="3"/>
    <x v="9"/>
    <x v="86"/>
  </r>
  <r>
    <n v="130794"/>
    <x v="326"/>
    <s v="Diretoria Seminovos"/>
    <x v="9"/>
    <s v="LJCTN - Vendas Varejo Seminovos Center Norte"/>
    <s v="MARCOS CAZARINI"/>
    <s v="NEGATIVO"/>
    <d v="1899-12-31T00:30:00"/>
    <d v="1899-12-31T00:30:00"/>
    <d v="1899-12-30T00:00:00"/>
    <s v=" "/>
    <s v=" "/>
    <s v=" "/>
    <s v=" "/>
    <s v=" "/>
    <s v=" "/>
    <s v=" "/>
    <d v="1899-12-30T10:06:00"/>
    <s v=" "/>
    <s v=" "/>
    <d v="1899-12-30T14:24:00"/>
    <s v=" "/>
    <s v="Contrato de Trabalho Suspenso"/>
    <x v="3"/>
    <x v="9"/>
    <x v="83"/>
  </r>
  <r>
    <n v="122978"/>
    <x v="327"/>
    <s v="Diretoria Seminovos"/>
    <x v="9"/>
    <s v="LJSPP - Vendas Varejo Seminovos Penha"/>
    <s v="FERNANDO CARDOSO DA SILVA FILHO"/>
    <s v="NEGATIVO"/>
    <d v="1900-01-08T13:53:00"/>
    <d v="1900-01-08T13:53:00"/>
    <d v="1899-12-30T00:00:00"/>
    <s v=" "/>
    <s v=" "/>
    <s v=" "/>
    <s v=" "/>
    <s v=" "/>
    <s v=" "/>
    <s v=" "/>
    <s v=" "/>
    <s v=" "/>
    <d v="1900-01-05T12:45:00"/>
    <d v="1900-01-02T00:00:00"/>
    <d v="1899-12-30T09:50:00"/>
    <s v="Ativo"/>
    <x v="3"/>
    <x v="9"/>
    <x v="78"/>
  </r>
  <r>
    <n v="131511"/>
    <x v="328"/>
    <s v="Diretoria Seminovos"/>
    <x v="9"/>
    <s v="LJSPP - Vendas Varejo Seminovos Penha"/>
    <s v="FERNANDO CARDOSO DA SILVA FILHO"/>
    <s v="NEGATIVO"/>
    <d v="1899-12-30T08:45:00"/>
    <d v="1899-12-30T08:45:00"/>
    <d v="1899-12-30T00:00:00"/>
    <s v=" "/>
    <s v=" "/>
    <s v=" "/>
    <s v=" "/>
    <s v=" "/>
    <s v=" "/>
    <s v=" "/>
    <s v=" "/>
    <s v=" "/>
    <s v=" "/>
    <s v=" "/>
    <d v="1899-12-30T08:45:00"/>
    <s v="Ativo"/>
    <x v="3"/>
    <x v="9"/>
    <x v="78"/>
  </r>
  <r>
    <n v="133730"/>
    <x v="329"/>
    <s v="Diretoria Seminovos"/>
    <x v="9"/>
    <s v="LJSPP - Vendas Varejo Seminovos Penha"/>
    <s v="FERNANDO CARDOSO DA SILVA FILHO"/>
    <s v="NEGATIVO"/>
    <d v="1900-01-05T23:12:00"/>
    <d v="1900-01-05T23:12:00"/>
    <d v="1899-12-30T00:00:00"/>
    <s v=" "/>
    <s v=" "/>
    <s v=" "/>
    <s v=" "/>
    <s v=" "/>
    <s v=" "/>
    <s v=" "/>
    <s v=" "/>
    <s v=" "/>
    <d v="1900-01-02T01:36:00"/>
    <d v="1900-01-01T16:48:00"/>
    <d v="1899-12-31T04:48:00"/>
    <s v="Ativo"/>
    <x v="3"/>
    <x v="9"/>
    <x v="78"/>
  </r>
  <r>
    <n v="132034"/>
    <x v="330"/>
    <s v="Diretoria Seminovos"/>
    <x v="9"/>
    <s v="LJSAO - Loja Seminovos São Paulo"/>
    <s v="MARCOS ELISEU JAHRMANN"/>
    <s v="NEGATIVO"/>
    <d v="1899-12-30T21:10:00"/>
    <d v="1899-12-30T21:10:00"/>
    <d v="1899-12-30T00:00:00"/>
    <d v="1899-12-30T21:10:00"/>
    <s v=" "/>
    <s v=" "/>
    <s v=" "/>
    <s v=" "/>
    <s v=" "/>
    <s v=" "/>
    <s v=" "/>
    <s v=" "/>
    <s v=" "/>
    <s v=" "/>
    <s v=" "/>
    <s v="Af.Previdência"/>
    <x v="3"/>
    <x v="9"/>
    <x v="77"/>
  </r>
  <r>
    <n v="125492"/>
    <x v="331"/>
    <s v="Diretoria Seminovos"/>
    <x v="9"/>
    <s v="LJPRI - Vendas Varejo Seminovos Prime"/>
    <s v="LUCIANO ANTONIALLI"/>
    <s v="NEGATIVO"/>
    <d v="1900-01-02T07:32:00"/>
    <d v="1900-01-02T07:32:00"/>
    <d v="1899-12-30T00:00:00"/>
    <s v=" "/>
    <s v=" "/>
    <s v=" "/>
    <s v=" "/>
    <s v=" "/>
    <s v=" "/>
    <s v=" "/>
    <s v=" "/>
    <s v=" "/>
    <d v="1900-01-02T02:20:00"/>
    <d v="1899-12-30T05:04:00"/>
    <d v="1899-12-30T03:47:00"/>
    <s v="Ativo"/>
    <x v="3"/>
    <x v="9"/>
    <x v="81"/>
  </r>
  <r>
    <n v="503296"/>
    <x v="332"/>
    <s v="Diretoria Seminovos"/>
    <x v="9"/>
    <s v="LJSPS - Vendas Varejo Seminovos Francisco Morato"/>
    <s v="SAMUEL SATOSHI SANTOS SUZUKI"/>
    <s v="NEGATIVO"/>
    <d v="1900-01-03T19:12:00"/>
    <d v="1900-01-03T19:12:00"/>
    <d v="1899-12-30T00:00:00"/>
    <s v=" "/>
    <s v=" "/>
    <s v=" "/>
    <s v=" "/>
    <s v=" "/>
    <s v=" "/>
    <s v=" "/>
    <s v=" "/>
    <s v=" "/>
    <d v="1900-01-03T19:12:00"/>
    <s v=" "/>
    <s v=" "/>
    <s v="Ativo"/>
    <x v="3"/>
    <x v="9"/>
    <x v="90"/>
  </r>
  <r>
    <n v="503558"/>
    <x v="333"/>
    <s v="Diretoria Seminovos"/>
    <x v="9"/>
    <s v="LJLEP - Vendas Varejo Seminovos Vila Leopoldina"/>
    <s v="RENIVALDO GONCALVES DO NASCIMENTO"/>
    <s v="NEGATIVO"/>
    <d v="1900-01-03T12:36:00"/>
    <d v="1900-01-03T12:36:00"/>
    <d v="1899-12-30T00:00:00"/>
    <s v=" "/>
    <s v=" "/>
    <s v=" "/>
    <s v=" "/>
    <s v=" "/>
    <s v=" "/>
    <s v=" "/>
    <s v=" "/>
    <s v=" "/>
    <d v="1900-01-03T12:36:00"/>
    <s v=" "/>
    <s v=" "/>
    <s v="Ativo"/>
    <x v="3"/>
    <x v="9"/>
    <x v="82"/>
  </r>
  <r>
    <n v="125600"/>
    <x v="334"/>
    <s v="Diretoria Seminovos"/>
    <x v="9"/>
    <s v="LJPRI - Vendas Varejo Seminovos Prime"/>
    <s v="LUCIANO ANTONIALLI"/>
    <s v="NEGATIVO"/>
    <d v="1900-01-05T07:01:00"/>
    <d v="1900-01-05T07:01:00"/>
    <d v="1899-12-30T00:00:00"/>
    <s v=" "/>
    <s v=" "/>
    <s v=" "/>
    <s v=" "/>
    <s v=" "/>
    <s v=" "/>
    <s v=" "/>
    <s v=" "/>
    <s v=" "/>
    <d v="1900-01-04T17:16:00"/>
    <d v="1899-12-30T13:45:00"/>
    <s v=" "/>
    <s v="Ativo"/>
    <x v="3"/>
    <x v="9"/>
    <x v="81"/>
  </r>
  <r>
    <n v="503111"/>
    <x v="335"/>
    <s v="Diretoria Seminovos"/>
    <x v="9"/>
    <s v="LJLPA - Vendas Varejo Seminovos Lapa"/>
    <s v="BRUNO SILVEIRA KAESER"/>
    <s v="NEGATIVO"/>
    <d v="1899-12-30T11:30:00"/>
    <d v="1899-12-30T11:30:00"/>
    <d v="1899-12-30T00:00:00"/>
    <s v=" "/>
    <d v="1899-12-30T11:30:00"/>
    <s v=" "/>
    <s v=" "/>
    <s v=" "/>
    <s v=" "/>
    <s v=" "/>
    <s v=" "/>
    <s v=" "/>
    <s v=" "/>
    <s v=" "/>
    <s v=" "/>
    <s v="Af.Previdência"/>
    <x v="3"/>
    <x v="9"/>
    <x v="86"/>
  </r>
  <r>
    <n v="502805"/>
    <x v="336"/>
    <s v="Diretoria Seminovos"/>
    <x v="9"/>
    <s v="LJRJF - Vendas Varejo Seminovos Ricardo Jafet"/>
    <s v="GUILHERME COIMBRA GUIMARAES"/>
    <s v="NEGATIVO"/>
    <d v="1900-01-14T00:24:00"/>
    <d v="1900-01-14T00:24:00"/>
    <d v="1899-12-30T00:00:00"/>
    <s v=" "/>
    <s v=" "/>
    <s v=" "/>
    <s v=" "/>
    <s v=" "/>
    <s v=" "/>
    <s v=" "/>
    <s v=" "/>
    <s v=" "/>
    <d v="1900-01-06T05:12:00"/>
    <d v="1900-01-06T19:12:00"/>
    <s v=" "/>
    <s v="Contrato de Trabalho Suspenso"/>
    <x v="3"/>
    <x v="9"/>
    <x v="85"/>
  </r>
  <r>
    <n v="503538"/>
    <x v="337"/>
    <s v="Diretoria Seminovos"/>
    <x v="9"/>
    <s v="LJSAO - Vendas Varejo Seminovos São Paulo"/>
    <s v="MARCOS ELISEU JAHRMANN"/>
    <s v="NEGATIVO"/>
    <d v="1899-12-30T06:45:00"/>
    <d v="1899-12-30T06:45:00"/>
    <d v="1899-12-30T00:00:00"/>
    <s v=" "/>
    <s v=" "/>
    <s v=" "/>
    <s v=" "/>
    <s v=" "/>
    <s v=" "/>
    <s v=" "/>
    <s v=" "/>
    <s v=" "/>
    <s v=" "/>
    <d v="1899-12-30T06:36:00"/>
    <d v="1899-12-30T00:09:00"/>
    <s v="Contrato de Trabalho Suspenso"/>
    <x v="3"/>
    <x v="9"/>
    <x v="77"/>
  </r>
  <r>
    <n v="136001"/>
    <x v="338"/>
    <s v="Diretoria Seminovos"/>
    <x v="9"/>
    <s v="LJCTN - Vendas Varejo Seminovos Center Norte"/>
    <s v="MARCOS CAZARINI"/>
    <s v="NEGATIVO"/>
    <d v="1899-12-30T14:24:00"/>
    <d v="1899-12-30T14:24:00"/>
    <d v="1899-12-30T00:00:00"/>
    <s v=" "/>
    <s v=" "/>
    <s v=" "/>
    <s v=" "/>
    <s v=" "/>
    <s v=" "/>
    <s v=" "/>
    <s v=" "/>
    <s v=" "/>
    <s v=" "/>
    <d v="1899-12-30T14:24:00"/>
    <s v=" "/>
    <s v="Ativo"/>
    <x v="3"/>
    <x v="9"/>
    <x v="83"/>
  </r>
  <r>
    <n v="503567"/>
    <x v="339"/>
    <s v="Diretoria Seminovos"/>
    <x v="9"/>
    <s v="LJSMT - Vendas Varejo Seminovos São Mateus"/>
    <s v="EDERSON TRAMA"/>
    <s v="NEGATIVO"/>
    <d v="1899-12-30T00:40:00"/>
    <d v="1899-12-30T00:40:00"/>
    <d v="1899-12-30T00:00:00"/>
    <s v=" "/>
    <s v=" "/>
    <s v=" "/>
    <s v=" "/>
    <s v=" "/>
    <s v=" "/>
    <s v=" "/>
    <d v="1899-12-30T00:40:00"/>
    <s v=" "/>
    <s v=" "/>
    <s v=" "/>
    <s v=" "/>
    <s v="Ativo"/>
    <x v="3"/>
    <x v="9"/>
    <x v="89"/>
  </r>
  <r>
    <n v="134649"/>
    <x v="340"/>
    <s v="Diretoria Seminovos"/>
    <x v="9"/>
    <s v="LJSPS - Vendas Varejo Seminovos Francisco Morato"/>
    <s v="SAMUEL SATOSHI SANTOS SUZUKI"/>
    <s v="NEGATIVO"/>
    <d v="1900-01-03T01:44:00"/>
    <d v="1900-01-03T01:44:00"/>
    <d v="1899-12-30T00:00:00"/>
    <s v=" "/>
    <s v=" "/>
    <s v=" "/>
    <s v=" "/>
    <s v=" "/>
    <s v=" "/>
    <s v=" "/>
    <s v=" "/>
    <s v=" "/>
    <d v="1900-01-03T01:44:00"/>
    <s v=" "/>
    <s v=" "/>
    <s v="Contrato de Trabalho Suspenso"/>
    <x v="3"/>
    <x v="9"/>
    <x v="90"/>
  </r>
  <r>
    <n v="503573"/>
    <x v="341"/>
    <s v="Diretoria Seminovos"/>
    <x v="9"/>
    <s v="LJLPA - Vendas Varejo Seminovos Lapa"/>
    <s v="BRUNO SILVEIRA KAESER"/>
    <s v="NEGATIVO"/>
    <d v="1900-01-14T07:20:00"/>
    <d v="1900-01-14T07:20:00"/>
    <d v="1899-12-30T00:00:00"/>
    <s v=" "/>
    <s v=" "/>
    <s v=" "/>
    <s v=" "/>
    <s v=" "/>
    <s v=" "/>
    <s v=" "/>
    <d v="1900-01-01T22:56:00"/>
    <d v="1900-01-01T02:24:00"/>
    <d v="1900-01-02T18:00:00"/>
    <d v="1900-01-05T12:00:00"/>
    <s v=" "/>
    <s v="Contrato de Trabalho Suspenso"/>
    <x v="3"/>
    <x v="9"/>
    <x v="86"/>
  </r>
  <r>
    <n v="132005"/>
    <x v="342"/>
    <s v="Diretoria Seminovos"/>
    <x v="9"/>
    <s v="LJLEP - Vendas Varejo Seminovos Vila Leopoldina"/>
    <s v="RENIVALDO GONCALVES DO NASCIMENTO"/>
    <s v="NEGATIVO"/>
    <d v="1899-12-30T22:12:00"/>
    <d v="1899-12-30T22:12:00"/>
    <d v="1899-12-30T00:00:00"/>
    <s v=" "/>
    <s v=" "/>
    <s v=" "/>
    <s v=" "/>
    <s v=" "/>
    <s v=" "/>
    <s v=" "/>
    <s v=" "/>
    <s v=" "/>
    <d v="1899-12-30T22:12:00"/>
    <s v=" "/>
    <s v=" "/>
    <s v="Ativo"/>
    <x v="3"/>
    <x v="9"/>
    <x v="82"/>
  </r>
  <r>
    <n v="135849"/>
    <x v="343"/>
    <s v="Diretoria Seminovos"/>
    <x v="9"/>
    <s v="LJRJF - Vendas Varejo Seminovos Ricardo Jafet"/>
    <s v="GUILHERME COIMBRA GUIMARAES"/>
    <s v="NEGATIVO"/>
    <d v="1900-01-14T13:36:00"/>
    <d v="1900-01-14T13:36:00"/>
    <d v="1899-12-30T00:00:00"/>
    <s v=" "/>
    <s v=" "/>
    <s v=" "/>
    <s v=" "/>
    <s v=" "/>
    <s v=" "/>
    <s v=" "/>
    <s v=" "/>
    <s v=" "/>
    <d v="1900-01-07T01:36:00"/>
    <d v="1900-01-06T12:00:00"/>
    <s v=" "/>
    <s v="Ativo"/>
    <x v="3"/>
    <x v="9"/>
    <x v="85"/>
  </r>
  <r>
    <n v="131164"/>
    <x v="344"/>
    <s v="Diretoria Seminovos"/>
    <x v="9"/>
    <s v="LJLPA - Vendas Varejo Seminovos Lapa"/>
    <s v="BRUNO SILVEIRA KAESER"/>
    <s v="NEGATIVO"/>
    <d v="1900-01-10T22:13:00"/>
    <d v="1900-01-10T22:13:00"/>
    <d v="1899-12-30T00:00:00"/>
    <s v=" "/>
    <s v=" "/>
    <s v=" "/>
    <s v=" "/>
    <s v=" "/>
    <s v=" "/>
    <s v=" "/>
    <s v=" "/>
    <s v=" "/>
    <d v="1900-01-03T03:01:00"/>
    <d v="1900-01-06T19:12:00"/>
    <s v=" "/>
    <s v="Ativo"/>
    <x v="3"/>
    <x v="9"/>
    <x v="86"/>
  </r>
  <r>
    <n v="123555"/>
    <x v="345"/>
    <s v="Diretoria Seminovos"/>
    <x v="9"/>
    <s v="LJLEP - Vendas Varejo Seminovos Vila Leopoldina"/>
    <s v="RENIVALDO GONCALVES DO NASCIMENTO"/>
    <s v="NEGATIVO"/>
    <d v="1899-12-30T15:00:00"/>
    <d v="1899-12-30T15:00:00"/>
    <d v="1899-12-30T00:00:00"/>
    <s v=" "/>
    <s v=" "/>
    <s v=" "/>
    <s v=" "/>
    <s v=" "/>
    <s v=" "/>
    <s v=" "/>
    <s v=" "/>
    <s v=" "/>
    <d v="1899-12-30T15:00:00"/>
    <s v=" "/>
    <s v=" "/>
    <s v="Ativo"/>
    <x v="3"/>
    <x v="9"/>
    <x v="82"/>
  </r>
  <r>
    <n v="503261"/>
    <x v="346"/>
    <s v="Diretoria Seminovos"/>
    <x v="9"/>
    <s v="LJSPP - Vendas Varejo Seminovos Penha"/>
    <s v="FERNANDO CARDOSO DA SILVA FILHO"/>
    <s v="NEGATIVO"/>
    <d v="1900-01-05T05:48:00"/>
    <d v="1900-01-05T05:48:00"/>
    <d v="1899-12-30T00:00:00"/>
    <s v=" "/>
    <s v=" "/>
    <s v=" "/>
    <s v=" "/>
    <s v=" "/>
    <s v=" "/>
    <s v=" "/>
    <s v=" "/>
    <s v=" "/>
    <d v="1900-01-03T02:36:00"/>
    <d v="1899-12-31T19:12:00"/>
    <s v=" "/>
    <s v="Contrato de Trabalho Suspenso"/>
    <x v="3"/>
    <x v="9"/>
    <x v="78"/>
  </r>
  <r>
    <n v="503448"/>
    <x v="347"/>
    <s v="Diretoria Seminovos"/>
    <x v="9"/>
    <s v="LJCTN - Vendas Varejo Seminovos Center Norte"/>
    <s v="MARCOS CAZARINI"/>
    <s v="NEGATIVO"/>
    <d v="1900-01-04T01:48:00"/>
    <d v="1900-01-04T01:48:00"/>
    <d v="1899-12-30T00:00:00"/>
    <s v=" "/>
    <s v=" "/>
    <s v=" "/>
    <s v=" "/>
    <s v=" "/>
    <s v=" "/>
    <s v=" "/>
    <s v=" "/>
    <s v=" "/>
    <d v="1900-01-02T21:00:00"/>
    <d v="1899-12-31T04:48:00"/>
    <s v=" "/>
    <s v="Ativo"/>
    <x v="3"/>
    <x v="9"/>
    <x v="83"/>
  </r>
  <r>
    <n v="124949"/>
    <x v="348"/>
    <s v="Diretoria Seminovos"/>
    <x v="9"/>
    <s v="LJSPS - Vendas Varejo Seminovos Francisco Morato"/>
    <s v="SAMUEL SATOSHI SANTOS SUZUKI"/>
    <s v="NEGATIVO"/>
    <d v="1899-12-30T20:24:00"/>
    <d v="1899-12-30T20:24:00"/>
    <d v="1899-12-30T00:00:00"/>
    <s v=" "/>
    <s v=" "/>
    <s v=" "/>
    <s v=" "/>
    <s v=" "/>
    <s v=" "/>
    <s v=" "/>
    <s v=" "/>
    <s v=" "/>
    <d v="1899-12-30T20:24:00"/>
    <s v=" "/>
    <s v=" "/>
    <s v="Ativo"/>
    <x v="3"/>
    <x v="9"/>
    <x v="90"/>
  </r>
  <r>
    <n v="134373"/>
    <x v="349"/>
    <s v="Diretoria Seminovos"/>
    <x v="9"/>
    <s v="LJCTN - Vendas Varejo Seminovos Center Norte"/>
    <s v="MARCOS CAZARINI"/>
    <s v="NEGATIVO"/>
    <d v="1899-12-30T17:09:00"/>
    <d v="1899-12-30T17:09:00"/>
    <d v="1899-12-30T00:00:00"/>
    <s v=" "/>
    <s v=" "/>
    <s v=" "/>
    <s v=" "/>
    <s v=" "/>
    <s v=" "/>
    <s v=" "/>
    <d v="1899-12-30T09:57:00"/>
    <s v=" "/>
    <s v=" "/>
    <s v=" "/>
    <d v="1899-12-30T07:12:00"/>
    <s v="Ativo"/>
    <x v="3"/>
    <x v="9"/>
    <x v="83"/>
  </r>
  <r>
    <n v="125908"/>
    <x v="350"/>
    <s v="Diretoria Seminovos"/>
    <x v="9"/>
    <s v="LJSPS - Vendas Varejo Seminovos Francisco Morato"/>
    <s v="SAMUEL SATOSHI SANTOS SUZUKI"/>
    <s v="NEGATIVO"/>
    <d v="1899-12-30T11:01:00"/>
    <d v="1899-12-30T11:01:00"/>
    <d v="1899-12-30T00:00:00"/>
    <s v=" "/>
    <s v=" "/>
    <s v=" "/>
    <s v=" "/>
    <s v=" "/>
    <s v=" "/>
    <s v=" "/>
    <s v=" "/>
    <d v="1899-12-30T11:01:00"/>
    <s v=" "/>
    <s v=" "/>
    <s v=" "/>
    <s v="Ativo"/>
    <x v="3"/>
    <x v="9"/>
    <x v="90"/>
  </r>
  <r>
    <n v="502808"/>
    <x v="351"/>
    <s v="Diretoria Seminovos"/>
    <x v="9"/>
    <s v="LJNAU - Vendas Varejo Seminovos Nações Unidas"/>
    <s v="DANIEL RODRIGUES CARDOZO DOS SANTOS JUNIOR"/>
    <s v="NEGATIVO"/>
    <d v="1899-12-30T16:08:00"/>
    <d v="1899-12-30T16:08:00"/>
    <d v="1899-12-30T00:00:00"/>
    <s v=" "/>
    <s v=" "/>
    <s v=" "/>
    <s v=" "/>
    <s v=" "/>
    <s v=" "/>
    <d v="1899-12-30T07:20:00"/>
    <d v="1899-12-30T08:48:00"/>
    <s v=" "/>
    <s v=" "/>
    <s v=" "/>
    <s v=" "/>
    <s v="Ativo"/>
    <x v="3"/>
    <x v="9"/>
    <x v="80"/>
  </r>
  <r>
    <n v="132900"/>
    <x v="352"/>
    <s v="Diretoria Seminovos"/>
    <x v="9"/>
    <s v="LJNAU - Vendas Varejo Seminovos Nações Unidas"/>
    <s v="DANIEL RODRIGUES CARDOZO DOS SANTOS JUNIOR"/>
    <s v="NEGATIVO"/>
    <d v="1899-12-31T12:21:00"/>
    <d v="1899-12-31T12:21:00"/>
    <d v="1899-12-30T00:00:00"/>
    <s v=" "/>
    <s v=" "/>
    <s v=" "/>
    <s v=" "/>
    <s v=" "/>
    <s v=" "/>
    <s v=" "/>
    <d v="1899-12-30T14:30:00"/>
    <d v="1899-12-30T00:15:00"/>
    <d v="1899-12-30T21:36:00"/>
    <s v=" "/>
    <s v=" "/>
    <s v="Contrato de Trabalho Suspenso"/>
    <x v="3"/>
    <x v="9"/>
    <x v="80"/>
  </r>
  <r>
    <n v="134910"/>
    <x v="353"/>
    <s v="Diretoria Seminovos"/>
    <x v="9"/>
    <s v="LJSPS - Vendas Varejo Seminovos Francisco Morato"/>
    <s v="SAMUEL SATOSHI SANTOS SUZUKI"/>
    <s v="NEGATIVO"/>
    <d v="1900-01-02T10:24:00"/>
    <d v="1900-01-02T10:24:00"/>
    <d v="1899-12-30T00:00:00"/>
    <s v=" "/>
    <s v=" "/>
    <s v=" "/>
    <s v=" "/>
    <s v=" "/>
    <s v=" "/>
    <s v=" "/>
    <s v=" "/>
    <s v=" "/>
    <d v="1900-01-02T10:24:00"/>
    <s v=" "/>
    <s v=" "/>
    <s v="Ativo"/>
    <x v="3"/>
    <x v="9"/>
    <x v="90"/>
  </r>
  <r>
    <n v="131742"/>
    <x v="354"/>
    <s v="Diretoria Seminovos"/>
    <x v="9"/>
    <s v="LJRJF - Vendas Varejo Seminovos Ricardo Jafet"/>
    <s v="GUILHERME COIMBRA GUIMARAES"/>
    <s v="NEGATIVO"/>
    <d v="1900-01-14T20:11:00"/>
    <d v="1900-01-14T20:11:00"/>
    <d v="1899-12-30T00:00:00"/>
    <s v=" "/>
    <s v=" "/>
    <s v=" "/>
    <s v=" "/>
    <s v=" "/>
    <s v=" "/>
    <s v=" "/>
    <s v=" "/>
    <d v="1899-12-30T16:59:00"/>
    <d v="1900-01-06T08:00:00"/>
    <d v="1900-01-06T19:12:00"/>
    <s v=" "/>
    <s v="Ativo"/>
    <x v="3"/>
    <x v="9"/>
    <x v="85"/>
  </r>
  <r>
    <n v="503504"/>
    <x v="355"/>
    <s v="Diretoria Seminovos"/>
    <x v="9"/>
    <s v="LJRJF - Vendas Varejo Seminovos Ricardo Jafet"/>
    <s v="GUILHERME COIMBRA GUIMARAES"/>
    <s v="NEGATIVO"/>
    <d v="1900-01-06T15:12:00"/>
    <d v="1900-01-06T15:12:00"/>
    <d v="1899-12-30T00:00:00"/>
    <s v=" "/>
    <s v=" "/>
    <s v=" "/>
    <s v=" "/>
    <s v=" "/>
    <s v=" "/>
    <s v=" "/>
    <s v=" "/>
    <s v=" "/>
    <d v="1900-01-06T08:00:00"/>
    <d v="1899-12-30T07:12:00"/>
    <s v=" "/>
    <s v="Ativo"/>
    <x v="3"/>
    <x v="9"/>
    <x v="85"/>
  </r>
  <r>
    <n v="503114"/>
    <x v="356"/>
    <s v="Diretoria Seminovos"/>
    <x v="9"/>
    <s v="LJNAU - Vendas Varejo Seminovos Nações Unidas"/>
    <s v="DANIEL RODRIGUES CARDOZO DOS SANTOS JUNIOR"/>
    <s v="NEGATIVO"/>
    <d v="1899-12-30T01:16:00"/>
    <d v="1899-12-30T01:16:00"/>
    <d v="1899-12-30T00:00:00"/>
    <s v=" "/>
    <s v=" "/>
    <s v=" "/>
    <s v=" "/>
    <s v=" "/>
    <s v=" "/>
    <s v=" "/>
    <s v=" "/>
    <s v=" "/>
    <s v=" "/>
    <d v="1899-12-30T01:16:00"/>
    <s v=" "/>
    <s v="Ativo"/>
    <x v="3"/>
    <x v="9"/>
    <x v="80"/>
  </r>
  <r>
    <n v="501179"/>
    <x v="357"/>
    <s v="Diretoria Seminovos"/>
    <x v="9"/>
    <s v="LJSPN - Vendas Varejo Seminovos Vila Guilherme"/>
    <s v="ALAN GUARNIERI NUNES"/>
    <s v="NEGATIVO"/>
    <d v="1899-12-31T11:22:00"/>
    <d v="1899-12-31T11:22:00"/>
    <d v="1899-12-30T00:00:00"/>
    <s v=" "/>
    <s v=" "/>
    <s v=" "/>
    <s v=" "/>
    <s v=" "/>
    <s v=" "/>
    <s v=" "/>
    <s v=" "/>
    <s v=" "/>
    <d v="1899-12-31T11:22:00"/>
    <s v=" "/>
    <s v=" "/>
    <s v="Contrato de Trabalho Suspenso"/>
    <x v="3"/>
    <x v="9"/>
    <x v="87"/>
  </r>
  <r>
    <n v="130669"/>
    <x v="358"/>
    <s v="Diretoria Seminovos"/>
    <x v="9"/>
    <s v="LJCTN - Vendas Varejo Seminovos Center Norte"/>
    <s v="MARCOS CAZARINI"/>
    <s v="NEGATIVO"/>
    <d v="1899-12-30T14:24:00"/>
    <d v="1899-12-30T14:24:00"/>
    <d v="1899-12-30T00:00:00"/>
    <s v=" "/>
    <s v=" "/>
    <s v=" "/>
    <s v=" "/>
    <s v=" "/>
    <s v=" "/>
    <s v=" "/>
    <s v=" "/>
    <s v=" "/>
    <s v=" "/>
    <d v="1899-12-30T14:24:00"/>
    <s v=" "/>
    <s v="Ativo"/>
    <x v="3"/>
    <x v="9"/>
    <x v="83"/>
  </r>
  <r>
    <n v="131899"/>
    <x v="359"/>
    <s v="Diretoria Seminovos"/>
    <x v="9"/>
    <s v="LJLPA - Vendas Varejo Seminovos Lapa"/>
    <s v="BRUNO SILVEIRA KAESER"/>
    <s v="NEGATIVO"/>
    <d v="1899-12-30T07:57:00"/>
    <d v="1899-12-30T07:57:00"/>
    <d v="1899-12-30T00:00:00"/>
    <s v=" "/>
    <s v=" "/>
    <s v=" "/>
    <s v=" "/>
    <s v=" "/>
    <s v=" "/>
    <s v=" "/>
    <s v=" "/>
    <d v="1899-12-30T07:57:00"/>
    <s v=" "/>
    <s v=" "/>
    <s v=" "/>
    <s v="Ativo"/>
    <x v="3"/>
    <x v="9"/>
    <x v="86"/>
  </r>
  <r>
    <n v="129954"/>
    <x v="360"/>
    <s v="Diretoria Seminovos"/>
    <x v="9"/>
    <s v="LJSPS - Vendas Varejo Seminovos Francisco Morato"/>
    <s v="SAMUEL SATOSHI SANTOS SUZUKI"/>
    <s v="NEGATIVO"/>
    <d v="1900-01-03T19:12:00"/>
    <d v="1900-01-03T19:12:00"/>
    <d v="1899-12-30T00:00:00"/>
    <s v=" "/>
    <s v=" "/>
    <s v=" "/>
    <s v=" "/>
    <s v=" "/>
    <s v=" "/>
    <s v=" "/>
    <s v=" "/>
    <s v=" "/>
    <d v="1900-01-03T19:12:00"/>
    <s v=" "/>
    <s v=" "/>
    <s v="Contrato de Trabalho Suspenso"/>
    <x v="3"/>
    <x v="9"/>
    <x v="90"/>
  </r>
  <r>
    <n v="503406"/>
    <x v="361"/>
    <s v="Diretoria Seminovos"/>
    <x v="9"/>
    <s v="LJSPP - Vendas Varejo Seminovos Penha"/>
    <s v="FERNANDO CARDOSO DA SILVA FILHO"/>
    <s v="NEGATIVO"/>
    <d v="1900-01-04T07:43:00"/>
    <d v="1900-01-04T07:43:00"/>
    <d v="1899-12-30T00:00:00"/>
    <s v=" "/>
    <s v=" "/>
    <s v=" "/>
    <s v=" "/>
    <s v=" "/>
    <s v=" "/>
    <s v=" "/>
    <s v=" "/>
    <s v=" "/>
    <d v="1900-01-04T07:43:00"/>
    <s v=" "/>
    <s v=" "/>
    <s v="Contrato de Trabalho Suspenso"/>
    <x v="3"/>
    <x v="9"/>
    <x v="78"/>
  </r>
  <r>
    <n v="501755"/>
    <x v="362"/>
    <s v="Diretoria Seminovos"/>
    <x v="9"/>
    <s v="LJNAU - Vendas Varejo Seminovos Nações Unidas"/>
    <s v="DANIEL RODRIGUES CARDOZO DOS SANTOS JUNIOR"/>
    <s v="NEGATIVO"/>
    <d v="1899-12-31T06:05:00"/>
    <d v="1899-12-31T06:05:00"/>
    <d v="1899-12-30T00:00:00"/>
    <s v=" "/>
    <s v=" "/>
    <s v=" "/>
    <s v=" "/>
    <s v=" "/>
    <s v=" "/>
    <s v=" "/>
    <d v="1899-12-30T15:33:00"/>
    <d v="1899-12-30T00:08:00"/>
    <d v="1899-12-30T07:12:00"/>
    <d v="1899-12-30T07:12:00"/>
    <s v=" "/>
    <s v="Ativo"/>
    <x v="3"/>
    <x v="9"/>
    <x v="80"/>
  </r>
  <r>
    <n v="123024"/>
    <x v="363"/>
    <s v="Diretoria Seminovos"/>
    <x v="9"/>
    <s v="LJSMT - Vendas Varejo Seminovos São Mateus"/>
    <s v="EDERSON TRAMA"/>
    <s v="NEGATIVO"/>
    <d v="1899-12-30T07:12:00"/>
    <d v="1899-12-30T07:12:00"/>
    <d v="1899-12-30T00:00:00"/>
    <s v=" "/>
    <s v=" "/>
    <s v=" "/>
    <s v=" "/>
    <s v=" "/>
    <s v=" "/>
    <s v=" "/>
    <s v=" "/>
    <s v=" "/>
    <d v="1899-12-30T07:12:00"/>
    <s v=" "/>
    <s v=" "/>
    <s v="Ativo"/>
    <x v="3"/>
    <x v="9"/>
    <x v="89"/>
  </r>
  <r>
    <n v="131301"/>
    <x v="364"/>
    <s v="Diretoria Seminovos"/>
    <x v="9"/>
    <s v="LJCTN - Vendas Varejo Seminovos Center Norte"/>
    <s v="MARCOS CAZARINI"/>
    <s v="NEGATIVO"/>
    <d v="1899-12-30T14:24:00"/>
    <d v="1899-12-30T14:24:00"/>
    <d v="1899-12-30T00:00:00"/>
    <s v=" "/>
    <s v=" "/>
    <s v=" "/>
    <s v=" "/>
    <s v=" "/>
    <s v=" "/>
    <s v=" "/>
    <s v=" "/>
    <s v=" "/>
    <s v=" "/>
    <d v="1899-12-30T14:24:00"/>
    <s v=" "/>
    <s v="Ativo"/>
    <x v="3"/>
    <x v="9"/>
    <x v="83"/>
  </r>
  <r>
    <n v="123941"/>
    <x v="365"/>
    <s v="Diretoria Seminovos"/>
    <x v="9"/>
    <s v="LJNAU - Vendas Varejo Seminovos Nações Unidas"/>
    <s v="DANIEL RODRIGUES CARDOZO DOS SANTOS JUNIOR"/>
    <s v="NEGATIVO"/>
    <d v="1899-12-30T18:16:00"/>
    <d v="1899-12-30T18:16:00"/>
    <d v="1899-12-30T00:00:00"/>
    <s v=" "/>
    <s v=" "/>
    <s v=" "/>
    <s v=" "/>
    <s v=" "/>
    <s v=" "/>
    <s v=" "/>
    <d v="1899-12-30T18:16:00"/>
    <s v=" "/>
    <s v=" "/>
    <s v=" "/>
    <s v=" "/>
    <s v="Ativo"/>
    <x v="3"/>
    <x v="9"/>
    <x v="80"/>
  </r>
  <r>
    <n v="129535"/>
    <x v="366"/>
    <s v="Diretoria Seminovos"/>
    <x v="9"/>
    <s v="LJSPP - Vendas Varejo Seminovos Penha"/>
    <s v="FERNANDO CARDOSO DA SILVA FILHO"/>
    <s v="NEGATIVO"/>
    <d v="1900-01-04T05:55:00"/>
    <d v="1900-01-04T05:55:00"/>
    <d v="1899-12-30T00:00:00"/>
    <s v=" "/>
    <s v=" "/>
    <s v=" "/>
    <s v=" "/>
    <s v=" "/>
    <s v=" "/>
    <s v=" "/>
    <s v=" "/>
    <s v=" "/>
    <d v="1900-01-02T17:10:00"/>
    <d v="1899-12-31T12:45:00"/>
    <s v=" "/>
    <s v="Contrato de Trabalho Suspenso"/>
    <x v="3"/>
    <x v="9"/>
    <x v="78"/>
  </r>
  <r>
    <n v="131071"/>
    <x v="367"/>
    <s v="Diretoria Seminovos"/>
    <x v="9"/>
    <s v="LJLPA - Vendas Varejo Seminovos Lapa"/>
    <s v="BRUNO SILVEIRA KAESER"/>
    <s v="NEGATIVO"/>
    <d v="1900-01-09T02:19:00"/>
    <d v="1900-01-09T02:19:00"/>
    <d v="1899-12-30T00:00:00"/>
    <s v=" "/>
    <s v=" "/>
    <s v=" "/>
    <s v=" "/>
    <s v=" "/>
    <s v=" "/>
    <s v=" "/>
    <s v=" "/>
    <d v="1899-12-30T02:30:00"/>
    <d v="1900-01-01T05:36:00"/>
    <d v="1900-01-06T18:13:00"/>
    <s v=" "/>
    <s v="Ativo"/>
    <x v="3"/>
    <x v="9"/>
    <x v="86"/>
  </r>
  <r>
    <n v="135054"/>
    <x v="368"/>
    <s v="Diretoria Seminovos"/>
    <x v="9"/>
    <s v="LJNAU - Vendas Varejo Seminovos Nações Unidas"/>
    <s v="DANIEL RODRIGUES CARDOZO DOS SANTOS JUNIOR"/>
    <s v="NEGATIVO"/>
    <d v="1899-12-30T20:23:00"/>
    <d v="1899-12-30T20:23:00"/>
    <d v="1899-12-30T00:00:00"/>
    <s v=" "/>
    <s v=" "/>
    <s v=" "/>
    <s v=" "/>
    <s v=" "/>
    <s v=" "/>
    <d v="1899-12-30T11:45:00"/>
    <d v="1899-12-30T00:44:00"/>
    <d v="1899-12-30T00:42:00"/>
    <d v="1899-12-30T07:12:00"/>
    <s v=" "/>
    <s v=" "/>
    <s v="Contrato de Trabalho Suspenso"/>
    <x v="3"/>
    <x v="9"/>
    <x v="80"/>
  </r>
  <r>
    <n v="503054"/>
    <x v="369"/>
    <s v="Diretoria Seminovos"/>
    <x v="9"/>
    <s v="LJLPA - Vendas Varejo Seminovos Lapa"/>
    <s v="BRUNO SILVEIRA KAESER"/>
    <s v="NEGATIVO"/>
    <d v="1900-01-02T14:08:00"/>
    <d v="1900-01-02T14:08:00"/>
    <d v="1899-12-30T00:00:00"/>
    <s v=" "/>
    <s v=" "/>
    <s v=" "/>
    <s v=" "/>
    <s v=" "/>
    <s v=" "/>
    <s v=" "/>
    <s v=" "/>
    <s v=" "/>
    <d v="1900-01-01T03:10:00"/>
    <d v="1899-12-31T10:58:00"/>
    <s v=" "/>
    <s v="Contrato de Trabalho Suspenso"/>
    <x v="3"/>
    <x v="9"/>
    <x v="86"/>
  </r>
  <r>
    <n v="135743"/>
    <x v="370"/>
    <s v="Diretoria Seminovos"/>
    <x v="10"/>
    <s v="LJCPK - Loja Seminovos Campinas"/>
    <s v="MARCELO RIBEIRO ANTONIO"/>
    <s v="NEGATIVO"/>
    <d v="1900-01-01T22:24:00"/>
    <d v="1900-01-01T22:24:00"/>
    <d v="1899-12-30T00:00:00"/>
    <s v=" "/>
    <s v=" "/>
    <s v=" "/>
    <s v=" "/>
    <s v=" "/>
    <s v=" "/>
    <s v=" "/>
    <s v=" "/>
    <s v=" "/>
    <s v=" "/>
    <s v=" "/>
    <d v="1900-01-01T22:24:00"/>
    <s v="Ativo"/>
    <x v="2"/>
    <x v="10"/>
    <x v="91"/>
  </r>
  <r>
    <n v="125462"/>
    <x v="371"/>
    <s v="Diretoria Seminovos"/>
    <x v="10"/>
    <s v="LJMAR - Loja Seminovos Marilia"/>
    <s v="FABIO DAISUKE DANDOKO"/>
    <s v="NEGATIVO"/>
    <d v="1899-12-30T07:50:00"/>
    <d v="1899-12-30T07:50:00"/>
    <d v="1899-12-30T00:00:00"/>
    <s v=" "/>
    <s v=" "/>
    <s v=" "/>
    <s v=" "/>
    <s v=" "/>
    <s v=" "/>
    <s v=" "/>
    <s v=" "/>
    <s v=" "/>
    <d v="1899-12-30T07:50:00"/>
    <s v=" "/>
    <s v=" "/>
    <s v="Ativo"/>
    <x v="2"/>
    <x v="10"/>
    <x v="92"/>
  </r>
  <r>
    <n v="118444"/>
    <x v="372"/>
    <s v="Diretoria Seminovos"/>
    <x v="10"/>
    <s v="LJMGF - Loja Seminovos Maringá"/>
    <s v="JOHN LESLIE ROSSONI"/>
    <s v="NEGATIVO"/>
    <d v="1899-12-30T08:00:00"/>
    <d v="1899-12-30T08:00:00"/>
    <d v="1899-12-30T00:00:00"/>
    <s v=" "/>
    <s v=" "/>
    <s v=" "/>
    <s v=" "/>
    <s v=" "/>
    <s v=" "/>
    <s v=" "/>
    <s v=" "/>
    <s v=" "/>
    <s v=" "/>
    <s v=" "/>
    <d v="1899-12-30T08:00:00"/>
    <s v="Férias"/>
    <x v="2"/>
    <x v="10"/>
    <x v="93"/>
  </r>
  <r>
    <n v="131230"/>
    <x v="373"/>
    <s v="Diretoria Seminovos"/>
    <x v="10"/>
    <s v="LJSTB - Loja Seminovos Santa Bárbara do Oeste"/>
    <s v="PABLO HENRIQUE CAMPOS MIGUEL"/>
    <s v="NEGATIVO"/>
    <d v="1899-12-31T23:56:00"/>
    <d v="1899-12-31T23:56:00"/>
    <d v="1899-12-30T00:00:00"/>
    <s v=" "/>
    <s v=" "/>
    <s v=" "/>
    <s v=" "/>
    <s v=" "/>
    <s v=" "/>
    <s v=" "/>
    <s v=" "/>
    <s v=" "/>
    <d v="1899-12-31T23:56:00"/>
    <s v=" "/>
    <s v=" "/>
    <s v="Ativo"/>
    <x v="2"/>
    <x v="10"/>
    <x v="94"/>
  </r>
  <r>
    <n v="130842"/>
    <x v="374"/>
    <s v="Diretoria Seminovos"/>
    <x v="10"/>
    <s v="LJAMC - Loja Seminovos Americana"/>
    <s v="ENIO GRECHI NETO"/>
    <s v="NEGATIVO"/>
    <d v="1900-01-04T01:38:00"/>
    <d v="1900-01-04T01:38:00"/>
    <d v="1899-12-30T00:00:00"/>
    <s v=" "/>
    <s v=" "/>
    <s v=" "/>
    <s v=" "/>
    <s v=" "/>
    <s v=" "/>
    <s v=" "/>
    <s v=" "/>
    <s v=" "/>
    <d v="1900-01-03T06:00:00"/>
    <d v="1899-12-30T11:38:00"/>
    <s v=" "/>
    <s v="Contrato de Trabalho Suspenso"/>
    <x v="2"/>
    <x v="10"/>
    <x v="95"/>
  </r>
  <r>
    <n v="124508"/>
    <x v="375"/>
    <s v="Diretoria Seminovos"/>
    <x v="10"/>
    <s v="LJPRC - Loja Seminovos Piracicaba"/>
    <s v="LEANDRO LUCIANO BIASINI"/>
    <s v="NEGATIVO"/>
    <d v="1900-01-04T16:41:00"/>
    <d v="1900-01-04T16:41:00"/>
    <d v="1899-12-30T00:00:00"/>
    <s v=" "/>
    <s v=" "/>
    <s v=" "/>
    <s v=" "/>
    <s v=" "/>
    <s v=" "/>
    <s v=" "/>
    <d v="1899-12-31T23:41:00"/>
    <s v=" "/>
    <s v=" "/>
    <d v="1900-01-02T13:00:00"/>
    <d v="1899-12-30T04:00:00"/>
    <s v="Ativo"/>
    <x v="6"/>
    <x v="10"/>
    <x v="96"/>
  </r>
  <r>
    <n v="132059"/>
    <x v="376"/>
    <s v="Diretoria Seminovos"/>
    <x v="10"/>
    <s v="LJAMC - Loja Seminovos Americana"/>
    <s v="ENIO GRECHI NETO"/>
    <s v="NEGATIVO"/>
    <d v="1899-12-30T09:55:00"/>
    <d v="1899-12-30T09:55:00"/>
    <d v="1899-12-30T00:00:00"/>
    <s v=" "/>
    <s v=" "/>
    <s v=" "/>
    <s v=" "/>
    <s v=" "/>
    <s v=" "/>
    <s v=" "/>
    <s v=" "/>
    <s v=" "/>
    <d v="1899-12-30T06:52:00"/>
    <d v="1899-12-30T08:20:00"/>
    <d v="1899-12-30T00:13:00"/>
    <s v="Ativo"/>
    <x v="2"/>
    <x v="10"/>
    <x v="95"/>
  </r>
  <r>
    <n v="501441"/>
    <x v="377"/>
    <s v="Diretoria Seminovos"/>
    <x v="10"/>
    <s v="LJCPQ - Loja Seminovos Campinas"/>
    <s v="PAULO CESAR RIBEIRO"/>
    <s v="NEGATIVO"/>
    <d v="1900-01-01T16:00:00"/>
    <d v="1900-01-01T16:00:00"/>
    <d v="1899-12-30T00:00:00"/>
    <s v=" "/>
    <s v=" "/>
    <s v=" "/>
    <s v=" "/>
    <s v=" "/>
    <s v=" "/>
    <s v=" "/>
    <s v=" "/>
    <s v=" "/>
    <d v="1900-01-01T16:00:00"/>
    <s v=" "/>
    <s v=" "/>
    <s v="Ativo"/>
    <x v="2"/>
    <x v="10"/>
    <x v="97"/>
  </r>
  <r>
    <n v="132817"/>
    <x v="378"/>
    <s v="Diretoria Seminovos"/>
    <x v="10"/>
    <s v="LJIND - Loja Seminovos Indaiatuba"/>
    <s v="EDELCIO DE SOUZA SILVA"/>
    <s v="NEGATIVO"/>
    <d v="1899-12-31T00:00:00"/>
    <d v="1899-12-31T00:00:00"/>
    <d v="1899-12-30T00:00:00"/>
    <s v=" "/>
    <s v=" "/>
    <s v=" "/>
    <s v=" "/>
    <s v=" "/>
    <s v=" "/>
    <s v=" "/>
    <s v=" "/>
    <s v=" "/>
    <d v="1899-12-30T20:00:00"/>
    <d v="1899-12-30T04:00:00"/>
    <s v=" "/>
    <s v="Ativo"/>
    <x v="6"/>
    <x v="10"/>
    <x v="98"/>
  </r>
  <r>
    <n v="123287"/>
    <x v="379"/>
    <s v="Diretoria Seminovos"/>
    <x v="10"/>
    <s v="LJMAR - Loja Seminovos Marilia"/>
    <s v="FABIO DAISUKE DANDOKO"/>
    <s v="NEGATIVO"/>
    <d v="1900-01-01T16:44:00"/>
    <d v="1900-01-01T16:44:00"/>
    <d v="1899-12-30T00:00:00"/>
    <s v=" "/>
    <s v=" "/>
    <s v=" "/>
    <s v=" "/>
    <s v=" "/>
    <s v=" "/>
    <d v="1899-12-30T00:44:00"/>
    <d v="1900-01-01T16:00:00"/>
    <s v=" "/>
    <s v=" "/>
    <s v=" "/>
    <s v=" "/>
    <s v="Ativo"/>
    <x v="6"/>
    <x v="10"/>
    <x v="92"/>
  </r>
  <r>
    <n v="134668"/>
    <x v="380"/>
    <s v="Diretoria Seminovos"/>
    <x v="10"/>
    <s v="LJSJP - Loja Seminovos São José do Rio Preto"/>
    <s v="FABIANO GOMES DE CAMPOS"/>
    <s v="NEGATIVO"/>
    <d v="1899-12-31T09:20:00"/>
    <d v="1899-12-31T09:20:00"/>
    <d v="1899-12-30T00:00:00"/>
    <s v=" "/>
    <s v=" "/>
    <s v=" "/>
    <s v=" "/>
    <s v=" "/>
    <s v=" "/>
    <s v=" "/>
    <s v=" "/>
    <s v=" "/>
    <s v=" "/>
    <d v="1899-12-31T07:59:00"/>
    <d v="1899-12-30T01:22:00"/>
    <s v="Ativo"/>
    <x v="6"/>
    <x v="10"/>
    <x v="99"/>
  </r>
  <r>
    <n v="135804"/>
    <x v="381"/>
    <s v="Diretoria Seminovos"/>
    <x v="10"/>
    <s v="LJSTB - Loja Seminovos Santa Bárbara do Oeste"/>
    <s v="PABLO HENRIQUE CAMPOS MIGUEL"/>
    <s v="NEGATIVO"/>
    <d v="1900-01-05T22:10:00"/>
    <d v="1900-01-05T22:10:00"/>
    <d v="1899-12-30T00:00:00"/>
    <s v=" "/>
    <s v=" "/>
    <s v=" "/>
    <s v=" "/>
    <s v=" "/>
    <s v=" "/>
    <s v=" "/>
    <d v="1900-01-01T18:10:00"/>
    <d v="1900-01-01T08:00:00"/>
    <s v=" "/>
    <d v="1899-12-31T20:00:00"/>
    <s v=" "/>
    <s v="Ativo"/>
    <x v="6"/>
    <x v="10"/>
    <x v="94"/>
  </r>
  <r>
    <n v="501126"/>
    <x v="382"/>
    <s v="Diretoria Seminovos"/>
    <x v="10"/>
    <s v="LJCPQ - Loja Seminovos Campinas"/>
    <s v="PAULO CESAR RIBEIRO"/>
    <s v="NEGATIVO"/>
    <d v="1899-12-30T19:02:00"/>
    <d v="1899-12-30T19:02:00"/>
    <d v="1899-12-30T00:00:00"/>
    <s v=" "/>
    <s v=" "/>
    <s v=" "/>
    <s v=" "/>
    <s v=" "/>
    <s v=" "/>
    <s v=" "/>
    <d v="1899-12-30T19:02:00"/>
    <s v=" "/>
    <s v=" "/>
    <s v=" "/>
    <s v=" "/>
    <s v="Ativo"/>
    <x v="6"/>
    <x v="10"/>
    <x v="97"/>
  </r>
  <r>
    <n v="131739"/>
    <x v="383"/>
    <s v="Diretoria Seminovos"/>
    <x v="10"/>
    <s v="LJLDB - Loja Seminovos Londrina"/>
    <s v="ANA RITA NEVES MOREIRA"/>
    <s v="NEGATIVO"/>
    <d v="1899-12-30T17:40:00"/>
    <d v="1899-12-30T17:40:00"/>
    <d v="1899-12-30T00:00:00"/>
    <s v=" "/>
    <s v=" "/>
    <s v=" "/>
    <s v=" "/>
    <s v=" "/>
    <s v=" "/>
    <s v=" "/>
    <s v=" "/>
    <s v=" "/>
    <s v=" "/>
    <d v="1899-12-30T09:20:00"/>
    <d v="1899-12-30T05:36:00"/>
    <s v="Ativo"/>
    <x v="2"/>
    <x v="10"/>
    <x v="100"/>
  </r>
  <r>
    <n v="132763"/>
    <x v="384"/>
    <s v="Diretoria Seminovos"/>
    <x v="10"/>
    <s v="LJAMC - Loja Seminovos Americana"/>
    <s v="ENIO GRECHI NETO"/>
    <s v="NEGATIVO"/>
    <d v="1899-12-31T13:03:00"/>
    <d v="1899-12-31T13:03:00"/>
    <d v="1899-12-30T00:00:00"/>
    <s v=" "/>
    <s v=" "/>
    <s v=" "/>
    <s v=" "/>
    <s v=" "/>
    <s v=" "/>
    <s v=" "/>
    <d v="1899-12-30T08:19:00"/>
    <d v="1899-12-30T05:02:00"/>
    <s v=" "/>
    <d v="1899-12-30T19:22:00"/>
    <d v="1899-12-30T06:00:00"/>
    <s v="Ativo"/>
    <x v="6"/>
    <x v="10"/>
    <x v="95"/>
  </r>
  <r>
    <n v="125454"/>
    <x v="385"/>
    <s v="Diretoria Seminovos"/>
    <x v="10"/>
    <s v="LJJUN - Loja Seminovos Jundiaí"/>
    <s v="EDUARDO DE MELO JAGOBUCCI"/>
    <s v="NEGATIVO"/>
    <d v="1900-01-03T04:00:00"/>
    <d v="1900-01-03T04:00:00"/>
    <d v="1899-12-30T00:00:00"/>
    <s v=" "/>
    <s v=" "/>
    <s v=" "/>
    <s v=" "/>
    <s v=" "/>
    <s v=" "/>
    <s v=" "/>
    <s v=" "/>
    <s v=" "/>
    <s v=" "/>
    <d v="1900-01-03T04:00:00"/>
    <s v=" "/>
    <s v="Ativo"/>
    <x v="6"/>
    <x v="10"/>
    <x v="101"/>
  </r>
  <r>
    <n v="117928"/>
    <x v="386"/>
    <s v="Diretoria Seminovos"/>
    <x v="10"/>
    <s v="LJMGF - Loja Seminovos Maringá"/>
    <s v="JOHN LESLIE ROSSONI"/>
    <s v="NEGATIVO"/>
    <d v="1899-12-31T07:04:00"/>
    <d v="1899-12-31T07:04:00"/>
    <d v="1899-12-30T00:00:00"/>
    <s v=" "/>
    <s v=" "/>
    <s v=" "/>
    <s v=" "/>
    <s v=" "/>
    <s v=" "/>
    <s v=" "/>
    <s v=" "/>
    <s v=" "/>
    <s v=" "/>
    <s v=" "/>
    <d v="1899-12-30T15:04:00"/>
    <s v="Ativo"/>
    <x v="6"/>
    <x v="10"/>
    <x v="93"/>
  </r>
  <r>
    <n v="135819"/>
    <x v="387"/>
    <s v="Diretoria Seminovos"/>
    <x v="10"/>
    <s v="LJTAQ - Loja Seminovos Taquaral Campinas"/>
    <s v="ANDRE LUIZ LOPES"/>
    <s v="NEGATIVO"/>
    <d v="1899-12-30T00:31:00"/>
    <d v="1899-12-30T00:31:00"/>
    <d v="1899-12-30T00:00:00"/>
    <s v=" "/>
    <s v=" "/>
    <s v=" "/>
    <s v=" "/>
    <s v=" "/>
    <s v=" "/>
    <s v=" "/>
    <d v="1899-12-30T00:31:00"/>
    <s v=" "/>
    <s v=" "/>
    <s v=" "/>
    <s v=" "/>
    <s v="Ativo"/>
    <x v="7"/>
    <x v="10"/>
    <x v="102"/>
  </r>
  <r>
    <n v="125453"/>
    <x v="388"/>
    <s v="Diretoria Seminovos"/>
    <x v="10"/>
    <s v="LJJUN - Loja Seminovos Jundiaí"/>
    <s v="EDUARDO DE MELO JAGOBUCCI"/>
    <s v="NEGATIVO"/>
    <d v="1900-01-06T08:00:00"/>
    <d v="1900-01-06T08:00:00"/>
    <d v="1899-12-30T00:00:00"/>
    <s v=" "/>
    <s v=" "/>
    <s v=" "/>
    <s v=" "/>
    <s v=" "/>
    <s v=" "/>
    <s v=" "/>
    <s v=" "/>
    <s v=" "/>
    <s v=" "/>
    <d v="1900-01-06T08:00:00"/>
    <s v=" "/>
    <s v="Ativo"/>
    <x v="2"/>
    <x v="10"/>
    <x v="101"/>
  </r>
  <r>
    <n v="134680"/>
    <x v="389"/>
    <s v="Diretoria Seminovos"/>
    <x v="10"/>
    <s v="LJARA - Loja Seminovos Araraquara"/>
    <s v="PETERSON CRAVEIRO FERNANDES"/>
    <s v="NEGATIVO"/>
    <d v="1899-12-30T08:53:00"/>
    <d v="1899-12-30T08:53:00"/>
    <d v="1899-12-30T00:00:00"/>
    <s v=" "/>
    <s v=" "/>
    <s v=" "/>
    <s v=" "/>
    <s v=" "/>
    <s v=" "/>
    <s v=" "/>
    <s v=" "/>
    <s v=" "/>
    <s v=" "/>
    <d v="1899-12-30T07:58:00"/>
    <d v="1899-12-30T00:55:00"/>
    <s v="Ativo"/>
    <x v="2"/>
    <x v="10"/>
    <x v="103"/>
  </r>
  <r>
    <n v="122225"/>
    <x v="390"/>
    <s v="Diretoria Seminovos"/>
    <x v="10"/>
    <s v="LJIND - Loja Seminovos Indaiatuba"/>
    <s v="EDELCIO DE SOUZA SILVA"/>
    <s v="NEGATIVO"/>
    <d v="1900-01-01T00:00:00"/>
    <d v="1900-01-01T00:00:00"/>
    <d v="1899-12-30T00:00:00"/>
    <s v=" "/>
    <s v=" "/>
    <s v=" "/>
    <s v=" "/>
    <s v=" "/>
    <s v=" "/>
    <s v=" "/>
    <s v=" "/>
    <s v=" "/>
    <d v="1899-12-31T16:00:00"/>
    <d v="1899-12-30T08:00:00"/>
    <s v=" "/>
    <s v="Ativo"/>
    <x v="2"/>
    <x v="10"/>
    <x v="98"/>
  </r>
  <r>
    <n v="131447"/>
    <x v="391"/>
    <s v="Diretoria Seminovos"/>
    <x v="10"/>
    <s v="LJBAU - Loja Seminovos Bauru"/>
    <s v="EDUARDO HARUTOSHI HORIKAWA"/>
    <s v="NEGATIVO"/>
    <d v="1899-12-30T14:17:00"/>
    <d v="1899-12-30T14:17:00"/>
    <d v="1899-12-30T00:00:00"/>
    <s v=" "/>
    <s v=" "/>
    <s v=" "/>
    <s v=" "/>
    <s v=" "/>
    <s v=" "/>
    <s v=" "/>
    <s v=" "/>
    <s v=" "/>
    <s v=" "/>
    <d v="1899-12-30T09:38:00"/>
    <d v="1899-12-30T05:57:00"/>
    <s v="Ativo"/>
    <x v="2"/>
    <x v="10"/>
    <x v="104"/>
  </r>
  <r>
    <n v="136130"/>
    <x v="392"/>
    <s v="Diretoria Seminovos"/>
    <x v="10"/>
    <s v="LJRBP - Loja Seminovos  Ribeirão Preto"/>
    <s v="EVARISTO ALVES MATOS"/>
    <s v="NEGATIVO"/>
    <d v="1900-01-07T19:29:00"/>
    <d v="1900-01-07T19:29:00"/>
    <d v="1899-12-30T00:00:00"/>
    <s v=" "/>
    <s v=" "/>
    <s v=" "/>
    <s v=" "/>
    <d v="1899-12-30T08:57:00"/>
    <d v="1899-12-31T02:24:00"/>
    <d v="1899-12-31T07:17:00"/>
    <d v="1900-01-01T19:15:00"/>
    <s v=" "/>
    <s v=" "/>
    <d v="1900-01-01T21:00:00"/>
    <d v="1899-12-30T04:24:00"/>
    <s v="Ativo"/>
    <x v="6"/>
    <x v="10"/>
    <x v="105"/>
  </r>
  <r>
    <n v="121057"/>
    <x v="393"/>
    <s v="Diretoria Seminovos"/>
    <x v="10"/>
    <s v="LJMGF - Loja Seminovos Maringá"/>
    <s v="JOHN LESLIE ROSSONI"/>
    <s v="NEGATIVO"/>
    <d v="1900-01-02T04:29:00"/>
    <d v="1900-01-02T04:29:00"/>
    <d v="1899-12-30T00:00:00"/>
    <s v=" "/>
    <s v=" "/>
    <s v=" "/>
    <s v=" "/>
    <s v=" "/>
    <s v=" "/>
    <s v=" "/>
    <s v=" "/>
    <s v=" "/>
    <s v=" "/>
    <s v=" "/>
    <d v="1899-12-31T16:29:00"/>
    <s v="Ativo"/>
    <x v="2"/>
    <x v="10"/>
    <x v="93"/>
  </r>
  <r>
    <n v="135023"/>
    <x v="394"/>
    <s v="Diretoria Seminovos"/>
    <x v="10"/>
    <s v="LJTAQ - Vendas Varejo Seminovos Taquaral Campinas"/>
    <s v="ANDRE LUIZ LOPES"/>
    <s v="NEGATIVO"/>
    <d v="1899-12-30T11:22:00"/>
    <d v="1899-12-30T11:22:00"/>
    <d v="1899-12-30T00:00:00"/>
    <s v=" "/>
    <s v=" "/>
    <s v=" "/>
    <s v=" "/>
    <s v=" "/>
    <s v=" "/>
    <s v=" "/>
    <d v="1899-12-30T02:34:00"/>
    <d v="1899-12-30T08:48:00"/>
    <s v=" "/>
    <s v=" "/>
    <s v=" "/>
    <s v="Ativo"/>
    <x v="3"/>
    <x v="10"/>
    <x v="102"/>
  </r>
  <r>
    <n v="135376"/>
    <x v="395"/>
    <s v="Diretoria Seminovos"/>
    <x v="10"/>
    <s v="LJRBP - Vendas Varejo Seminovos Ribeirão Preto"/>
    <s v="EVARISTO ALVES MATOS"/>
    <s v="NEGATIVO"/>
    <d v="1899-12-30T19:47:00"/>
    <d v="1899-12-30T19:47:00"/>
    <d v="1899-12-30T00:00:00"/>
    <s v=" "/>
    <s v=" "/>
    <s v=" "/>
    <s v=" "/>
    <s v=" "/>
    <s v=" "/>
    <d v="1899-12-30T08:19:00"/>
    <d v="1899-12-30T05:52:00"/>
    <d v="1899-12-30T04:00:00"/>
    <s v=" "/>
    <s v=" "/>
    <s v=" "/>
    <s v="Ativo"/>
    <x v="3"/>
    <x v="10"/>
    <x v="105"/>
  </r>
  <r>
    <n v="133617"/>
    <x v="396"/>
    <s v="Diretoria Seminovos"/>
    <x v="10"/>
    <s v="LJMGF - Vendas Varejo Seminovos Maringá"/>
    <s v="JOHN LESLIE ROSSONI"/>
    <s v="NEGATIVO"/>
    <d v="1899-12-30T13:01:00"/>
    <d v="1899-12-30T13:01:00"/>
    <d v="1899-12-30T00:00:00"/>
    <s v=" "/>
    <s v=" "/>
    <s v=" "/>
    <s v=" "/>
    <s v=" "/>
    <s v=" "/>
    <s v=" "/>
    <s v=" "/>
    <s v=" "/>
    <d v="1899-12-30T12:13:00"/>
    <d v="1899-12-30T04:00:00"/>
    <s v=" "/>
    <s v="Ativo"/>
    <x v="3"/>
    <x v="10"/>
    <x v="93"/>
  </r>
  <r>
    <n v="131482"/>
    <x v="397"/>
    <s v="Diretoria Seminovos"/>
    <x v="10"/>
    <s v="LJLDB - Vendas Varejo Seminovos Londrina"/>
    <s v="ANA RITA NEVES MOREIRA"/>
    <s v="NEGATIVO"/>
    <d v="1899-12-30T05:08:00"/>
    <d v="1899-12-30T05:08:00"/>
    <d v="1899-12-30T00:00:00"/>
    <s v=" "/>
    <s v=" "/>
    <s v=" "/>
    <s v=" "/>
    <s v=" "/>
    <s v=" "/>
    <s v=" "/>
    <s v=" "/>
    <s v=" "/>
    <s v=" "/>
    <d v="1899-12-30T12:10:00"/>
    <d v="1899-12-30T00:45:00"/>
    <s v="Ativo"/>
    <x v="3"/>
    <x v="10"/>
    <x v="100"/>
  </r>
  <r>
    <n v="134576"/>
    <x v="398"/>
    <s v="Diretoria Seminovos"/>
    <x v="10"/>
    <s v="LJIND - Vendas Varejo Seminovos Indaiatuba"/>
    <s v="EDELCIO DE SOUZA SILVA"/>
    <s v="NEGATIVO"/>
    <d v="1899-12-30T19:56:00"/>
    <d v="1899-12-30T19:56:00"/>
    <d v="1899-12-30T00:00:00"/>
    <s v=" "/>
    <s v=" "/>
    <s v=" "/>
    <s v=" "/>
    <s v=" "/>
    <s v=" "/>
    <s v=" "/>
    <s v=" "/>
    <d v="1899-12-30T19:56:00"/>
    <s v=" "/>
    <s v=" "/>
    <s v=" "/>
    <s v="Ativo"/>
    <x v="3"/>
    <x v="10"/>
    <x v="98"/>
  </r>
  <r>
    <n v="130261"/>
    <x v="399"/>
    <s v="Diretoria Seminovos"/>
    <x v="10"/>
    <s v="LJMAR - Vendas Varejo Seminovos Marília"/>
    <s v="FABIO DAISUKE DANDOKO"/>
    <s v="NEGATIVO"/>
    <d v="1899-12-30T19:30:00"/>
    <d v="1899-12-30T19:30:00"/>
    <d v="1899-12-30T00:00:00"/>
    <s v=" "/>
    <s v=" "/>
    <s v=" "/>
    <s v=" "/>
    <s v=" "/>
    <s v=" "/>
    <s v=" "/>
    <d v="1899-12-30T12:18:00"/>
    <s v=" "/>
    <s v=" "/>
    <d v="1899-12-30T07:12:00"/>
    <s v=" "/>
    <s v="Ativo"/>
    <x v="3"/>
    <x v="10"/>
    <x v="92"/>
  </r>
  <r>
    <n v="130739"/>
    <x v="400"/>
    <s v="Diretoria Seminovos"/>
    <x v="10"/>
    <s v="LJARA - Vendas Varejo Seminovos Araraquara"/>
    <s v="PETERSON CRAVEIRO FERNANDES"/>
    <s v="NEGATIVO"/>
    <d v="1899-12-30T10:08:00"/>
    <d v="1899-12-30T10:08:00"/>
    <d v="1899-12-30T00:00:00"/>
    <s v=" "/>
    <s v=" "/>
    <s v=" "/>
    <s v=" "/>
    <s v=" "/>
    <s v=" "/>
    <s v=" "/>
    <s v=" "/>
    <s v=" "/>
    <d v="1899-12-30T05:44:00"/>
    <d v="1899-12-30T04:24:00"/>
    <s v=" "/>
    <s v="Ativo"/>
    <x v="3"/>
    <x v="10"/>
    <x v="103"/>
  </r>
  <r>
    <n v="137209"/>
    <x v="401"/>
    <s v="Diretoria Seminovos"/>
    <x v="10"/>
    <s v="LJLIM - Vendas Varejo Seminovos Limeira"/>
    <s v="ENIO GRECHI NETO"/>
    <s v="NEGATIVO"/>
    <d v="1899-12-30T00:12:00"/>
    <d v="1899-12-30T00:12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106"/>
  </r>
  <r>
    <n v="123055"/>
    <x v="402"/>
    <s v="Diretoria Seminovos"/>
    <x v="10"/>
    <s v="LJMAR - Vendas Varejo Seminovos Marília"/>
    <s v="FABIO DAISUKE DANDOKO"/>
    <s v="NEGATIVO"/>
    <d v="1899-12-30T08:54:00"/>
    <d v="1899-12-30T08:54:00"/>
    <d v="1899-12-30T00:00:00"/>
    <s v=" "/>
    <s v=" "/>
    <s v=" "/>
    <s v=" "/>
    <s v=" "/>
    <s v=" "/>
    <d v="1899-12-30T02:22:00"/>
    <d v="1899-12-30T06:32:00"/>
    <s v=" "/>
    <s v=" "/>
    <s v=" "/>
    <s v=" "/>
    <s v="Ativo"/>
    <x v="3"/>
    <x v="10"/>
    <x v="92"/>
  </r>
  <r>
    <n v="132418"/>
    <x v="403"/>
    <s v="Diretoria Seminovos"/>
    <x v="10"/>
    <s v="LJCPQ - Vendas Varejo Seminovos Campinas"/>
    <s v="PAULO CESAR RIBEIRO"/>
    <s v="NEGATIVO"/>
    <d v="1900-01-01T22:24:00"/>
    <d v="1900-01-01T22:24:00"/>
    <d v="1899-12-30T00:00:00"/>
    <s v=" "/>
    <s v=" "/>
    <s v=" "/>
    <s v=" "/>
    <s v=" "/>
    <s v=" "/>
    <s v=" "/>
    <s v=" "/>
    <s v=" "/>
    <d v="1900-01-01T22:24:00"/>
    <s v=" "/>
    <s v=" "/>
    <s v="Ativo"/>
    <x v="3"/>
    <x v="10"/>
    <x v="97"/>
  </r>
  <r>
    <n v="134516"/>
    <x v="404"/>
    <s v="Diretoria Seminovos"/>
    <x v="10"/>
    <s v="LJARA - Vendas Varejo Seminovos Araraquara"/>
    <s v="PETERSON CRAVEIRO FERNANDES"/>
    <s v="NEGATIVO"/>
    <d v="1900-01-03T12:08:00"/>
    <d v="1900-01-03T12:08:00"/>
    <d v="1899-12-30T00:00:00"/>
    <s v=" "/>
    <s v=" "/>
    <s v=" "/>
    <s v=" "/>
    <s v=" "/>
    <s v=" "/>
    <s v=" "/>
    <s v=" "/>
    <s v=" "/>
    <d v="1899-12-30T07:20:00"/>
    <d v="1900-01-03T04:48:00"/>
    <s v=" "/>
    <s v="Ativo"/>
    <x v="3"/>
    <x v="10"/>
    <x v="103"/>
  </r>
  <r>
    <n v="133959"/>
    <x v="405"/>
    <s v="Diretoria Seminovos"/>
    <x v="10"/>
    <s v="LJCPQ - Vendas Varejo Seminovos Campinas"/>
    <s v="PAULO CESAR RIBEIRO"/>
    <s v="NEGATIVO"/>
    <d v="1900-01-01T09:36:00"/>
    <d v="1900-01-01T09:36:00"/>
    <d v="1899-12-30T00:00:00"/>
    <s v=" "/>
    <s v=" "/>
    <s v=" "/>
    <s v=" "/>
    <s v=" "/>
    <s v=" "/>
    <s v=" "/>
    <s v=" "/>
    <s v=" "/>
    <d v="1900-01-01T09:36:00"/>
    <s v=" "/>
    <s v=" "/>
    <s v="Ativo"/>
    <x v="3"/>
    <x v="10"/>
    <x v="97"/>
  </r>
  <r>
    <n v="132809"/>
    <x v="406"/>
    <s v="Diretoria Seminovos"/>
    <x v="10"/>
    <s v="LJCPK - Vendas Varejo Seminovos Campinas"/>
    <s v="MARCELO RIBEIRO ANTONIO"/>
    <s v="NEGATIVO"/>
    <d v="1899-12-30T08:00:00"/>
    <d v="1899-12-30T08:00:00"/>
    <d v="1899-12-30T00:00:00"/>
    <s v=" "/>
    <s v=" "/>
    <s v=" "/>
    <s v=" "/>
    <s v=" "/>
    <s v=" "/>
    <s v=" "/>
    <s v=" "/>
    <s v=" "/>
    <d v="1899-12-30T08:00:00"/>
    <s v=" "/>
    <s v=" "/>
    <s v="Ativo"/>
    <x v="3"/>
    <x v="10"/>
    <x v="91"/>
  </r>
  <r>
    <n v="129701"/>
    <x v="407"/>
    <s v="Diretoria Seminovos"/>
    <x v="10"/>
    <s v="LJCPQ - Vendas Varejo Seminovos Campinas"/>
    <s v="PAULO CESAR RIBEIRO"/>
    <s v="NEGATIVO"/>
    <d v="1900-01-01T04:18:00"/>
    <d v="1900-01-01T04:18:00"/>
    <d v="1899-12-30T00:00:00"/>
    <s v=" "/>
    <s v=" "/>
    <s v=" "/>
    <s v=" "/>
    <s v=" "/>
    <s v=" "/>
    <s v=" "/>
    <s v=" "/>
    <s v=" "/>
    <d v="1900-01-01T04:18:00"/>
    <s v=" "/>
    <s v=" "/>
    <s v="Ativo"/>
    <x v="3"/>
    <x v="10"/>
    <x v="97"/>
  </r>
  <r>
    <n v="503351"/>
    <x v="408"/>
    <s v="Diretoria Seminovos"/>
    <x v="10"/>
    <s v="LJBAU - Vendas Varejo Seminovos Bauru"/>
    <s v="EDUARDO HARUTOSHI HORIKAWA"/>
    <s v="NEGATIVO"/>
    <d v="1899-12-30T03:16:00"/>
    <d v="1899-12-30T03:16:00"/>
    <d v="1899-12-30T00:00:00"/>
    <s v=" "/>
    <s v=" "/>
    <s v=" "/>
    <s v=" "/>
    <s v=" "/>
    <s v=" "/>
    <s v=" "/>
    <s v=" "/>
    <s v=" "/>
    <s v=" "/>
    <s v=" "/>
    <d v="1899-12-30T02:55:00"/>
    <s v="Ativo"/>
    <x v="3"/>
    <x v="10"/>
    <x v="104"/>
  </r>
  <r>
    <n v="123337"/>
    <x v="409"/>
    <s v="Diretoria Seminovos"/>
    <x v="10"/>
    <s v="LJMGF - Vendas Varejo Seminovos Maringá"/>
    <s v="JOHN LESLIE ROSSONI"/>
    <s v="NEGATIVO"/>
    <d v="1899-12-30T04:40:00"/>
    <d v="1899-12-30T04:40:00"/>
    <d v="1899-12-30T00:00:00"/>
    <s v=" "/>
    <s v=" "/>
    <s v=" "/>
    <s v=" "/>
    <s v=" "/>
    <s v=" "/>
    <s v=" "/>
    <s v=" "/>
    <s v=" "/>
    <d v="1899-12-30T00:52:00"/>
    <d v="1899-12-30T03:48:00"/>
    <s v=" "/>
    <s v="Contrato de Trabalho Suspenso"/>
    <x v="3"/>
    <x v="10"/>
    <x v="93"/>
  </r>
  <r>
    <n v="131271"/>
    <x v="410"/>
    <s v="Diretoria Seminovos"/>
    <x v="10"/>
    <s v="LJLDB - Vendas Varejo Seminovos Londrina"/>
    <s v="ANA RITA NEVES MOREIRA"/>
    <s v="NEGATIVO"/>
    <d v="1899-12-30T04:10:00"/>
    <d v="1899-12-30T04:10:00"/>
    <d v="1899-12-30T00:00:00"/>
    <s v=" "/>
    <s v=" "/>
    <s v=" "/>
    <s v=" "/>
    <s v=" "/>
    <s v=" "/>
    <s v=" "/>
    <s v=" "/>
    <s v=" "/>
    <s v=" "/>
    <d v="1899-12-30T01:07:00"/>
    <d v="1899-12-30T05:10:00"/>
    <s v="Ativo"/>
    <x v="3"/>
    <x v="10"/>
    <x v="100"/>
  </r>
  <r>
    <n v="129584"/>
    <x v="411"/>
    <s v="Diretoria Seminovos"/>
    <x v="10"/>
    <s v="LJTAQ - Loja Seminovos Taquaral Campinas"/>
    <s v="ANDRE LUIZ LOPES"/>
    <s v="NEGATIVO"/>
    <d v="1899-12-30T00:24:00"/>
    <d v="1899-12-30T00:24:00"/>
    <d v="1899-12-30T00:00:00"/>
    <s v=" "/>
    <s v=" "/>
    <s v=" "/>
    <s v=" "/>
    <s v=" "/>
    <s v=" "/>
    <s v=" "/>
    <s v=" "/>
    <s v=" "/>
    <s v=" "/>
    <s v=" "/>
    <d v="1899-12-30T00:36:00"/>
    <s v="Ativo"/>
    <x v="2"/>
    <x v="10"/>
    <x v="102"/>
  </r>
  <r>
    <n v="129410"/>
    <x v="412"/>
    <s v="Diretoria Seminovos"/>
    <x v="10"/>
    <s v="LJMGF - Vendas Varejo Seminovos Maringá"/>
    <s v="JOHN LESLIE ROSSONI"/>
    <s v="NEGATIVO"/>
    <d v="1899-12-30T01:04:00"/>
    <d v="1899-12-30T01:04:00"/>
    <d v="1899-12-30T00:00:00"/>
    <s v=" "/>
    <s v=" "/>
    <s v=" "/>
    <s v=" "/>
    <s v=" "/>
    <s v=" "/>
    <s v=" "/>
    <s v=" "/>
    <d v="1899-12-30T04:16:00"/>
    <s v=" "/>
    <s v=" "/>
    <s v=" "/>
    <s v="Ativo"/>
    <x v="3"/>
    <x v="10"/>
    <x v="93"/>
  </r>
  <r>
    <n v="131536"/>
    <x v="413"/>
    <s v="Diretoria Seminovos"/>
    <x v="10"/>
    <s v="LJPRC - Vendas Varejo Seminovos Piracicaba"/>
    <s v="LEANDRO LUCIANO BIASINI"/>
    <s v="NEGATIVO"/>
    <d v="1899-12-31T00:27:00"/>
    <d v="1899-12-31T00:27:00"/>
    <d v="1899-12-30T00:00:00"/>
    <s v=" "/>
    <s v=" "/>
    <s v=" "/>
    <s v=" "/>
    <s v=" "/>
    <s v=" "/>
    <s v=" "/>
    <s v=" "/>
    <d v="1899-12-30T01:39:00"/>
    <d v="1899-12-30T22:48:00"/>
    <s v=" "/>
    <s v=" "/>
    <s v="Contrato de Trabalho Suspenso"/>
    <x v="3"/>
    <x v="10"/>
    <x v="96"/>
  </r>
  <r>
    <n v="134171"/>
    <x v="414"/>
    <s v="Diretoria Seminovos"/>
    <x v="10"/>
    <s v="LJCPK - Vendas Varejo Seminovos Campinas"/>
    <s v="MARCELO RIBEIRO ANTONIO"/>
    <s v="NEGATIVO"/>
    <d v="1899-12-30T18:21:00"/>
    <d v="1899-12-30T18:21:00"/>
    <d v="1899-12-30T00:00:00"/>
    <s v=" "/>
    <s v=" "/>
    <s v=" "/>
    <s v=" "/>
    <s v=" "/>
    <s v=" "/>
    <s v=" "/>
    <d v="1899-12-30T09:57:00"/>
    <d v="1899-12-30T08:24:00"/>
    <s v=" "/>
    <s v=" "/>
    <s v=" "/>
    <s v="Ativo"/>
    <x v="3"/>
    <x v="10"/>
    <x v="91"/>
  </r>
  <r>
    <n v="132716"/>
    <x v="415"/>
    <s v="Diretoria Seminovos"/>
    <x v="10"/>
    <s v="LJTAQ - Vendas Varejo Seminovos Taquaral Campinas"/>
    <s v="ANDRE LUIZ LOPES"/>
    <s v="NEGATIVO"/>
    <d v="1899-12-30T01:08:00"/>
    <d v="1899-12-30T01:08:00"/>
    <d v="1899-12-30T00:00:00"/>
    <s v=" "/>
    <s v=" "/>
    <s v=" "/>
    <s v=" "/>
    <s v=" "/>
    <s v=" "/>
    <s v=" "/>
    <s v=" "/>
    <d v="1899-12-30T01:08:00"/>
    <s v=" "/>
    <s v=" "/>
    <s v=" "/>
    <s v="Ativo"/>
    <x v="3"/>
    <x v="10"/>
    <x v="102"/>
  </r>
  <r>
    <n v="135726"/>
    <x v="416"/>
    <s v="Diretoria Seminovos"/>
    <x v="10"/>
    <s v="LJLDB - Vendas Varejo Seminovos Londrina"/>
    <s v="ANA RITA NEVES MOREIRA"/>
    <s v="NEGATIVO"/>
    <d v="1899-12-30T13:45:00"/>
    <d v="1899-12-30T13:45:00"/>
    <d v="1899-12-30T00:00:00"/>
    <s v=" "/>
    <s v=" "/>
    <s v=" "/>
    <s v=" "/>
    <s v=" "/>
    <s v=" "/>
    <s v=" "/>
    <d v="1899-12-30T05:29:00"/>
    <d v="1899-12-30T04:48:00"/>
    <s v=" "/>
    <s v=" "/>
    <d v="1899-12-30T02:58:00"/>
    <s v="Ativo"/>
    <x v="3"/>
    <x v="10"/>
    <x v="100"/>
  </r>
  <r>
    <n v="503513"/>
    <x v="417"/>
    <s v="Diretoria Seminovos"/>
    <x v="10"/>
    <s v="LJCPK - Vendas Varejo Seminovos Campinas"/>
    <s v="MARCELO RIBEIRO ANTONIO"/>
    <s v="NEGATIVO"/>
    <d v="1899-12-30T13:10:00"/>
    <d v="1899-12-30T13:10:00"/>
    <d v="1899-12-30T00:00:00"/>
    <s v=" "/>
    <s v=" "/>
    <s v=" "/>
    <s v=" "/>
    <s v=" "/>
    <s v=" "/>
    <s v=" "/>
    <d v="1899-12-30T07:10:00"/>
    <d v="1899-12-30T06:00:00"/>
    <s v=" "/>
    <s v=" "/>
    <s v=" "/>
    <s v="Ativo"/>
    <x v="3"/>
    <x v="10"/>
    <x v="91"/>
  </r>
  <r>
    <n v="135729"/>
    <x v="418"/>
    <s v="Diretoria Seminovos"/>
    <x v="10"/>
    <s v="LJBAU - Vendas Varejo Seminovos Bauru"/>
    <s v="EDUARDO HARUTOSHI HORIKAWA"/>
    <s v="NEGATIVO"/>
    <d v="1899-12-31T00:44:00"/>
    <d v="1899-12-31T00:44:00"/>
    <d v="1899-12-30T00:00:00"/>
    <s v=" "/>
    <s v=" "/>
    <s v=" "/>
    <s v=" "/>
    <s v=" "/>
    <s v=" "/>
    <s v=" "/>
    <s v=" "/>
    <s v=" "/>
    <s v=" "/>
    <d v="1899-12-30T11:49:00"/>
    <d v="1899-12-30T07:41:00"/>
    <s v="Ativo"/>
    <x v="3"/>
    <x v="10"/>
    <x v="104"/>
  </r>
  <r>
    <n v="134608"/>
    <x v="419"/>
    <s v="Diretoria Seminovos"/>
    <x v="10"/>
    <s v="LJLDB - Vendas Varejo Seminovos Londrina"/>
    <s v="ANA RITA NEVES MOREIRA"/>
    <s v="NEGATIVO"/>
    <d v="1899-12-30T13:19:00"/>
    <d v="1899-12-30T13:19:00"/>
    <d v="1899-12-30T00:00:00"/>
    <s v=" "/>
    <s v=" "/>
    <s v=" "/>
    <s v=" "/>
    <s v=" "/>
    <s v=" "/>
    <s v=" "/>
    <d v="1899-12-30T08:56:00"/>
    <s v=" "/>
    <s v=" "/>
    <d v="1899-12-30T00:57:00"/>
    <d v="1899-12-30T01:52:00"/>
    <s v="Ativo"/>
    <x v="3"/>
    <x v="10"/>
    <x v="100"/>
  </r>
  <r>
    <n v="134161"/>
    <x v="420"/>
    <s v="Diretoria Seminovos"/>
    <x v="10"/>
    <s v="LJSJP - Vendas Varejo Seminovos São José do Rio Preto"/>
    <s v="FABIANO GOMES DE CAMPOS"/>
    <s v="NEGATIVO"/>
    <d v="1899-12-30T10:57:00"/>
    <d v="1899-12-30T10:57:00"/>
    <d v="1899-12-30T00:00:00"/>
    <s v=" "/>
    <s v=" "/>
    <s v=" "/>
    <s v=" "/>
    <s v=" "/>
    <s v=" "/>
    <s v=" "/>
    <s v=" "/>
    <s v=" "/>
    <s v=" "/>
    <s v=" "/>
    <d v="1899-12-30T04:49:00"/>
    <s v="Ativo"/>
    <x v="3"/>
    <x v="10"/>
    <x v="99"/>
  </r>
  <r>
    <n v="136032"/>
    <x v="421"/>
    <s v="Diretoria Seminovos"/>
    <x v="10"/>
    <s v="LJMAR - Vendas Varejo Seminovos Marília"/>
    <s v="FABIO DAISUKE DANDOKO"/>
    <s v="NEGATIVO"/>
    <d v="1899-12-30T00:40:00"/>
    <d v="1899-12-30T00:40:00"/>
    <d v="1899-12-30T00:00:00"/>
    <s v=" "/>
    <s v=" "/>
    <s v=" "/>
    <s v=" "/>
    <s v=" "/>
    <s v=" "/>
    <s v=" "/>
    <d v="1899-12-30T00:40:00"/>
    <s v=" "/>
    <s v=" "/>
    <s v=" "/>
    <s v=" "/>
    <s v="Ativo"/>
    <x v="3"/>
    <x v="10"/>
    <x v="92"/>
  </r>
  <r>
    <n v="132004"/>
    <x v="422"/>
    <s v="Diretoria Seminovos"/>
    <x v="10"/>
    <s v="LJMGF - Vendas Varejo Seminovos Maringá"/>
    <s v="JOHN LESLIE ROSSONI"/>
    <s v="NEGATIVO"/>
    <d v="1899-12-30T19:47:00"/>
    <d v="1899-12-30T19:47:00"/>
    <d v="1899-12-30T00:00:00"/>
    <s v=" "/>
    <s v=" "/>
    <s v=" "/>
    <s v=" "/>
    <s v=" "/>
    <s v=" "/>
    <s v=" "/>
    <s v=" "/>
    <s v=" "/>
    <d v="1899-12-30T15:48:00"/>
    <d v="1899-12-30T03:59:00"/>
    <s v=" "/>
    <s v="Contrato de Trabalho Suspenso"/>
    <x v="3"/>
    <x v="10"/>
    <x v="93"/>
  </r>
  <r>
    <n v="130461"/>
    <x v="423"/>
    <s v="Diretoria Seminovos"/>
    <x v="10"/>
    <s v="LJMGF - Vendas Varejo Seminovos Maringá"/>
    <s v="JOHN LESLIE ROSSONI"/>
    <s v="NEGATIVO"/>
    <d v="1899-12-30T04:15:00"/>
    <d v="1899-12-30T04:15:00"/>
    <d v="1899-12-30T00:00:00"/>
    <s v=" "/>
    <s v=" "/>
    <s v=" "/>
    <s v=" "/>
    <s v=" "/>
    <s v=" "/>
    <s v=" "/>
    <d v="1899-12-30T07:27:00"/>
    <s v=" "/>
    <s v=" "/>
    <s v=" "/>
    <s v=" "/>
    <s v="Ativo"/>
    <x v="3"/>
    <x v="10"/>
    <x v="93"/>
  </r>
  <r>
    <n v="131115"/>
    <x v="424"/>
    <s v="Diretoria Seminovos"/>
    <x v="10"/>
    <s v="LJJUN - Vendas Varejo Seminovos Jundiaí"/>
    <s v="EDUARDO DE MELO JAGOBUCCI"/>
    <s v="NEGATIVO"/>
    <d v="1900-01-06T23:47:00"/>
    <d v="1900-01-06T23:47:00"/>
    <d v="1899-12-30T00:00:00"/>
    <s v=" "/>
    <s v=" "/>
    <s v=" "/>
    <s v=" "/>
    <s v=" "/>
    <s v=" "/>
    <s v=" "/>
    <s v=" "/>
    <s v=" "/>
    <d v="1900-01-06T15:11:00"/>
    <d v="1899-12-30T08:36:00"/>
    <s v=" "/>
    <s v="Ativo"/>
    <x v="3"/>
    <x v="10"/>
    <x v="101"/>
  </r>
  <r>
    <n v="133628"/>
    <x v="425"/>
    <s v="Diretoria Seminovos"/>
    <x v="10"/>
    <s v="LJBAU - Vendas Varejo Seminovos Bauru"/>
    <s v="EDUARDO HARUTOSHI HORIKAWA"/>
    <s v="NEGATIVO"/>
    <d v="1900-01-02T06:48:00"/>
    <d v="1900-01-02T06:48:00"/>
    <d v="1899-12-30T00:00:00"/>
    <s v=" "/>
    <s v=" "/>
    <s v=" "/>
    <s v=" "/>
    <s v=" "/>
    <s v=" "/>
    <s v=" "/>
    <s v=" "/>
    <s v=" "/>
    <s v=" "/>
    <d v="1900-01-01T18:40:00"/>
    <d v="1899-12-30T11:11:00"/>
    <s v="Ativo"/>
    <x v="3"/>
    <x v="10"/>
    <x v="104"/>
  </r>
  <r>
    <n v="503531"/>
    <x v="426"/>
    <s v="Diretoria Seminovos"/>
    <x v="10"/>
    <s v="LJCPQ - Vendas Varejo Seminovos Campinas"/>
    <s v="PAULO CESAR RIBEIRO"/>
    <s v="NEGATIVO"/>
    <d v="1900-01-01T09:36:00"/>
    <d v="1900-01-01T09:36:00"/>
    <d v="1899-12-30T00:00:00"/>
    <s v=" "/>
    <s v=" "/>
    <s v=" "/>
    <s v=" "/>
    <s v=" "/>
    <s v=" "/>
    <s v=" "/>
    <s v=" "/>
    <s v=" "/>
    <d v="1900-01-01T09:36:00"/>
    <s v=" "/>
    <s v=" "/>
    <s v="Ativo"/>
    <x v="3"/>
    <x v="10"/>
    <x v="97"/>
  </r>
  <r>
    <n v="130746"/>
    <x v="427"/>
    <s v="Diretoria Seminovos"/>
    <x v="10"/>
    <s v="LJARA - Vendas Varejo Seminovos Araraquara"/>
    <s v="PETERSON CRAVEIRO FERNANDES"/>
    <s v="NEGATIVO"/>
    <d v="1899-12-30T02:48:00"/>
    <d v="1899-12-30T02:48:00"/>
    <d v="1899-12-30T00:00:00"/>
    <s v=" "/>
    <s v=" "/>
    <s v=" "/>
    <s v=" "/>
    <s v=" "/>
    <s v=" "/>
    <s v=" "/>
    <s v=" "/>
    <s v=" "/>
    <d v="1899-12-30T02:48:00"/>
    <s v=" "/>
    <s v=" "/>
    <s v="Ativo"/>
    <x v="3"/>
    <x v="10"/>
    <x v="103"/>
  </r>
  <r>
    <n v="129872"/>
    <x v="428"/>
    <s v="Diretoria Seminovos"/>
    <x v="10"/>
    <s v="LJBAU - Vendas Varejo Seminovos Bauru"/>
    <s v="EDUARDO HARUTOSHI HORIKAWA"/>
    <s v="NEGATIVO"/>
    <d v="1899-12-31T03:39:00"/>
    <d v="1899-12-31T03:39:00"/>
    <d v="1899-12-30T00:00:00"/>
    <s v=" "/>
    <s v=" "/>
    <s v=" "/>
    <s v=" "/>
    <s v=" "/>
    <s v=" "/>
    <s v=" "/>
    <s v=" "/>
    <s v=" "/>
    <s v=" "/>
    <d v="1899-12-30T17:09:00"/>
    <d v="1899-12-30T05:43:00"/>
    <s v="Ativo"/>
    <x v="3"/>
    <x v="10"/>
    <x v="104"/>
  </r>
  <r>
    <n v="502742"/>
    <x v="429"/>
    <s v="Diretoria Seminovos"/>
    <x v="10"/>
    <s v="LJCPQ - Vendas Varejo Seminovos Campinas"/>
    <s v="PAULO CESAR RIBEIRO"/>
    <s v="NEGATIVO"/>
    <d v="1900-01-01T09:36:00"/>
    <d v="1900-01-01T09:36:00"/>
    <d v="1899-12-30T00:00:00"/>
    <s v=" "/>
    <s v=" "/>
    <s v=" "/>
    <s v=" "/>
    <s v=" "/>
    <s v=" "/>
    <s v=" "/>
    <s v=" "/>
    <s v=" "/>
    <d v="1900-01-01T09:36:00"/>
    <s v=" "/>
    <s v=" "/>
    <s v="Ativo"/>
    <x v="3"/>
    <x v="10"/>
    <x v="97"/>
  </r>
  <r>
    <n v="132796"/>
    <x v="430"/>
    <s v="Diretoria Seminovos"/>
    <x v="10"/>
    <s v="LJIND - Vendas Varejo Seminovos Indaiatuba"/>
    <s v="EDELCIO DE SOUZA SILVA"/>
    <s v="NEGATIVO"/>
    <d v="1900-01-01T04:48:00"/>
    <d v="1900-01-01T04:48:00"/>
    <d v="1899-12-30T00:00:00"/>
    <s v=" "/>
    <s v=" "/>
    <s v=" "/>
    <s v=" "/>
    <d v="1899-12-31T20:00:00"/>
    <d v="1899-12-30T08:48:00"/>
    <s v=" "/>
    <s v=" "/>
    <s v=" "/>
    <s v=" "/>
    <s v=" "/>
    <s v=" "/>
    <s v="Ativo"/>
    <x v="3"/>
    <x v="10"/>
    <x v="98"/>
  </r>
  <r>
    <n v="135725"/>
    <x v="431"/>
    <s v="Diretoria Seminovos"/>
    <x v="10"/>
    <s v="LJSJP - Vendas Varejo Seminovos São José do Rio Preto"/>
    <s v="FABIANO GOMES DE CAMPOS"/>
    <s v="NEGATIVO"/>
    <d v="1899-12-30T04:19:00"/>
    <d v="1899-12-30T04:19:00"/>
    <d v="1899-12-30T00:00:00"/>
    <s v=" "/>
    <s v=" "/>
    <s v=" "/>
    <s v=" "/>
    <s v=" "/>
    <s v=" "/>
    <s v=" "/>
    <s v=" "/>
    <s v=" "/>
    <s v=" "/>
    <s v=" "/>
    <d v="1899-12-30T03:34:00"/>
    <s v="Ativo"/>
    <x v="3"/>
    <x v="10"/>
    <x v="99"/>
  </r>
  <r>
    <n v="500805"/>
    <x v="432"/>
    <s v="Diretoria Seminovos"/>
    <x v="11"/>
    <s v="LJPOA - Loja Seminovos Porto Alegre"/>
    <s v="FABIO MACHADO PAIXAO"/>
    <s v="NEGATIVO"/>
    <d v="1899-12-30T07:58:00"/>
    <d v="1899-12-30T07:58:00"/>
    <d v="1899-12-30T00:00:00"/>
    <s v=" "/>
    <s v=" "/>
    <s v=" "/>
    <s v=" "/>
    <s v=" "/>
    <d v="1899-12-30T08:13:00"/>
    <s v=" "/>
    <s v=" "/>
    <s v=" "/>
    <s v=" "/>
    <s v=" "/>
    <s v=" "/>
    <s v="Ativo"/>
    <x v="2"/>
    <x v="11"/>
    <x v="107"/>
  </r>
  <r>
    <n v="131649"/>
    <x v="433"/>
    <s v="Diretoria Seminovos"/>
    <x v="11"/>
    <s v="LJSJE - Loja Seminovos São José"/>
    <s v="EDISON RAPHAEL ESAIER SETTIN"/>
    <s v="NEGATIVO"/>
    <d v="1900-01-03T09:36:00"/>
    <d v="1900-01-03T09:36:00"/>
    <d v="1899-12-30T00:00:00"/>
    <s v=" "/>
    <s v=" "/>
    <s v=" "/>
    <s v=" "/>
    <d v="1899-12-31T06:48:00"/>
    <d v="1899-12-31T15:36:00"/>
    <d v="1899-12-31T11:12:00"/>
    <s v=" "/>
    <s v=" "/>
    <s v=" "/>
    <s v=" "/>
    <s v=" "/>
    <s v="Ativo"/>
    <x v="6"/>
    <x v="11"/>
    <x v="108"/>
  </r>
  <r>
    <n v="121016"/>
    <x v="434"/>
    <s v="Diretoria Seminovos"/>
    <x v="11"/>
    <s v="LJITJ - Loja Seminovos Itajaí"/>
    <s v="PAULO SERGIO APARECIDO DE CARVALHO"/>
    <s v="NEGATIVO"/>
    <d v="1900-01-03T20:00:00"/>
    <d v="1900-01-03T20:00:00"/>
    <d v="1899-12-30T00:00:00"/>
    <s v=" "/>
    <s v=" "/>
    <s v=" "/>
    <s v=" "/>
    <d v="1900-01-03T12:00:00"/>
    <d v="1899-12-30T08:00:00"/>
    <s v=" "/>
    <s v=" "/>
    <s v=" "/>
    <s v=" "/>
    <s v=" "/>
    <s v=" "/>
    <s v="Ativo"/>
    <x v="6"/>
    <x v="11"/>
    <x v="109"/>
  </r>
  <r>
    <n v="124468"/>
    <x v="435"/>
    <s v="Diretoria Seminovos"/>
    <x v="11"/>
    <s v="LJCWB - Loja Seminovos Curitiba"/>
    <s v="ADRIANO LINS"/>
    <s v="NEGATIVO"/>
    <d v="1899-12-30T22:45:00"/>
    <d v="1899-12-30T22:45:00"/>
    <d v="1899-12-30T00:00:00"/>
    <s v=" "/>
    <s v=" "/>
    <s v=" "/>
    <s v=" "/>
    <s v=" "/>
    <s v=" "/>
    <s v=" "/>
    <s v=" "/>
    <s v=" "/>
    <d v="1899-12-30T06:20:00"/>
    <d v="1899-12-30T16:25:00"/>
    <s v=" "/>
    <s v="Contrato de Trabalho Suspenso"/>
    <x v="2"/>
    <x v="11"/>
    <x v="110"/>
  </r>
  <r>
    <n v="123539"/>
    <x v="436"/>
    <s v="Diretoria Seminovos"/>
    <x v="11"/>
    <s v="LJBNU - Loja Seminovos Blumenau"/>
    <s v="JOAO MARCELO VARGAS"/>
    <s v="NEGATIVO"/>
    <d v="1900-01-03T09:36:00"/>
    <d v="1900-01-03T09:36:00"/>
    <d v="1899-12-30T00:00:00"/>
    <s v=" "/>
    <s v=" "/>
    <s v=" "/>
    <s v=" "/>
    <s v=" "/>
    <d v="1900-01-03T09:36:00"/>
    <s v=" "/>
    <s v=" "/>
    <s v=" "/>
    <s v=" "/>
    <s v=" "/>
    <s v=" "/>
    <s v="Ativo"/>
    <x v="6"/>
    <x v="11"/>
    <x v="111"/>
  </r>
  <r>
    <n v="133199"/>
    <x v="437"/>
    <s v="Diretoria Seminovos"/>
    <x v="11"/>
    <s v="LJFLI - Vendas Varejo Seminovos Florianópolis Ilha"/>
    <s v="DORLI DAVID MACHADO"/>
    <s v="NEGATIVO"/>
    <d v="1899-12-30T17:49:00"/>
    <d v="1899-12-30T17:49:00"/>
    <d v="1899-12-30T00:00:00"/>
    <s v=" "/>
    <s v=" "/>
    <s v=" "/>
    <s v=" "/>
    <d v="1899-12-30T17:34:00"/>
    <d v="1899-12-30T14:24:00"/>
    <s v=" "/>
    <s v=" "/>
    <s v=" "/>
    <s v=" "/>
    <s v=" "/>
    <s v=" "/>
    <s v="Ativo"/>
    <x v="3"/>
    <x v="11"/>
    <x v="112"/>
  </r>
  <r>
    <n v="125270"/>
    <x v="438"/>
    <s v="Diretoria Seminovos"/>
    <x v="11"/>
    <s v="LJFLN - Loja Seminovos Florianopolis"/>
    <s v="JOAO MARCELO VARGAS"/>
    <s v="NEGATIVO"/>
    <d v="1899-12-30T03:46:00"/>
    <d v="1899-12-30T03:46:00"/>
    <d v="1899-12-30T00:00:00"/>
    <s v=" "/>
    <d v="1899-12-30T02:53:00"/>
    <d v="1899-12-30T00:35:00"/>
    <d v="1899-12-30T00:18:00"/>
    <s v=" "/>
    <s v=" "/>
    <s v=" "/>
    <s v=" "/>
    <s v=" "/>
    <s v=" "/>
    <s v=" "/>
    <s v=" "/>
    <s v="Ativo"/>
    <x v="6"/>
    <x v="11"/>
    <x v="113"/>
  </r>
  <r>
    <n v="124085"/>
    <x v="439"/>
    <s v="Diretoria Seminovos"/>
    <x v="11"/>
    <s v="LJPET - Loja Seminovos Pelotas"/>
    <s v="ANDERSON SILVEIRA LOPES"/>
    <s v="NEGATIVO"/>
    <d v="1900-01-01T04:00:00"/>
    <d v="1900-01-01T04:00:00"/>
    <d v="1899-12-30T00:00:00"/>
    <s v=" "/>
    <s v=" "/>
    <s v=" "/>
    <s v=" "/>
    <s v=" "/>
    <d v="1900-01-01T04:00:00"/>
    <s v=" "/>
    <s v=" "/>
    <s v=" "/>
    <s v=" "/>
    <s v=" "/>
    <s v=" "/>
    <s v="Ativo"/>
    <x v="6"/>
    <x v="11"/>
    <x v="114"/>
  </r>
  <r>
    <n v="135552"/>
    <x v="440"/>
    <s v="Diretoria Seminovos"/>
    <x v="11"/>
    <s v="LJSMR - Loja Seminovos Santa Maria"/>
    <s v="CHARLES FRIEDHEIN MARCHESAN"/>
    <s v="NEGATIVO"/>
    <d v="1900-01-02T00:48:00"/>
    <d v="1900-01-02T00:48:00"/>
    <d v="1899-12-30T00:00:00"/>
    <s v=" "/>
    <s v=" "/>
    <d v="1900-01-02T00:48:00"/>
    <s v=" "/>
    <s v=" "/>
    <s v=" "/>
    <s v=" "/>
    <s v=" "/>
    <s v=" "/>
    <s v=" "/>
    <s v=" "/>
    <s v=" "/>
    <s v="Ativo"/>
    <x v="2"/>
    <x v="11"/>
    <x v="115"/>
  </r>
  <r>
    <n v="136881"/>
    <x v="441"/>
    <s v="Diretoria Seminovos"/>
    <x v="11"/>
    <s v="LJPET - Loja Seminovos Pelotas"/>
    <s v="ANDERSON SILVEIRA LOPES"/>
    <s v="NEGATIVO"/>
    <d v="1899-12-31T11:12:00"/>
    <d v="1899-12-31T11:12:00"/>
    <d v="1899-12-30T00:00:00"/>
    <s v=" "/>
    <s v=" "/>
    <s v=" "/>
    <s v=" "/>
    <d v="1899-12-31T11:12:00"/>
    <s v=" "/>
    <s v=" "/>
    <s v=" "/>
    <s v=" "/>
    <s v=" "/>
    <s v=" "/>
    <s v=" "/>
    <s v="Contrato de Trabalho Suspenso"/>
    <x v="2"/>
    <x v="11"/>
    <x v="114"/>
  </r>
  <r>
    <n v="122289"/>
    <x v="442"/>
    <s v="Diretoria Seminovos"/>
    <x v="11"/>
    <s v="LJSET - Loja Seminovos Sertório"/>
    <s v="LEONARDO HENRIQUE TREMEA MANCIO"/>
    <s v="NEGATIVO"/>
    <d v="1900-01-04T06:20:00"/>
    <d v="1900-01-04T06:20:00"/>
    <d v="1899-12-30T00:00:00"/>
    <s v=" "/>
    <s v=" "/>
    <s v=" "/>
    <s v=" "/>
    <s v=" "/>
    <d v="1899-12-30T03:08:00"/>
    <s v=" "/>
    <s v=" "/>
    <s v=" "/>
    <s v=" "/>
    <s v=" "/>
    <s v=" "/>
    <s v="Ativo"/>
    <x v="2"/>
    <x v="11"/>
    <x v="116"/>
  </r>
  <r>
    <n v="503339"/>
    <x v="443"/>
    <s v="Diretoria Seminovos"/>
    <x v="11"/>
    <s v="LJJOI - Loja Seminovos Joinville"/>
    <s v="ALEXANDRE PORTO DE CAMARGO"/>
    <s v="NEGATIVO"/>
    <d v="1899-12-30T06:30:00"/>
    <d v="1899-12-30T06:30:00"/>
    <d v="1899-12-30T00:00:00"/>
    <d v="1899-12-30T06:30:00"/>
    <s v=" "/>
    <s v=" "/>
    <s v=" "/>
    <s v=" "/>
    <s v=" "/>
    <s v=" "/>
    <s v=" "/>
    <s v=" "/>
    <s v=" "/>
    <s v=" "/>
    <s v=" "/>
    <s v="Ativo"/>
    <x v="8"/>
    <x v="11"/>
    <x v="117"/>
  </r>
  <r>
    <n v="132479"/>
    <x v="444"/>
    <s v="Diretoria Seminovos"/>
    <x v="11"/>
    <s v="LJCNO - Loja Seminovos Canoas"/>
    <s v="MARCIO SILVA DOS SANTOS"/>
    <s v="NEGATIVO"/>
    <d v="1899-12-31T09:36:00"/>
    <d v="1899-12-31T09:36:00"/>
    <d v="1899-12-30T00:00:00"/>
    <s v=" "/>
    <s v=" "/>
    <s v=" "/>
    <s v=" "/>
    <s v=" "/>
    <s v=" "/>
    <d v="1899-12-30T14:24:00"/>
    <s v=" "/>
    <s v=" "/>
    <s v=" "/>
    <s v=" "/>
    <s v=" "/>
    <s v="Ativo"/>
    <x v="6"/>
    <x v="11"/>
    <x v="118"/>
  </r>
  <r>
    <n v="135957"/>
    <x v="445"/>
    <s v="Diretoria Seminovos"/>
    <x v="11"/>
    <s v="LJPGS - Loja Seminovos Ponta Grossa"/>
    <s v="JOAO MARCELO VARGAS"/>
    <s v="NEGATIVO"/>
    <d v="1900-01-15T03:12:00"/>
    <d v="1900-01-15T03:12:00"/>
    <d v="1899-12-30T00:00:00"/>
    <s v=" "/>
    <s v=" "/>
    <s v=" "/>
    <s v=" "/>
    <s v=" "/>
    <s v=" "/>
    <s v=" "/>
    <s v=" "/>
    <s v=" "/>
    <d v="1900-01-07T10:24:00"/>
    <d v="1900-01-06T16:48:00"/>
    <s v=" "/>
    <s v="Ativo"/>
    <x v="2"/>
    <x v="11"/>
    <x v="119"/>
  </r>
  <r>
    <n v="502925"/>
    <x v="446"/>
    <s v="Diretoria Seminovos"/>
    <x v="11"/>
    <s v="LJGUI - Loja Seminovos Barigui"/>
    <s v="FABIO VLADIMIR JARDIM MADRUGA"/>
    <s v="NEGATIVO"/>
    <d v="1900-01-07T10:24:00"/>
    <d v="1900-01-07T10:24:00"/>
    <d v="1899-12-30T00:00:00"/>
    <s v=" "/>
    <s v=" "/>
    <s v=" "/>
    <s v=" "/>
    <s v=" "/>
    <s v=" "/>
    <s v=" "/>
    <s v=" "/>
    <s v=" "/>
    <d v="1900-01-07T10:24:00"/>
    <s v=" "/>
    <s v=" "/>
    <s v="Ativo"/>
    <x v="2"/>
    <x v="11"/>
    <x v="120"/>
  </r>
  <r>
    <n v="132249"/>
    <x v="447"/>
    <s v="Diretoria Seminovos"/>
    <x v="11"/>
    <s v="LJGUI - Loja Seminovos Barigui"/>
    <s v="FABIO VLADIMIR JARDIM MADRUGA"/>
    <s v="NEGATIVO"/>
    <d v="1899-12-30T15:15:00"/>
    <d v="1899-12-30T15:15:00"/>
    <d v="1899-12-30T00:00:00"/>
    <s v=" "/>
    <s v=" "/>
    <s v=" "/>
    <s v=" "/>
    <s v=" "/>
    <s v=" "/>
    <s v=" "/>
    <s v=" "/>
    <s v=" "/>
    <s v=" "/>
    <d v="1899-12-30T09:07:00"/>
    <d v="1899-12-30T06:03:00"/>
    <s v="Ativo"/>
    <x v="2"/>
    <x v="11"/>
    <x v="120"/>
  </r>
  <r>
    <n v="136513"/>
    <x v="448"/>
    <s v="Diretoria Seminovos"/>
    <x v="11"/>
    <s v="SNLOG/CWB - Gerência de Logística"/>
    <s v="BERNARDO DIAS GOMIDE"/>
    <s v="NEGATIVO"/>
    <d v="1900-01-18T06:00:00"/>
    <d v="1900-01-18T06:00:00"/>
    <d v="1899-12-30T00:00:00"/>
    <s v=" "/>
    <d v="1899-12-31T20:00:00"/>
    <d v="1900-01-05T23:12:00"/>
    <d v="1900-01-05T14:24:00"/>
    <d v="1900-01-01T00:24:00"/>
    <d v="1899-12-31T20:00:00"/>
    <s v=" "/>
    <s v=" "/>
    <s v=" "/>
    <s v=" "/>
    <s v=" "/>
    <s v=" "/>
    <s v="Ativo"/>
    <x v="1"/>
    <x v="11"/>
    <x v="9"/>
  </r>
  <r>
    <n v="501416"/>
    <x v="449"/>
    <s v="Diretoria Seminovos"/>
    <x v="11"/>
    <s v="LJSET - Loja Seminovos Sertório"/>
    <s v="LEONARDO HENRIQUE TREMEA MANCIO"/>
    <s v="NEGATIVO"/>
    <d v="1900-01-01T04:33:00"/>
    <d v="1900-01-01T04:33:00"/>
    <d v="1899-12-30T00:00:00"/>
    <s v=" "/>
    <s v=" "/>
    <d v="1899-12-30T16:33:00"/>
    <s v=" "/>
    <s v=" "/>
    <s v=" "/>
    <s v=" "/>
    <s v=" "/>
    <s v=" "/>
    <s v=" "/>
    <s v=" "/>
    <s v=" "/>
    <s v="Ativo"/>
    <x v="6"/>
    <x v="11"/>
    <x v="116"/>
  </r>
  <r>
    <n v="124321"/>
    <x v="450"/>
    <s v="Diretoria Seminovos"/>
    <x v="11"/>
    <s v="LJSLP - Loja Seminovos São Leopoldo"/>
    <s v="MARCONCINE DE MATOS"/>
    <s v="NEGATIVO"/>
    <d v="1900-01-05T05:36:00"/>
    <d v="1900-01-05T05:36:00"/>
    <d v="1899-12-30T00:00:00"/>
    <s v=" "/>
    <s v=" "/>
    <s v=" "/>
    <s v=" "/>
    <s v=" "/>
    <d v="1900-01-05T05:36:00"/>
    <s v=" "/>
    <s v=" "/>
    <s v=" "/>
    <s v=" "/>
    <s v=" "/>
    <s v=" "/>
    <s v="Ativo"/>
    <x v="2"/>
    <x v="11"/>
    <x v="121"/>
  </r>
  <r>
    <n v="136617"/>
    <x v="451"/>
    <s v="Diretoria Seminovos"/>
    <x v="11"/>
    <s v="LJITJ - Loja Seminovos Itajaí"/>
    <s v="PAULO SERGIO APARECIDO DE CARVALHO"/>
    <s v="NEGATIVO"/>
    <d v="1900-01-11T20:00:00"/>
    <d v="1900-01-11T20:00:00"/>
    <d v="1899-12-30T00:00:00"/>
    <s v=" "/>
    <s v=" "/>
    <s v=" "/>
    <s v=" "/>
    <d v="1900-01-07T10:24:00"/>
    <d v="1900-01-03T09:36:00"/>
    <s v=" "/>
    <s v=" "/>
    <s v=" "/>
    <s v=" "/>
    <s v=" "/>
    <s v=" "/>
    <s v="Ativo"/>
    <x v="2"/>
    <x v="11"/>
    <x v="109"/>
  </r>
  <r>
    <n v="137138"/>
    <x v="452"/>
    <s v="Diretoria Seminovos"/>
    <x v="11"/>
    <s v="LJLGS -  Loja Seminovos Lages"/>
    <s v="JOAO MARCELO VARGAS"/>
    <s v="NEGATIVO"/>
    <d v="1900-01-01T10:03:00"/>
    <d v="1900-01-01T10:03:00"/>
    <d v="1899-12-30T00:00:00"/>
    <s v=" "/>
    <s v=" "/>
    <s v=" "/>
    <s v=" "/>
    <d v="1900-01-01T02:07:00"/>
    <d v="1899-12-30T05:37:00"/>
    <s v=" "/>
    <s v=" "/>
    <s v=" "/>
    <s v=" "/>
    <s v=" "/>
    <s v=" "/>
    <s v="Ativo"/>
    <x v="2"/>
    <x v="11"/>
    <x v="122"/>
  </r>
  <r>
    <n v="134208"/>
    <x v="453"/>
    <s v="Diretoria Seminovos"/>
    <x v="11"/>
    <s v="LJFLN - Vendas Varejo Seminovos Florianópolis"/>
    <s v="JOAO MARCELO VARGAS"/>
    <s v="NEGATIVO"/>
    <d v="1899-12-30T00:51:00"/>
    <d v="1899-12-30T00:51:00"/>
    <d v="1899-12-30T00:00:00"/>
    <s v=" "/>
    <s v=" "/>
    <s v=" "/>
    <s v=" "/>
    <s v=" "/>
    <s v=" "/>
    <d v="1899-12-30T04:05:00"/>
    <s v=" "/>
    <s v=" "/>
    <s v=" "/>
    <s v=" "/>
    <s v=" "/>
    <s v="Ativo"/>
    <x v="3"/>
    <x v="11"/>
    <x v="113"/>
  </r>
  <r>
    <n v="132028"/>
    <x v="454"/>
    <s v="Diretoria Seminovos"/>
    <x v="11"/>
    <s v="LJSJE - Loja Seminovos São José"/>
    <s v="EDISON RAPHAEL ESAIER SETTIN"/>
    <s v="NEGATIVO"/>
    <d v="1899-12-31T00:26:00"/>
    <d v="1899-12-31T00:26:00"/>
    <d v="1899-12-30T00:00:00"/>
    <s v=" "/>
    <s v=" "/>
    <d v="1899-12-30T09:26:00"/>
    <d v="1899-12-30T07:00:00"/>
    <s v=" "/>
    <s v=" "/>
    <d v="1899-12-30T08:00:00"/>
    <s v=" "/>
    <s v=" "/>
    <s v=" "/>
    <s v=" "/>
    <s v=" "/>
    <s v="Contrato de Trabalho Suspenso"/>
    <x v="2"/>
    <x v="11"/>
    <x v="108"/>
  </r>
  <r>
    <n v="136239"/>
    <x v="455"/>
    <s v="Diretoria Seminovos"/>
    <x v="11"/>
    <s v="LJSMR - Loja Seminovos Santa Maria"/>
    <s v="CHARLES FRIEDHEIN MARCHESAN"/>
    <s v="NEGATIVO"/>
    <d v="1900-01-03T12:00:00"/>
    <d v="1900-01-03T12:00:00"/>
    <d v="1899-12-30T00:00:00"/>
    <s v=" "/>
    <s v=" "/>
    <s v=" "/>
    <s v=" "/>
    <d v="1900-01-03T12:00:00"/>
    <s v=" "/>
    <s v=" "/>
    <s v=" "/>
    <s v=" "/>
    <s v=" "/>
    <s v=" "/>
    <s v=" "/>
    <s v="Ativo"/>
    <x v="9"/>
    <x v="11"/>
    <x v="115"/>
  </r>
  <r>
    <n v="133600"/>
    <x v="456"/>
    <s v="Diretoria Seminovos"/>
    <x v="11"/>
    <s v="LJPET - Loja Seminovos Pelotas"/>
    <s v="ANDERSON SILVEIRA LOPES"/>
    <s v="NEGATIVO"/>
    <d v="1900-01-01T08:07:00"/>
    <d v="1900-01-01T08:07:00"/>
    <d v="1899-12-30T00:00:00"/>
    <s v=" "/>
    <s v=" "/>
    <d v="1899-12-30T16:07:00"/>
    <s v=" "/>
    <s v=" "/>
    <d v="1899-12-31T16:00:00"/>
    <s v=" "/>
    <s v=" "/>
    <s v=" "/>
    <s v=" "/>
    <s v=" "/>
    <s v=" "/>
    <s v="Ativo"/>
    <x v="2"/>
    <x v="11"/>
    <x v="114"/>
  </r>
  <r>
    <n v="130648"/>
    <x v="457"/>
    <s v="Diretoria Seminovos"/>
    <x v="11"/>
    <s v="LJGRA - Loja Seminovos Gravataí"/>
    <s v="DANIEL DA SILVA CARDOSO"/>
    <s v="NEGATIVO"/>
    <d v="1899-12-31T18:53:00"/>
    <d v="1899-12-31T18:53:00"/>
    <d v="1899-12-30T00:00:00"/>
    <s v=" "/>
    <s v=" "/>
    <s v=" "/>
    <s v=" "/>
    <s v=" "/>
    <d v="1899-12-31T14:53:00"/>
    <d v="1899-12-30T04:00:00"/>
    <s v=" "/>
    <s v=" "/>
    <s v=" "/>
    <s v=" "/>
    <s v=" "/>
    <s v="Ativo"/>
    <x v="2"/>
    <x v="11"/>
    <x v="123"/>
  </r>
  <r>
    <n v="125791"/>
    <x v="458"/>
    <s v="Diretoria Seminovos"/>
    <x v="11"/>
    <s v="LJPOA - Loja Seminovos Porto Alegre"/>
    <s v="FABIO MACHADO PAIXAO"/>
    <s v="NEGATIVO"/>
    <d v="1899-12-30T01:55:00"/>
    <d v="1899-12-30T01:55:00"/>
    <d v="1899-12-30T00:00:00"/>
    <s v=" "/>
    <s v=" "/>
    <s v=" "/>
    <s v=" "/>
    <s v=" "/>
    <s v=" "/>
    <d v="1899-12-30T01:55:00"/>
    <s v=" "/>
    <s v=" "/>
    <s v=" "/>
    <s v=" "/>
    <s v=" "/>
    <s v="Contrato de Trabalho Suspenso"/>
    <x v="2"/>
    <x v="11"/>
    <x v="107"/>
  </r>
  <r>
    <n v="122991"/>
    <x v="459"/>
    <s v="Diretoria Seminovos"/>
    <x v="11"/>
    <s v="LJSET - Loja Seminovos Sertório"/>
    <s v="LEONARDO HENRIQUE TREMEA MANCIO"/>
    <s v="NEGATIVO"/>
    <d v="1899-12-31T08:22:00"/>
    <d v="1899-12-31T08:22:00"/>
    <d v="1899-12-30T00:00:00"/>
    <s v=" "/>
    <s v=" "/>
    <s v=" "/>
    <s v=" "/>
    <s v=" "/>
    <d v="1899-12-31T02:05:00"/>
    <d v="1899-12-30T05:42:00"/>
    <s v=" "/>
    <s v=" "/>
    <s v=" "/>
    <s v=" "/>
    <s v=" "/>
    <s v="Ativo"/>
    <x v="2"/>
    <x v="11"/>
    <x v="116"/>
  </r>
  <r>
    <n v="120368"/>
    <x v="460"/>
    <s v="Diretoria Seminovos"/>
    <x v="11"/>
    <s v="LJSJE - Loja Seminovos São José"/>
    <s v="EDISON RAPHAEL ESAIER SETTIN"/>
    <s v="NEGATIVO"/>
    <d v="1899-12-30T09:58:00"/>
    <d v="1899-12-30T09:58:00"/>
    <d v="1899-12-30T00:00:00"/>
    <s v=" "/>
    <s v=" "/>
    <d v="1899-12-30T01:58:00"/>
    <d v="1899-12-30T08:00:00"/>
    <s v=" "/>
    <s v=" "/>
    <s v=" "/>
    <s v=" "/>
    <s v=" "/>
    <s v=" "/>
    <s v=" "/>
    <s v=" "/>
    <s v="Ativo"/>
    <x v="2"/>
    <x v="11"/>
    <x v="108"/>
  </r>
  <r>
    <n v="118005"/>
    <x v="461"/>
    <s v="Diretoria Seminovos"/>
    <x v="11"/>
    <s v="LJCWB - Loja Seminovos Curitiba"/>
    <s v="ADRIANO LINS"/>
    <s v="NEGATIVO"/>
    <d v="1899-12-31T11:51:00"/>
    <d v="1899-12-31T11:51:00"/>
    <d v="1899-12-30T00:00:00"/>
    <s v=" "/>
    <s v=" "/>
    <s v=" "/>
    <s v=" "/>
    <s v=" "/>
    <s v=" "/>
    <s v=" "/>
    <s v=" "/>
    <s v=" "/>
    <d v="1899-12-30T09:29:00"/>
    <d v="1899-12-30T21:40:00"/>
    <d v="1899-12-30T03:53:00"/>
    <s v="Ativo"/>
    <x v="2"/>
    <x v="11"/>
    <x v="110"/>
  </r>
  <r>
    <n v="119308"/>
    <x v="462"/>
    <s v="Diretoria Seminovos"/>
    <x v="11"/>
    <s v="LJBNU - Loja Seminovos Blumenau"/>
    <s v="JOAO MARCELO VARGAS"/>
    <s v="NEGATIVO"/>
    <d v="1899-12-30T01:09:00"/>
    <d v="1899-12-30T01:09:00"/>
    <d v="1899-12-30T00:00:00"/>
    <s v=" "/>
    <s v=" "/>
    <s v=" "/>
    <s v=" "/>
    <s v=" "/>
    <d v="1899-12-30T01:09:00"/>
    <s v=" "/>
    <s v=" "/>
    <s v=" "/>
    <s v=" "/>
    <s v=" "/>
    <s v=" "/>
    <s v="Ativo"/>
    <x v="2"/>
    <x v="11"/>
    <x v="111"/>
  </r>
  <r>
    <n v="133302"/>
    <x v="463"/>
    <s v="Diretoria Seminovos"/>
    <x v="11"/>
    <s v="LJSLP - Loja Seminovos São Leopoldo"/>
    <s v="MARCONCINE DE MATOS"/>
    <s v="NEGATIVO"/>
    <d v="1899-12-30T08:48:00"/>
    <d v="1899-12-30T08:48:00"/>
    <d v="1899-12-30T00:00:00"/>
    <s v=" "/>
    <s v=" "/>
    <s v=" "/>
    <s v=" "/>
    <s v=" "/>
    <s v=" "/>
    <d v="1899-12-30T08:48:00"/>
    <s v=" "/>
    <s v=" "/>
    <s v=" "/>
    <s v=" "/>
    <s v=" "/>
    <s v="Contrato de Trabalho Suspenso"/>
    <x v="2"/>
    <x v="11"/>
    <x v="121"/>
  </r>
  <r>
    <n v="131093"/>
    <x v="464"/>
    <s v="Diretoria Seminovos"/>
    <x v="11"/>
    <s v="LJGRA - Vendas Varejo Seminovos Gravataí"/>
    <s v="DANIEL DA SILVA CARDOSO"/>
    <s v="NEGATIVO"/>
    <d v="1899-12-30T05:14:00"/>
    <d v="1899-12-30T05:14:00"/>
    <d v="1899-12-30T00:00:00"/>
    <s v=" "/>
    <s v=" "/>
    <s v=" "/>
    <s v=" "/>
    <s v=" "/>
    <s v=" "/>
    <s v=" "/>
    <s v=" "/>
    <s v=" "/>
    <s v=" "/>
    <s v=" "/>
    <s v=" "/>
    <s v="Ativo"/>
    <x v="3"/>
    <x v="11"/>
    <x v="123"/>
  </r>
  <r>
    <n v="136974"/>
    <x v="465"/>
    <s v="Diretoria Seminovos"/>
    <x v="11"/>
    <s v="LJLGS - Vendas Varejo Seminovos Lages"/>
    <s v="JOAO MARCELO VARGAS"/>
    <s v="NEGATIVO"/>
    <d v="1900-01-06T13:21:00"/>
    <d v="1900-01-06T13:21:00"/>
    <d v="1899-12-30T00:00:00"/>
    <s v=" "/>
    <s v=" "/>
    <s v=" "/>
    <s v=" "/>
    <d v="1900-01-06T07:53:00"/>
    <d v="1899-12-30T04:10:00"/>
    <d v="1899-12-30T00:24:00"/>
    <s v=" "/>
    <s v=" "/>
    <s v=" "/>
    <s v=" "/>
    <s v=" "/>
    <s v="Ativo"/>
    <x v="3"/>
    <x v="11"/>
    <x v="122"/>
  </r>
  <r>
    <n v="503594"/>
    <x v="466"/>
    <s v="Diretoria Seminovos"/>
    <x v="11"/>
    <s v="LJJOI - Vendas Varejo Seminovos Joinville"/>
    <s v="ALEXANDRE PORTO DE CAMARGO"/>
    <s v="NEGATIVO"/>
    <d v="1899-12-31T01:52:00"/>
    <d v="1899-12-31T01:52:00"/>
    <d v="1899-12-30T00:00:00"/>
    <s v=" "/>
    <s v=" "/>
    <s v=" "/>
    <s v=" "/>
    <s v=" "/>
    <s v=" "/>
    <d v="1899-12-30T14:22:00"/>
    <s v=" "/>
    <s v=" "/>
    <s v=" "/>
    <s v=" "/>
    <s v=" "/>
    <s v="Ativo"/>
    <x v="3"/>
    <x v="11"/>
    <x v="117"/>
  </r>
  <r>
    <n v="132269"/>
    <x v="467"/>
    <s v="Diretoria Seminovos"/>
    <x v="11"/>
    <s v="LJCCM - Vendas Varejo Seminovos Criciúma"/>
    <s v="RICARDO ROSA PACHECO"/>
    <s v="NEGATIVO"/>
    <d v="1900-01-03T04:47:00"/>
    <d v="1900-01-03T04:47:00"/>
    <d v="1899-12-30T00:00:00"/>
    <s v=" "/>
    <s v=" "/>
    <s v=" "/>
    <s v=" "/>
    <s v=" "/>
    <d v="1900-01-02T13:28:00"/>
    <d v="1899-12-30T19:58:00"/>
    <s v=" "/>
    <s v=" "/>
    <s v=" "/>
    <s v=" "/>
    <s v=" "/>
    <s v="Ativo"/>
    <x v="3"/>
    <x v="11"/>
    <x v="124"/>
  </r>
  <r>
    <n v="135367"/>
    <x v="468"/>
    <s v="Diretoria Seminovos"/>
    <x v="11"/>
    <s v="LJSMR - Vendas Varejo Seminovos Santa Maria"/>
    <s v="CHARLES FRIEDHEIN MARCHESAN"/>
    <s v="NEGATIVO"/>
    <d v="1899-12-30T07:58:00"/>
    <d v="1899-12-30T07:58:00"/>
    <d v="1899-12-30T00:00:00"/>
    <s v=" "/>
    <s v=" "/>
    <s v=" "/>
    <s v=" "/>
    <s v=" "/>
    <d v="1899-12-30T07:58:00"/>
    <s v=" "/>
    <s v=" "/>
    <s v=" "/>
    <s v=" "/>
    <s v=" "/>
    <s v=" "/>
    <s v="Ativo"/>
    <x v="3"/>
    <x v="11"/>
    <x v="115"/>
  </r>
  <r>
    <n v="135756"/>
    <x v="469"/>
    <s v="Diretoria Seminovos"/>
    <x v="11"/>
    <s v="LJJOI - Vendas Varejo Seminovos Joinville"/>
    <s v="ALEXANDRE PORTO DE CAMARGO"/>
    <s v="NEGATIVO"/>
    <d v="1899-12-30T02:23:00"/>
    <d v="1899-12-30T02:23:00"/>
    <d v="1899-12-30T00:00:00"/>
    <s v=" "/>
    <s v=" "/>
    <s v=" "/>
    <s v=" "/>
    <s v=" "/>
    <s v=" "/>
    <d v="1899-12-30T04:28:00"/>
    <s v=" "/>
    <s v=" "/>
    <s v=" "/>
    <s v=" "/>
    <s v=" "/>
    <s v="Ativo"/>
    <x v="3"/>
    <x v="11"/>
    <x v="117"/>
  </r>
  <r>
    <n v="137011"/>
    <x v="470"/>
    <s v="Diretoria Seminovos"/>
    <x v="11"/>
    <s v="LJLGS - Vendas Varejo Seminovos Lages"/>
    <s v="JOAO MARCELO VARGAS"/>
    <s v="NEGATIVO"/>
    <d v="1900-01-07T11:35:00"/>
    <d v="1900-01-07T11:35:00"/>
    <d v="1899-12-30T00:00:00"/>
    <s v=" "/>
    <s v=" "/>
    <s v=" "/>
    <s v=" "/>
    <d v="1900-01-07T06:15:00"/>
    <d v="1899-12-30T05:41:00"/>
    <d v="1899-12-30T00:58:00"/>
    <s v=" "/>
    <s v=" "/>
    <s v=" "/>
    <s v=" "/>
    <s v=" "/>
    <s v="Ativo"/>
    <x v="3"/>
    <x v="11"/>
    <x v="122"/>
  </r>
  <r>
    <n v="125852"/>
    <x v="471"/>
    <s v="Diretoria Seminovos"/>
    <x v="11"/>
    <s v="LJSJE - Vendas Varejo Seminovos São José"/>
    <s v="EDISON RAPHAEL ESAIER SETTIN"/>
    <s v="NEGATIVO"/>
    <d v="1899-12-30T16:18:00"/>
    <d v="1899-12-30T16:18:00"/>
    <d v="1899-12-30T00:00:00"/>
    <d v="1899-12-30T02:00:00"/>
    <d v="1899-12-30T09:41:00"/>
    <d v="1899-12-30T00:19:00"/>
    <s v=" "/>
    <s v=" "/>
    <d v="1899-12-30T04:18:00"/>
    <s v=" "/>
    <s v=" "/>
    <s v=" "/>
    <s v=" "/>
    <s v=" "/>
    <s v=" "/>
    <s v="Ativo"/>
    <x v="3"/>
    <x v="11"/>
    <x v="108"/>
  </r>
  <r>
    <n v="130583"/>
    <x v="472"/>
    <s v="Diretoria Seminovos"/>
    <x v="11"/>
    <s v="LJITJ - Vendas Varejo Seminovos Itajaí"/>
    <s v="PAULO SERGIO APARECIDO DE CARVALHO"/>
    <s v="NEGATIVO"/>
    <d v="1900-01-03T21:28:00"/>
    <d v="1900-01-03T21:28:00"/>
    <d v="1899-12-30T00:00:00"/>
    <s v=" "/>
    <s v=" "/>
    <s v=" "/>
    <s v=" "/>
    <s v=" "/>
    <d v="1900-01-03T21:28:00"/>
    <s v=" "/>
    <s v=" "/>
    <s v=" "/>
    <s v=" "/>
    <s v=" "/>
    <s v=" "/>
    <s v="Ativo"/>
    <x v="3"/>
    <x v="11"/>
    <x v="109"/>
  </r>
  <r>
    <n v="129919"/>
    <x v="473"/>
    <s v="Diretoria Seminovos"/>
    <x v="11"/>
    <s v="LJGUI - Vendas Varejo Seminovos Barigui"/>
    <s v="FABIO VLADIMIR JARDIM MADRUGA"/>
    <s v="NEGATIVO"/>
    <d v="1899-12-31T10:51:00"/>
    <d v="1899-12-31T10:51:00"/>
    <d v="1899-12-30T00:00:00"/>
    <s v=" "/>
    <s v=" "/>
    <s v=" "/>
    <s v=" "/>
    <s v=" "/>
    <s v=" "/>
    <s v=" "/>
    <s v=" "/>
    <s v=" "/>
    <d v="1899-12-30T00:47:00"/>
    <d v="1899-12-31T08:49:00"/>
    <d v="1899-12-30T01:15:00"/>
    <s v="Contrato de Trabalho Suspenso"/>
    <x v="3"/>
    <x v="11"/>
    <x v="120"/>
  </r>
  <r>
    <n v="134591"/>
    <x v="474"/>
    <s v="Diretoria Seminovos"/>
    <x v="11"/>
    <s v="LJGRA - Vendas Varejo Seminovos Gravataí"/>
    <s v="DANIEL DA SILVA CARDOSO"/>
    <s v="NEGATIVO"/>
    <d v="1899-12-30T11:45:00"/>
    <d v="1899-12-30T11:45:00"/>
    <d v="1899-12-30T00:00:00"/>
    <s v=" "/>
    <s v=" "/>
    <s v=" "/>
    <s v=" "/>
    <s v=" "/>
    <s v=" "/>
    <d v="1899-12-30T04:11:00"/>
    <s v=" "/>
    <s v=" "/>
    <s v=" "/>
    <s v=" "/>
    <s v=" "/>
    <s v="Ativo"/>
    <x v="3"/>
    <x v="11"/>
    <x v="123"/>
  </r>
  <r>
    <n v="133956"/>
    <x v="475"/>
    <s v="Diretoria Seminovos"/>
    <x v="11"/>
    <s v="LJSET - Vendas Varejo Seminovos Sertório"/>
    <s v="LEONARDO HENRIQUE TREMEA MANCIO"/>
    <s v="NEGATIVO"/>
    <d v="1899-12-30T16:39:00"/>
    <d v="1899-12-30T16:39:00"/>
    <d v="1899-12-30T00:00:00"/>
    <s v=" "/>
    <s v=" "/>
    <s v=" "/>
    <s v=" "/>
    <s v=" "/>
    <d v="1899-12-30T05:52:00"/>
    <d v="1899-12-30T14:18:00"/>
    <s v=" "/>
    <s v=" "/>
    <s v=" "/>
    <s v=" "/>
    <s v=" "/>
    <s v="Ativo"/>
    <x v="3"/>
    <x v="11"/>
    <x v="116"/>
  </r>
  <r>
    <n v="129828"/>
    <x v="476"/>
    <s v="Diretoria Seminovos"/>
    <x v="11"/>
    <s v="LJJOI - Vendas Varejo Seminovos Joinville"/>
    <s v="ALEXANDRE PORTO DE CAMARGO"/>
    <s v="NEGATIVO"/>
    <d v="1900-01-02T08:07:00"/>
    <d v="1900-01-02T08:07:00"/>
    <d v="1899-12-30T00:00:00"/>
    <s v=" "/>
    <s v=" "/>
    <s v=" "/>
    <s v=" "/>
    <d v="1899-12-30T17:53:00"/>
    <d v="1899-12-31T19:27:00"/>
    <d v="1899-12-30T13:11:00"/>
    <s v=" "/>
    <s v=" "/>
    <s v=" "/>
    <s v=" "/>
    <s v=" "/>
    <s v="Ativo"/>
    <x v="3"/>
    <x v="11"/>
    <x v="117"/>
  </r>
  <r>
    <n v="136171"/>
    <x v="477"/>
    <s v="Diretoria Seminovos"/>
    <x v="11"/>
    <s v="LJPOA - Vendas Varejo Seminovos Porto Alegre"/>
    <s v="FABIO MACHADO PAIXAO"/>
    <s v="NEGATIVO"/>
    <d v="1899-12-30T09:35:00"/>
    <d v="1899-12-30T09:35:00"/>
    <d v="1899-12-30T00:00:00"/>
    <s v=" "/>
    <s v=" "/>
    <d v="1899-12-30T08:29:00"/>
    <s v=" "/>
    <d v="1899-12-30T07:12:00"/>
    <s v=" "/>
    <s v=" "/>
    <s v=" "/>
    <s v=" "/>
    <s v=" "/>
    <s v=" "/>
    <s v=" "/>
    <s v="Ativo"/>
    <x v="3"/>
    <x v="11"/>
    <x v="107"/>
  </r>
  <r>
    <n v="131888"/>
    <x v="478"/>
    <s v="Diretoria Seminovos"/>
    <x v="11"/>
    <s v="LJPET - Vendas Varejo Seminovos Pelotas"/>
    <s v="ANDERSON SILVEIRA LOPES"/>
    <s v="NEGATIVO"/>
    <d v="1899-12-30T04:53:00"/>
    <d v="1899-12-30T04:53:00"/>
    <d v="1899-12-30T00:00:00"/>
    <s v=" "/>
    <s v=" "/>
    <s v=" "/>
    <s v=" "/>
    <s v=" "/>
    <d v="1899-12-30T04:53:00"/>
    <s v=" "/>
    <s v=" "/>
    <s v=" "/>
    <s v=" "/>
    <s v=" "/>
    <s v=" "/>
    <s v="Contrato de Trabalho Suspenso"/>
    <x v="3"/>
    <x v="11"/>
    <x v="114"/>
  </r>
  <r>
    <n v="130386"/>
    <x v="479"/>
    <s v="Diretoria Seminovos"/>
    <x v="11"/>
    <s v="LJPOA - Vendas Varejo Seminovos Porto Alegre"/>
    <s v="FABIO MACHADO PAIXAO"/>
    <s v="NEGATIVO"/>
    <d v="1900-01-05T03:50:00"/>
    <d v="1900-01-05T03:50:00"/>
    <d v="1899-12-30T00:00:00"/>
    <s v=" "/>
    <s v=" "/>
    <s v=" "/>
    <d v="1899-12-30T00:38:00"/>
    <d v="1900-01-04T05:36:00"/>
    <d v="1899-12-30T21:36:00"/>
    <s v=" "/>
    <s v=" "/>
    <s v=" "/>
    <s v=" "/>
    <s v=" "/>
    <s v=" "/>
    <s v="Ativo"/>
    <x v="3"/>
    <x v="11"/>
    <x v="107"/>
  </r>
  <r>
    <n v="135747"/>
    <x v="480"/>
    <s v="Diretoria Seminovos"/>
    <x v="11"/>
    <s v="LJSET - Vendas Varejo Seminovos Sertório"/>
    <s v="LEONARDO HENRIQUE TREMEA MANCIO"/>
    <s v="NEGATIVO"/>
    <d v="1899-12-30T01:25:00"/>
    <d v="1899-12-30T01:25:00"/>
    <d v="1899-12-30T00:00:00"/>
    <s v=" "/>
    <s v=" "/>
    <s v=" "/>
    <s v=" "/>
    <s v=" "/>
    <s v=" "/>
    <d v="1899-12-30T22:19:00"/>
    <s v=" "/>
    <s v=" "/>
    <s v=" "/>
    <s v=" "/>
    <s v=" "/>
    <s v="Ativo"/>
    <x v="3"/>
    <x v="11"/>
    <x v="116"/>
  </r>
  <r>
    <n v="133434"/>
    <x v="481"/>
    <s v="Diretoria Seminovos"/>
    <x v="11"/>
    <s v="LJJOI - Vendas Varejo Seminovos Joinville"/>
    <s v="ALEXANDRE PORTO DE CAMARGO"/>
    <s v="NEGATIVO"/>
    <d v="1899-12-30T14:26:00"/>
    <d v="1899-12-30T14:26:00"/>
    <d v="1899-12-30T00:00:00"/>
    <s v=" "/>
    <s v=" "/>
    <s v=" "/>
    <s v=" "/>
    <s v=" "/>
    <s v=" "/>
    <d v="1899-12-30T14:30:00"/>
    <s v=" "/>
    <s v=" "/>
    <s v=" "/>
    <s v=" "/>
    <s v=" "/>
    <s v="Ativo"/>
    <x v="3"/>
    <x v="11"/>
    <x v="117"/>
  </r>
  <r>
    <n v="129864"/>
    <x v="482"/>
    <s v="Diretoria Seminovos"/>
    <x v="11"/>
    <s v="LJPOA - Vendas Varejo Seminovos Porto Alegre"/>
    <s v="FABIO MACHADO PAIXAO"/>
    <s v="NEGATIVO"/>
    <d v="1899-12-30T09:15:00"/>
    <d v="1899-12-30T09:15:00"/>
    <d v="1899-12-30T00:00:00"/>
    <s v=" "/>
    <s v=" "/>
    <s v=" "/>
    <s v=" "/>
    <d v="1899-12-30T02:03:00"/>
    <d v="1899-12-30T07:12:00"/>
    <s v=" "/>
    <s v=" "/>
    <s v=" "/>
    <s v=" "/>
    <s v=" "/>
    <s v=" "/>
    <s v="Contrato de Trabalho Suspenso"/>
    <x v="3"/>
    <x v="11"/>
    <x v="107"/>
  </r>
  <r>
    <n v="132718"/>
    <x v="483"/>
    <s v="Diretoria Seminovos"/>
    <x v="11"/>
    <s v="LJPET - Vendas Varejo Seminovos Pelotas"/>
    <s v="ANDERSON SILVEIRA LOPES"/>
    <s v="NEGATIVO"/>
    <d v="1899-12-30T09:06:00"/>
    <d v="1899-12-30T09:06:00"/>
    <d v="1899-12-30T00:00:00"/>
    <s v=" "/>
    <s v=" "/>
    <d v="1899-12-30T09:06:00"/>
    <s v=" "/>
    <s v=" "/>
    <s v=" "/>
    <s v=" "/>
    <s v=" "/>
    <s v=" "/>
    <s v=" "/>
    <s v=" "/>
    <s v=" "/>
    <s v="Ativo"/>
    <x v="3"/>
    <x v="11"/>
    <x v="114"/>
  </r>
  <r>
    <n v="136253"/>
    <x v="484"/>
    <s v="Diretoria Seminovos"/>
    <x v="11"/>
    <s v="LJFLI - Loja Seminovos Florianópolis Ilha"/>
    <s v="DORLI DAVID MACHADO"/>
    <s v="NEGATIVO"/>
    <d v="1899-12-30T20:53:00"/>
    <d v="1899-12-30T20:53:00"/>
    <d v="1899-12-30T00:00:00"/>
    <s v=" "/>
    <s v=" "/>
    <s v=" "/>
    <s v=" "/>
    <s v=" "/>
    <d v="1899-12-30T07:43:00"/>
    <d v="1899-12-30T04:48:00"/>
    <s v=" "/>
    <s v=" "/>
    <s v=" "/>
    <s v=" "/>
    <s v=" "/>
    <s v="Ativo"/>
    <x v="2"/>
    <x v="11"/>
    <x v="112"/>
  </r>
  <r>
    <n v="501809"/>
    <x v="485"/>
    <s v="Diretoria Seminovos"/>
    <x v="11"/>
    <s v="LJSLP - Vendas Varejo Seminovos São Leopoldo"/>
    <s v="MARCONCINE DE MATOS"/>
    <s v="NEGATIVO"/>
    <d v="1899-12-30T06:32:00"/>
    <d v="1899-12-30T06:32:00"/>
    <d v="1899-12-30T00:00:00"/>
    <s v=" "/>
    <d v="1899-12-30T02:17:00"/>
    <d v="1899-12-30T04:15:00"/>
    <s v=" "/>
    <s v=" "/>
    <s v=" "/>
    <s v=" "/>
    <s v=" "/>
    <s v=" "/>
    <s v=" "/>
    <s v=" "/>
    <s v=" "/>
    <s v="Ativo"/>
    <x v="3"/>
    <x v="11"/>
    <x v="121"/>
  </r>
  <r>
    <n v="130518"/>
    <x v="486"/>
    <s v="Diretoria Seminovos"/>
    <x v="11"/>
    <s v="LJJOI - Vendas Varejo Seminovos Joinville"/>
    <s v="ALEXANDRE PORTO DE CAMARGO"/>
    <s v="NEGATIVO"/>
    <d v="1900-01-02T22:02:00"/>
    <d v="1900-01-02T22:02:00"/>
    <d v="1899-12-30T00:00:00"/>
    <s v=" "/>
    <s v=" "/>
    <s v=" "/>
    <s v=" "/>
    <d v="1899-12-30T16:19:00"/>
    <d v="1900-01-01T05:28:00"/>
    <d v="1899-12-30T20:26:00"/>
    <s v=" "/>
    <s v=" "/>
    <s v=" "/>
    <s v=" "/>
    <s v=" "/>
    <s v="Ativo"/>
    <x v="3"/>
    <x v="11"/>
    <x v="117"/>
  </r>
  <r>
    <n v="130559"/>
    <x v="487"/>
    <s v="Diretoria Seminovos"/>
    <x v="11"/>
    <s v="LJCWB - Vendas Varejo Seminovos Curitiba"/>
    <s v="ADRIANO LINS"/>
    <s v="NEGATIVO"/>
    <d v="1899-12-30T22:48:00"/>
    <d v="1899-12-30T22:48:00"/>
    <d v="1899-12-30T00:00:00"/>
    <s v=" "/>
    <s v=" "/>
    <s v=" "/>
    <s v=" "/>
    <s v=" "/>
    <s v=" "/>
    <s v=" "/>
    <s v=" "/>
    <s v=" "/>
    <s v=" "/>
    <d v="1899-12-30T22:33:00"/>
    <d v="1899-12-30T00:15:00"/>
    <s v="Contrato de Trabalho Suspenso"/>
    <x v="3"/>
    <x v="11"/>
    <x v="110"/>
  </r>
  <r>
    <n v="136518"/>
    <x v="488"/>
    <s v="Diretoria Seminovos"/>
    <x v="11"/>
    <s v="LJPOA - Vendas Varejo Seminovos Porto Alegre"/>
    <s v="FABIO MACHADO PAIXAO"/>
    <s v="NEGATIVO"/>
    <d v="1899-12-30T00:04:00"/>
    <d v="1899-12-30T00:04:00"/>
    <d v="1899-12-30T00:00:00"/>
    <s v=" "/>
    <s v=" "/>
    <d v="1899-12-30T06:40:00"/>
    <s v=" "/>
    <s v=" "/>
    <s v=" "/>
    <s v=" "/>
    <s v=" "/>
    <s v=" "/>
    <s v=" "/>
    <s v=" "/>
    <s v=" "/>
    <s v="Ativo"/>
    <x v="3"/>
    <x v="11"/>
    <x v="107"/>
  </r>
  <r>
    <n v="124602"/>
    <x v="489"/>
    <s v="Diretoria Seminovos"/>
    <x v="11"/>
    <s v="LJPOA - Vendas Varejo Seminovos Porto Alegre"/>
    <s v="FABIO MACHADO PAIXAO"/>
    <s v="NEGATIVO"/>
    <d v="1899-12-30T05:30:00"/>
    <d v="1899-12-30T05:30:00"/>
    <d v="1899-12-30T00:00:00"/>
    <s v=" "/>
    <d v="1899-12-30T05:30:00"/>
    <s v=" "/>
    <s v=" "/>
    <s v=" "/>
    <s v=" "/>
    <s v=" "/>
    <s v=" "/>
    <s v=" "/>
    <s v=" "/>
    <s v=" "/>
    <s v=" "/>
    <s v="Contrato de Trabalho Suspenso"/>
    <x v="3"/>
    <x v="11"/>
    <x v="107"/>
  </r>
  <r>
    <n v="133584"/>
    <x v="490"/>
    <s v="Diretoria Seminovos"/>
    <x v="11"/>
    <s v="LJFLN - Vendas Varejo Seminovos Florianópolis"/>
    <s v="JOAO MARCELO VARGAS"/>
    <s v="NEGATIVO"/>
    <d v="1899-12-30T13:25:00"/>
    <d v="1899-12-30T13:25:00"/>
    <d v="1899-12-30T00:00:00"/>
    <s v=" "/>
    <s v=" "/>
    <s v=" "/>
    <s v=" "/>
    <s v=" "/>
    <s v=" "/>
    <d v="1899-12-30T06:48:00"/>
    <s v=" "/>
    <s v=" "/>
    <s v=" "/>
    <s v=" "/>
    <s v=" "/>
    <s v="Ativo"/>
    <x v="3"/>
    <x v="11"/>
    <x v="113"/>
  </r>
  <r>
    <n v="135963"/>
    <x v="491"/>
    <s v="Diretoria Seminovos"/>
    <x v="11"/>
    <s v="LJPGS - Vendas Varejo Seminovos Ponta Grossa"/>
    <s v="JACKSON DE OLIVEIRA"/>
    <s v="NEGATIVO"/>
    <d v="1900-01-16T14:24:00"/>
    <d v="1900-01-16T14:24:00"/>
    <d v="1899-12-30T00:00:00"/>
    <s v=" "/>
    <s v=" "/>
    <s v=" "/>
    <s v=" "/>
    <s v=" "/>
    <s v=" "/>
    <s v=" "/>
    <s v=" "/>
    <s v=" "/>
    <d v="1900-01-07T10:24:00"/>
    <d v="1900-01-08T04:00:00"/>
    <s v=" "/>
    <s v="Ativo"/>
    <x v="3"/>
    <x v="11"/>
    <x v="119"/>
  </r>
  <r>
    <n v="136870"/>
    <x v="492"/>
    <s v="Diretoria Seminovos"/>
    <x v="11"/>
    <s v="LJJOI - Vendas Varejo Seminovos Joinville"/>
    <s v="ALEXANDRE PORTO DE CAMARGO"/>
    <s v="NEGATIVO"/>
    <d v="1900-01-04T09:05:00"/>
    <d v="1900-01-04T09:05:00"/>
    <d v="1899-12-30T00:00:00"/>
    <s v=" "/>
    <s v=" "/>
    <s v=" "/>
    <s v=" "/>
    <d v="1900-01-01T07:54:00"/>
    <d v="1899-12-31T18:39:00"/>
    <d v="1899-12-30T20:55:00"/>
    <s v=" "/>
    <s v=" "/>
    <s v=" "/>
    <s v=" "/>
    <s v=" "/>
    <s v="Ativo"/>
    <x v="3"/>
    <x v="11"/>
    <x v="117"/>
  </r>
  <r>
    <n v="134860"/>
    <x v="493"/>
    <s v="Diretoria Seminovos"/>
    <x v="11"/>
    <s v="LJSLP - Vendas Varejo Seminovos São Leopoldo"/>
    <s v="MARCONCINE DE MATOS"/>
    <s v="NEGATIVO"/>
    <d v="1899-12-30T02:24:00"/>
    <d v="1899-12-30T02:24:00"/>
    <d v="1899-12-30T00:00:00"/>
    <s v=" "/>
    <d v="1899-12-30T02:03:00"/>
    <d v="1899-12-30T00:21:00"/>
    <s v=" "/>
    <s v=" "/>
    <s v=" "/>
    <s v=" "/>
    <s v=" "/>
    <s v=" "/>
    <s v=" "/>
    <s v=" "/>
    <s v=" "/>
    <s v="Ativo"/>
    <x v="3"/>
    <x v="11"/>
    <x v="121"/>
  </r>
  <r>
    <n v="130848"/>
    <x v="494"/>
    <s v="Diretoria Seminovos"/>
    <x v="11"/>
    <s v="LJSET - Vendas Varejo Seminovos Sertório"/>
    <s v="LEONARDO HENRIQUE TREMEA MANCIO"/>
    <s v="NEGATIVO"/>
    <d v="1899-12-30T03:14:00"/>
    <d v="1899-12-30T03:14:00"/>
    <d v="1899-12-30T00:00:00"/>
    <s v=" "/>
    <s v=" "/>
    <s v=" "/>
    <s v=" "/>
    <s v=" "/>
    <d v="1899-12-30T04:00:00"/>
    <d v="1899-12-30T12:41:00"/>
    <s v=" "/>
    <s v=" "/>
    <s v=" "/>
    <s v=" "/>
    <s v=" "/>
    <s v="Ativo"/>
    <x v="3"/>
    <x v="11"/>
    <x v="116"/>
  </r>
  <r>
    <n v="133457"/>
    <x v="495"/>
    <s v="Diretoria Seminovos"/>
    <x v="11"/>
    <s v="LJJOI - Vendas Varejo Seminovos Joinville"/>
    <s v="ALEXANDRE PORTO DE CAMARGO"/>
    <s v="NEGATIVO"/>
    <d v="1900-01-02T09:53:00"/>
    <d v="1900-01-02T09:53:00"/>
    <d v="1899-12-30T00:00:00"/>
    <s v=" "/>
    <s v=" "/>
    <s v=" "/>
    <s v=" "/>
    <d v="1899-12-30T13:51:00"/>
    <d v="1900-01-01T03:14:00"/>
    <d v="1899-12-30T08:27:00"/>
    <s v=" "/>
    <s v=" "/>
    <s v=" "/>
    <s v=" "/>
    <s v=" "/>
    <s v="Ativo"/>
    <x v="3"/>
    <x v="11"/>
    <x v="117"/>
  </r>
  <r>
    <n v="133698"/>
    <x v="496"/>
    <s v="Diretoria Seminovos"/>
    <x v="11"/>
    <s v="LJPET - Vendas Varejo Seminovos Pelotas"/>
    <s v="ANDERSON SILVEIRA LOPES"/>
    <s v="NEGATIVO"/>
    <d v="1899-12-30T09:50:00"/>
    <d v="1899-12-30T09:50:00"/>
    <d v="1899-12-30T00:00:00"/>
    <s v=" "/>
    <s v=" "/>
    <d v="1899-12-30T09:50:00"/>
    <s v=" "/>
    <s v=" "/>
    <s v=" "/>
    <s v=" "/>
    <s v=" "/>
    <s v=" "/>
    <s v=" "/>
    <s v=" "/>
    <s v=" "/>
    <s v="Ativo"/>
    <x v="3"/>
    <x v="11"/>
    <x v="114"/>
  </r>
  <r>
    <n v="137008"/>
    <x v="497"/>
    <s v="Diretoria Seminovos"/>
    <x v="11"/>
    <s v="LJLGS - Vendas Varejo Seminovos Lages"/>
    <s v="JOAO MARCELO VARGAS"/>
    <s v="NEGATIVO"/>
    <d v="1900-01-07T09:12:00"/>
    <d v="1900-01-07T09:12:00"/>
    <d v="1899-12-30T00:00:00"/>
    <s v=" "/>
    <s v=" "/>
    <s v=" "/>
    <s v=" "/>
    <d v="1900-01-07T08:55:00"/>
    <d v="1899-12-30T01:02:00"/>
    <d v="1899-12-30T00:48:00"/>
    <s v=" "/>
    <s v=" "/>
    <s v=" "/>
    <s v=" "/>
    <s v=" "/>
    <s v="Ativo"/>
    <x v="3"/>
    <x v="11"/>
    <x v="122"/>
  </r>
  <r>
    <n v="133306"/>
    <x v="498"/>
    <s v="Diretoria Seminovos"/>
    <x v="11"/>
    <s v="LJSLP - Vendas Varejo Seminovos São Leopoldo"/>
    <s v="MARCONCINE DE MATOS"/>
    <s v="NEGATIVO"/>
    <d v="1899-12-30T15:16:00"/>
    <d v="1899-12-30T15:16:00"/>
    <d v="1899-12-30T00:00:00"/>
    <d v="1899-12-30T00:03:00"/>
    <d v="1899-12-30T09:36:00"/>
    <d v="1899-12-30T05:37:00"/>
    <s v=" "/>
    <s v=" "/>
    <s v=" "/>
    <s v=" "/>
    <s v=" "/>
    <s v=" "/>
    <s v=" "/>
    <s v=" "/>
    <s v=" "/>
    <s v="Contrato de Trabalho Suspenso"/>
    <x v="3"/>
    <x v="11"/>
    <x v="121"/>
  </r>
  <r>
    <n v="135474"/>
    <x v="499"/>
    <s v="Diretoria Seminovos"/>
    <x v="11"/>
    <s v="LJSLP - Vendas Varejo Seminovos São Leopoldo"/>
    <s v="MARCONCINE DE MATOS"/>
    <s v="NEGATIVO"/>
    <d v="1899-12-30T01:11:00"/>
    <d v="1899-12-30T01:11:00"/>
    <d v="1899-12-30T00:00:00"/>
    <s v=" "/>
    <s v=" "/>
    <d v="1899-12-30T01:05:00"/>
    <d v="1899-12-30T00:06:00"/>
    <s v=" "/>
    <s v=" "/>
    <s v=" "/>
    <s v=" "/>
    <s v=" "/>
    <s v=" "/>
    <s v=" "/>
    <s v=" "/>
    <s v="Ativo"/>
    <x v="3"/>
    <x v="11"/>
    <x v="121"/>
  </r>
  <r>
    <n v="135529"/>
    <x v="500"/>
    <s v="Diretoria Seminovos"/>
    <x v="11"/>
    <s v="LJSMR - Vendas Varejo Seminovos Santa Maria"/>
    <s v="CHARLES FRIEDHEIN MARCHESAN"/>
    <s v="NEGATIVO"/>
    <d v="1899-12-30T01:12:00"/>
    <d v="1899-12-30T01:12:00"/>
    <d v="1899-12-30T00:00:00"/>
    <s v=" "/>
    <s v=" "/>
    <s v=" "/>
    <s v=" "/>
    <s v=" "/>
    <d v="1899-12-30T01:12:00"/>
    <s v=" "/>
    <s v=" "/>
    <s v=" "/>
    <s v=" "/>
    <s v=" "/>
    <s v=" "/>
    <s v="Ativo"/>
    <x v="3"/>
    <x v="11"/>
    <x v="115"/>
  </r>
  <r>
    <n v="136512"/>
    <x v="501"/>
    <s v="Diretoria Seminovos"/>
    <x v="11"/>
    <s v="LJPOA - Vendas Varejo Seminovos Porto Alegre"/>
    <s v="FABIO MACHADO PAIXAO"/>
    <s v="NEGATIVO"/>
    <d v="1899-12-30T08:27:00"/>
    <d v="1899-12-30T08:27:00"/>
    <d v="1899-12-30T00:00:00"/>
    <s v=" "/>
    <s v=" "/>
    <s v=" "/>
    <d v="1899-12-30T10:22:00"/>
    <s v=" "/>
    <s v=" "/>
    <d v="1899-12-30T02:41:00"/>
    <s v=" "/>
    <s v=" "/>
    <s v=" "/>
    <s v=" "/>
    <s v=" "/>
    <s v="Ativo"/>
    <x v="3"/>
    <x v="11"/>
    <x v="107"/>
  </r>
  <r>
    <n v="123688"/>
    <x v="502"/>
    <s v="Diretoria Seminovos"/>
    <x v="11"/>
    <s v="LJSLP - Vendas Varejo Seminovos São Leopoldo"/>
    <s v="MARCONCINE DE MATOS"/>
    <s v="NEGATIVO"/>
    <d v="1899-12-30T03:03:00"/>
    <d v="1899-12-30T03:03:00"/>
    <d v="1899-12-30T00:00:00"/>
    <d v="1899-12-30T02:29:00"/>
    <d v="1899-12-30T00:34:00"/>
    <s v=" "/>
    <s v=" "/>
    <s v=" "/>
    <s v=" "/>
    <s v=" "/>
    <s v=" "/>
    <s v=" "/>
    <s v=" "/>
    <s v=" "/>
    <s v=" "/>
    <s v="Ativo"/>
    <x v="3"/>
    <x v="11"/>
    <x v="121"/>
  </r>
  <r>
    <n v="131591"/>
    <x v="503"/>
    <s v="Diretoria Seminovos"/>
    <x v="11"/>
    <s v="LJSLP - Vendas Varejo Seminovos São Leopoldo"/>
    <s v="MARCONCINE DE MATOS"/>
    <s v="NEGATIVO"/>
    <d v="1899-12-30T13:56:00"/>
    <d v="1899-12-30T13:56:00"/>
    <d v="1899-12-30T00:00:00"/>
    <s v=" "/>
    <d v="1899-12-30T04:35:00"/>
    <d v="1899-12-30T09:21:00"/>
    <s v=" "/>
    <s v=" "/>
    <s v=" "/>
    <s v=" "/>
    <s v=" "/>
    <s v=" "/>
    <s v=" "/>
    <s v=" "/>
    <s v=" "/>
    <s v="Contrato de Trabalho Suspenso"/>
    <x v="3"/>
    <x v="11"/>
    <x v="121"/>
  </r>
  <r>
    <n v="132184"/>
    <x v="504"/>
    <s v="Diretoria Seminovos"/>
    <x v="11"/>
    <s v="LJCCM - Vendas Varejo Seminovos Criciúma"/>
    <s v="RICARDO ROSA PACHECO"/>
    <s v="NEGATIVO"/>
    <d v="1899-12-30T05:46:00"/>
    <d v="1899-12-30T05:46:00"/>
    <d v="1899-12-30T00:00:00"/>
    <s v=" "/>
    <s v=" "/>
    <s v=" "/>
    <s v=" "/>
    <s v=" "/>
    <d v="1899-12-30T04:12:00"/>
    <d v="1899-12-30T05:06:00"/>
    <s v=" "/>
    <s v=" "/>
    <s v=" "/>
    <s v=" "/>
    <s v=" "/>
    <s v="Ativo"/>
    <x v="3"/>
    <x v="11"/>
    <x v="124"/>
  </r>
  <r>
    <n v="130636"/>
    <x v="505"/>
    <s v="Diretoria Seminovos"/>
    <x v="11"/>
    <s v="LJGRA - Vendas Varejo Seminovos Gravataí"/>
    <s v="DANIEL DA SILVA CARDOSO"/>
    <s v="NEGATIVO"/>
    <d v="1899-12-31T01:02:00"/>
    <d v="1899-12-31T01:02:00"/>
    <d v="1899-12-30T00:00:00"/>
    <s v=" "/>
    <s v=" "/>
    <s v=" "/>
    <s v=" "/>
    <s v=" "/>
    <s v=" "/>
    <d v="1899-12-30T11:08:00"/>
    <s v=" "/>
    <s v=" "/>
    <s v=" "/>
    <s v=" "/>
    <s v=" "/>
    <s v="Ativo"/>
    <x v="3"/>
    <x v="11"/>
    <x v="123"/>
  </r>
  <r>
    <n v="135651"/>
    <x v="506"/>
    <s v="Diretoria Seminovos"/>
    <x v="11"/>
    <s v="LJFLN - Vendas Varejo Seminovos Florianópolis"/>
    <s v="JOAO MARCELO VARGAS"/>
    <s v="NEGATIVO"/>
    <d v="1899-12-30T14:25:00"/>
    <d v="1899-12-30T14:25:00"/>
    <d v="1899-12-30T00:00:00"/>
    <s v=" "/>
    <s v=" "/>
    <s v=" "/>
    <s v=" "/>
    <s v=" "/>
    <s v=" "/>
    <d v="1899-12-30T09:08:00"/>
    <s v=" "/>
    <s v=" "/>
    <s v=" "/>
    <s v=" "/>
    <s v=" "/>
    <s v="Ativo"/>
    <x v="3"/>
    <x v="11"/>
    <x v="113"/>
  </r>
  <r>
    <n v="130388"/>
    <x v="507"/>
    <s v="Diretoria Seminovos"/>
    <x v="11"/>
    <s v="LJCWB - Vendas Varejo Seminovos Curitiba"/>
    <s v="ADRIANO LINS"/>
    <s v="NEGATIVO"/>
    <d v="1899-12-30T08:14:00"/>
    <d v="1899-12-30T08:14:00"/>
    <d v="1899-12-30T00:00:00"/>
    <s v=" "/>
    <s v=" "/>
    <s v=" "/>
    <s v=" "/>
    <s v=" "/>
    <s v=" "/>
    <s v=" "/>
    <s v=" "/>
    <s v=" "/>
    <s v=" "/>
    <d v="1899-12-30T01:02:00"/>
    <d v="1899-12-30T07:12:00"/>
    <s v="Contrato de Trabalho Suspenso"/>
    <x v="3"/>
    <x v="11"/>
    <x v="110"/>
  </r>
  <r>
    <n v="133355"/>
    <x v="508"/>
    <s v="Diretoria Seminovos"/>
    <x v="11"/>
    <s v="LJCCM - Vendas Varejo Seminovos Criciúma"/>
    <s v="RICARDO ROSA PACHECO"/>
    <s v="NEGATIVO"/>
    <d v="1899-12-31T21:14:00"/>
    <d v="1899-12-31T21:14:00"/>
    <d v="1899-12-30T00:00:00"/>
    <s v=" "/>
    <s v=" "/>
    <s v=" "/>
    <s v=" "/>
    <s v=" "/>
    <d v="1899-12-31T20:58:00"/>
    <d v="1899-12-30T00:16:00"/>
    <s v=" "/>
    <s v=" "/>
    <s v=" "/>
    <s v=" "/>
    <s v=" "/>
    <s v="Contrato de Trabalho Suspenso"/>
    <x v="3"/>
    <x v="11"/>
    <x v="124"/>
  </r>
  <r>
    <n v="503583"/>
    <x v="509"/>
    <s v="Diretoria Seminovos"/>
    <x v="11"/>
    <s v="LJJOI - Vendas Varejo Seminovos Joinville"/>
    <s v="ALEXANDRE PORTO DE CAMARGO"/>
    <s v="NEGATIVO"/>
    <d v="1900-01-01T23:49:00"/>
    <d v="1900-01-01T23:49:00"/>
    <d v="1899-12-30T00:00:00"/>
    <s v=" "/>
    <s v=" "/>
    <s v=" "/>
    <s v=" "/>
    <d v="1899-12-30T23:00:00"/>
    <d v="1899-12-31T22:42:00"/>
    <d v="1899-12-30T02:07:00"/>
    <s v=" "/>
    <s v=" "/>
    <s v=" "/>
    <s v=" "/>
    <s v=" "/>
    <s v="Contrato de Trabalho Suspenso"/>
    <x v="3"/>
    <x v="11"/>
    <x v="117"/>
  </r>
  <r>
    <n v="136352"/>
    <x v="510"/>
    <s v="Diretoria Seminovos"/>
    <x v="11"/>
    <s v="LJCCM - Vendas Varejo Seminovos Criciúma"/>
    <s v="RICARDO ROSA PACHECO"/>
    <s v="NEGATIVO"/>
    <d v="1899-12-30T14:08:00"/>
    <d v="1899-12-30T14:08:00"/>
    <d v="1899-12-30T00:00:00"/>
    <s v=" "/>
    <s v=" "/>
    <s v=" "/>
    <d v="1899-12-30T11:49:00"/>
    <s v=" "/>
    <d v="1899-12-30T00:25:00"/>
    <d v="1899-12-30T02:26:00"/>
    <s v=" "/>
    <s v=" "/>
    <s v=" "/>
    <s v=" "/>
    <s v=" "/>
    <s v="Ativo"/>
    <x v="3"/>
    <x v="11"/>
    <x v="124"/>
  </r>
  <r>
    <n v="136883"/>
    <x v="511"/>
    <s v="Diretoria Seminovos"/>
    <x v="12"/>
    <s v="LJASI/CPQ - Seminovos Atacado São Paulo Interior"/>
    <s v="JOAO FLAVIO BONIARI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0"/>
    <x v="12"/>
    <x v="125"/>
  </r>
  <r>
    <n v="136599"/>
    <x v="512"/>
    <s v="Diretoria Seminovos"/>
    <x v="12"/>
    <s v="LJASI/CPQ - Seminovos Atacado São Paulo Interior"/>
    <s v="JOAO FLAVIO BONIARI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0"/>
    <x v="12"/>
    <x v="125"/>
  </r>
  <r>
    <n v="136603"/>
    <x v="513"/>
    <s v="Diretoria Seminovos"/>
    <x v="13"/>
    <s v="LJAND/PNA - Seminovos Atacado Nordeste Petrolina"/>
    <s v="MARLON VINICIUS SANDR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0"/>
    <x v="13"/>
    <x v="126"/>
  </r>
  <r>
    <n v="130359"/>
    <x v="514"/>
    <s v="Diretoria Seminovos"/>
    <x v="3"/>
    <s v="LJBHZ - Vendas Varejo Seminovos Belo Horizonte"/>
    <s v="GUSTAVO LUIZ DO NASCIMENTO"/>
    <s v="POSITIVO"/>
    <d v="1900-01-02T08:55:00"/>
    <d v="1899-12-30T00:00:00"/>
    <d v="1900-01-02T08:55:00"/>
    <s v=" "/>
    <s v=" "/>
    <s v=" "/>
    <s v=" "/>
    <d v="1899-12-30T18:59:00"/>
    <d v="1899-12-31T08:05:00"/>
    <d v="1899-12-30T17:36:00"/>
    <s v=" "/>
    <s v=" "/>
    <s v=" "/>
    <s v=" "/>
    <s v=" "/>
    <s v="Ativo"/>
    <x v="3"/>
    <x v="3"/>
    <x v="3"/>
  </r>
  <r>
    <n v="135021"/>
    <x v="515"/>
    <s v="Diretoria Seminovos"/>
    <x v="3"/>
    <s v="LJRAG - Vendas Varejo Seminovos Raja Gabaglia"/>
    <s v="FELIPE RIGHI MOREIRA VEIGA"/>
    <s v="POSITIVO"/>
    <d v="1900-01-01T11:58:00"/>
    <d v="1899-12-30T00:00:00"/>
    <d v="1900-01-01T11:58:00"/>
    <s v=" "/>
    <s v=" "/>
    <s v=" "/>
    <s v=" "/>
    <d v="1899-12-30T21:52:00"/>
    <d v="1899-12-31T14:06:00"/>
    <s v=" "/>
    <s v=" "/>
    <s v=" "/>
    <s v=" "/>
    <s v=" "/>
    <s v=" "/>
    <s v="Contrato de Trabalho Suspenso"/>
    <x v="3"/>
    <x v="3"/>
    <x v="5"/>
  </r>
  <r>
    <n v="130437"/>
    <x v="516"/>
    <s v="Diretoria Seminovos"/>
    <x v="3"/>
    <s v="LJBHZ - Vendas Varejo Seminovos Belo Horizonte"/>
    <s v="GUSTAVO LUIZ DO NASCIMENTO"/>
    <s v="POSITIVO"/>
    <d v="1899-12-31T23:35:00"/>
    <d v="1899-12-30T00:00:00"/>
    <d v="1899-12-31T23:35:00"/>
    <s v=" "/>
    <s v=" "/>
    <s v=" "/>
    <s v=" "/>
    <d v="1899-12-30T07:00:00"/>
    <d v="1899-12-31T10:56:00"/>
    <d v="1899-12-30T11:53:00"/>
    <s v=" "/>
    <s v=" "/>
    <s v=" "/>
    <s v=" "/>
    <s v=" "/>
    <s v="Ativo"/>
    <x v="3"/>
    <x v="3"/>
    <x v="3"/>
  </r>
  <r>
    <n v="123261"/>
    <x v="517"/>
    <s v="Diretoria Seminovos"/>
    <x v="3"/>
    <s v="LJBHZ - Vendas Varejo Seminovos Belo Horizonte"/>
    <s v="GUSTAVO LUIZ DO NASCIMENTO"/>
    <s v="POSITIVO"/>
    <d v="1900-01-01T04:12:00"/>
    <d v="1899-12-30T00:00:00"/>
    <d v="1900-01-01T04:12:00"/>
    <s v=" "/>
    <s v=" "/>
    <s v=" "/>
    <s v=" "/>
    <d v="1899-12-30T23:55:00"/>
    <d v="1899-12-31T04:17:00"/>
    <s v=" "/>
    <s v=" "/>
    <s v=" "/>
    <s v=" "/>
    <s v=" "/>
    <s v=" "/>
    <s v="Contrato de Trabalho Suspenso"/>
    <x v="3"/>
    <x v="3"/>
    <x v="3"/>
  </r>
  <r>
    <n v="503521"/>
    <x v="518"/>
    <s v="Diretoria Seminovos"/>
    <x v="3"/>
    <s v="LJCMA - Vendas Varejo Seminovos Cristiano Machado"/>
    <s v="ELISIA RAMOS FERNANDES"/>
    <s v="POSITIVO"/>
    <d v="1900-01-01T02:09:00"/>
    <d v="1899-12-30T00:00:00"/>
    <d v="1900-01-01T02:09:00"/>
    <s v=" "/>
    <s v=" "/>
    <s v=" "/>
    <s v=" "/>
    <s v=" "/>
    <d v="1899-12-31T21:53:00"/>
    <d v="1899-12-30T05:05:00"/>
    <s v=" "/>
    <s v=" "/>
    <s v=" "/>
    <s v=" "/>
    <s v=" "/>
    <s v="Ativo"/>
    <x v="3"/>
    <x v="3"/>
    <x v="12"/>
  </r>
  <r>
    <n v="125681"/>
    <x v="519"/>
    <s v="Diretoria Seminovos"/>
    <x v="3"/>
    <s v="LJVNO - Vendas Varejo Seminovos Venda Nova"/>
    <s v="LILIANE FARIA DE ANDRADE"/>
    <s v="POSITIVO"/>
    <d v="1900-01-01T01:10:00"/>
    <d v="1899-12-30T00:00:00"/>
    <d v="1900-01-01T01:10:00"/>
    <s v=" "/>
    <s v=" "/>
    <s v=" "/>
    <s v=" "/>
    <s v=" "/>
    <d v="1899-12-31T01:36:00"/>
    <d v="1899-12-30T21:48:00"/>
    <s v=" "/>
    <s v=" "/>
    <s v=" "/>
    <s v=" "/>
    <s v=" "/>
    <s v="Ativo"/>
    <x v="3"/>
    <x v="3"/>
    <x v="4"/>
  </r>
  <r>
    <n v="134411"/>
    <x v="520"/>
    <s v="Diretoria Seminovos"/>
    <x v="3"/>
    <s v="LJCMA - Vendas Varejo Seminovos Cristiano Machado"/>
    <s v="ELISIA RAMOS FERNANDES"/>
    <s v="POSITIVO"/>
    <d v="1900-01-01T02:49:00"/>
    <d v="1899-12-30T00:00:00"/>
    <d v="1900-01-01T02:49:00"/>
    <s v=" "/>
    <s v=" "/>
    <s v=" "/>
    <s v=" "/>
    <d v="1899-12-30T14:38:00"/>
    <d v="1899-12-30T18:03:00"/>
    <d v="1899-12-30T11:08:00"/>
    <s v=" "/>
    <s v=" "/>
    <s v=" "/>
    <s v=" "/>
    <s v=" "/>
    <s v="Ativo"/>
    <x v="3"/>
    <x v="3"/>
    <x v="12"/>
  </r>
  <r>
    <n v="503534"/>
    <x v="521"/>
    <s v="Diretoria Seminovos"/>
    <x v="3"/>
    <s v="LJBET - Vendas Varejo Seminovos Betim"/>
    <s v="THIAGO MAURICIO GOMES DOS SANTOS"/>
    <s v="POSITIVO"/>
    <d v="1899-12-31T22:38:00"/>
    <d v="1899-12-30T00:00:00"/>
    <d v="1899-12-31T22:38:00"/>
    <s v=" "/>
    <s v=" "/>
    <s v=" "/>
    <s v=" "/>
    <d v="1899-12-30T03:08:00"/>
    <d v="1899-12-31T05:29:00"/>
    <d v="1899-12-30T04:02:00"/>
    <s v=" "/>
    <s v=" "/>
    <s v=" "/>
    <s v=" "/>
    <s v=" "/>
    <s v="Ativo"/>
    <x v="3"/>
    <x v="3"/>
    <x v="8"/>
  </r>
  <r>
    <n v="134862"/>
    <x v="522"/>
    <s v="Diretoria Seminovos"/>
    <x v="3"/>
    <s v="LJCON - Vendas Varejo Seminovos Contagem"/>
    <s v="LEANDRO AUGUSTO DA SILVA CAMILLOZZI"/>
    <s v="POSITIVO"/>
    <d v="1899-12-31T09:49:00"/>
    <d v="1899-12-30T00:00:00"/>
    <d v="1899-12-31T09:49:00"/>
    <s v=" "/>
    <s v=" "/>
    <s v=" "/>
    <s v=" "/>
    <s v=" "/>
    <d v="1899-12-31T09:49:00"/>
    <s v=" "/>
    <s v=" "/>
    <s v=" "/>
    <s v=" "/>
    <s v=" "/>
    <s v=" "/>
    <s v="Contrato de Trabalho Suspenso"/>
    <x v="3"/>
    <x v="3"/>
    <x v="11"/>
  </r>
  <r>
    <n v="129441"/>
    <x v="523"/>
    <s v="Diretoria Seminovos"/>
    <x v="3"/>
    <s v="LJBHZ - Vendas Varejo Seminovos Belo Horizonte"/>
    <s v="GUSTAVO LUIZ DO NASCIMENTO"/>
    <s v="POSITIVO"/>
    <d v="1899-12-31T07:28:00"/>
    <d v="1899-12-30T00:00:00"/>
    <d v="1899-12-31T07:28:00"/>
    <s v=" "/>
    <s v=" "/>
    <s v=" "/>
    <s v=" "/>
    <d v="1899-12-30T06:38:00"/>
    <d v="1899-12-31T00:50:00"/>
    <s v=" "/>
    <s v=" "/>
    <s v=" "/>
    <s v=" "/>
    <s v=" "/>
    <s v=" "/>
    <s v="Contrato de Trabalho Suspenso"/>
    <x v="3"/>
    <x v="3"/>
    <x v="3"/>
  </r>
  <r>
    <n v="122968"/>
    <x v="524"/>
    <s v="Diretoria Seminovos"/>
    <x v="3"/>
    <s v="LJRAG - Vendas Varejo Seminovos Raja Gabaglia"/>
    <s v="FELIPE RIGHI MOREIRA VEIGA"/>
    <s v="POSITIVO"/>
    <d v="1899-12-31T15:55:00"/>
    <d v="1899-12-30T00:00:00"/>
    <d v="1899-12-31T15:55:00"/>
    <s v=" "/>
    <s v=" "/>
    <s v=" "/>
    <s v=" "/>
    <s v=" "/>
    <d v="1899-12-30T14:19:00"/>
    <d v="1899-12-30T16:12:00"/>
    <s v=" "/>
    <s v=" "/>
    <s v=" "/>
    <s v=" "/>
    <s v=" "/>
    <s v="Ativo"/>
    <x v="3"/>
    <x v="3"/>
    <x v="5"/>
  </r>
  <r>
    <n v="123424"/>
    <x v="525"/>
    <s v="Diretoria Seminovos"/>
    <x v="3"/>
    <s v="LJCMA - Vendas Varejo Seminovos Cristiano Machado"/>
    <s v="ELISIA RAMOS FERNANDES"/>
    <s v="POSITIVO"/>
    <d v="1899-12-31T02:36:00"/>
    <d v="1899-12-30T00:00:00"/>
    <d v="1899-12-31T02:36:00"/>
    <s v=" "/>
    <s v=" "/>
    <s v=" "/>
    <s v=" "/>
    <d v="1899-12-30T04:14:00"/>
    <d v="1899-12-30T22:22:00"/>
    <s v=" "/>
    <s v=" "/>
    <s v=" "/>
    <s v=" "/>
    <s v=" "/>
    <s v=" "/>
    <s v="Contrato de Trabalho Suspenso"/>
    <x v="3"/>
    <x v="3"/>
    <x v="12"/>
  </r>
  <r>
    <n v="135502"/>
    <x v="526"/>
    <s v="Diretoria Seminovos"/>
    <x v="3"/>
    <s v="LJBET - Vendas Varejo Seminovos Betim"/>
    <s v="THIAGO MAURICIO GOMES DOS SANTOS"/>
    <s v="POSITIVO"/>
    <d v="1899-12-31T03:08:00"/>
    <d v="1899-12-30T00:00:00"/>
    <d v="1899-12-31T03:08:00"/>
    <s v=" "/>
    <s v=" "/>
    <s v=" "/>
    <s v=" "/>
    <d v="1899-12-30T00:33:00"/>
    <d v="1899-12-30T22:43:00"/>
    <d v="1899-12-30T03:01:00"/>
    <s v=" "/>
    <s v=" "/>
    <s v=" "/>
    <s v=" "/>
    <s v=" "/>
    <s v="Ativo"/>
    <x v="3"/>
    <x v="3"/>
    <x v="8"/>
  </r>
  <r>
    <n v="135882"/>
    <x v="527"/>
    <s v="Diretoria Seminovos"/>
    <x v="3"/>
    <s v="LJRAG - Vendas Varejo Seminovos Raja Gabaglia"/>
    <s v="FELIPE RIGHI MOREIRA VEIGA"/>
    <s v="POSITIVO"/>
    <d v="1899-12-30T09:18:00"/>
    <d v="1899-12-30T00:00:00"/>
    <d v="1899-12-30T09:18:00"/>
    <s v=" "/>
    <s v=" "/>
    <s v=" "/>
    <s v=" "/>
    <s v=" "/>
    <d v="1899-12-30T01:14:00"/>
    <d v="1899-12-31T00:54:00"/>
    <s v=" "/>
    <s v=" "/>
    <s v=" "/>
    <s v=" "/>
    <s v=" "/>
    <s v="Ativo"/>
    <x v="3"/>
    <x v="3"/>
    <x v="5"/>
  </r>
  <r>
    <n v="132421"/>
    <x v="528"/>
    <s v="Diretoria Seminovos"/>
    <x v="3"/>
    <s v="LJBHZ - Vendas Varejo Seminovos Belo Horizonte"/>
    <s v="GUSTAVO LUIZ DO NASCIMENTO"/>
    <s v="POSITIVO"/>
    <d v="1899-12-31T15:51:00"/>
    <d v="1899-12-30T00:00:00"/>
    <d v="1899-12-31T15:51:00"/>
    <s v=" "/>
    <s v=" "/>
    <s v=" "/>
    <s v=" "/>
    <s v=" "/>
    <s v=" "/>
    <d v="1899-12-30T23:31:00"/>
    <s v=" "/>
    <s v=" "/>
    <s v=" "/>
    <s v=" "/>
    <s v=" "/>
    <s v="Ativo"/>
    <x v="3"/>
    <x v="3"/>
    <x v="3"/>
  </r>
  <r>
    <n v="129450"/>
    <x v="529"/>
    <s v="Diretoria Seminovos"/>
    <x v="3"/>
    <s v="LJBHZ - Vendas Varejo Seminovos Belo Horizonte"/>
    <s v="GUSTAVO LUIZ DO NASCIMENTO"/>
    <s v="POSITIVO"/>
    <d v="1899-12-30T15:35:00"/>
    <d v="1899-12-30T00:00:00"/>
    <d v="1899-12-30T15:35:00"/>
    <s v=" "/>
    <s v=" "/>
    <s v=" "/>
    <s v=" "/>
    <s v=" "/>
    <s v=" "/>
    <d v="1899-12-30T15:35:00"/>
    <s v=" "/>
    <s v=" "/>
    <s v=" "/>
    <s v=" "/>
    <s v=" "/>
    <s v="Ativo"/>
    <x v="3"/>
    <x v="3"/>
    <x v="3"/>
  </r>
  <r>
    <n v="136524"/>
    <x v="530"/>
    <s v="Diretoria Seminovos"/>
    <x v="3"/>
    <s v="LJCMA - Vendas Varejo Seminovos Cristiano Machado"/>
    <s v="ELISIA RAMOS FERNANDES"/>
    <s v="POSITIVO"/>
    <d v="1899-12-30T18:55:00"/>
    <d v="1899-12-30T00:00:00"/>
    <d v="1899-12-30T18:55:00"/>
    <s v=" "/>
    <s v=" "/>
    <s v=" "/>
    <s v=" "/>
    <s v=" "/>
    <s v=" "/>
    <d v="1899-12-30T13:39:00"/>
    <s v=" "/>
    <s v=" "/>
    <s v=" "/>
    <s v=" "/>
    <s v=" "/>
    <s v="Ativo"/>
    <x v="3"/>
    <x v="3"/>
    <x v="12"/>
  </r>
  <r>
    <n v="120345"/>
    <x v="531"/>
    <s v="Diretoria Seminovos"/>
    <x v="3"/>
    <s v="LJBHZ - Vendas Varejo Seminovos Belo Horizonte"/>
    <s v="GUSTAVO LUIZ DO NASCIMENTO"/>
    <s v="POSITIVO"/>
    <d v="1899-12-30T12:44:00"/>
    <d v="1899-12-30T00:00:00"/>
    <d v="1899-12-30T12:44:00"/>
    <s v=" "/>
    <s v=" "/>
    <s v=" "/>
    <s v=" "/>
    <s v=" "/>
    <d v="1899-12-30T12:44:00"/>
    <s v=" "/>
    <s v=" "/>
    <s v=" "/>
    <s v=" "/>
    <s v=" "/>
    <s v=" "/>
    <s v="Ativo"/>
    <x v="3"/>
    <x v="3"/>
    <x v="3"/>
  </r>
  <r>
    <n v="135894"/>
    <x v="532"/>
    <s v="Diretoria Seminovos"/>
    <x v="3"/>
    <s v="LJCON - Vendas Varejo Seminovos Contagem"/>
    <s v="LEANDRO AUGUSTO DA SILVA CAMILLOZZI"/>
    <s v="POSITIVO"/>
    <d v="1899-12-30T09:29:00"/>
    <d v="1899-12-30T00:00:00"/>
    <d v="1899-12-30T09:29:00"/>
    <s v=" "/>
    <d v="1899-12-30T04:52:00"/>
    <d v="1899-12-30T04:25:00"/>
    <s v=" "/>
    <s v=" "/>
    <s v=" "/>
    <d v="1899-12-30T00:12:00"/>
    <s v=" "/>
    <s v=" "/>
    <s v=" "/>
    <s v=" "/>
    <s v=" "/>
    <s v="Af.Previdência"/>
    <x v="3"/>
    <x v="3"/>
    <x v="11"/>
  </r>
  <r>
    <n v="135511"/>
    <x v="533"/>
    <s v="Diretoria Seminovos"/>
    <x v="3"/>
    <s v="LJBET - Vendas Varejo Seminovos Betim"/>
    <s v="THIAGO MAURICIO GOMES DOS SANTOS"/>
    <s v="POSITIVO"/>
    <d v="1899-12-30T12:35:00"/>
    <d v="1899-12-30T00:00:00"/>
    <d v="1899-12-30T12:35:00"/>
    <s v=" "/>
    <s v=" "/>
    <s v=" "/>
    <s v=" "/>
    <s v=" "/>
    <d v="1899-12-30T07:33:00"/>
    <d v="1899-12-30T00:48:00"/>
    <s v=" "/>
    <s v=" "/>
    <s v=" "/>
    <s v=" "/>
    <s v=" "/>
    <s v="Ativo"/>
    <x v="3"/>
    <x v="3"/>
    <x v="8"/>
  </r>
  <r>
    <n v="131800"/>
    <x v="534"/>
    <s v="Diretoria Seminovos"/>
    <x v="3"/>
    <s v="LJCMA - Vendas Varejo Seminovos Cristiano Machado"/>
    <s v="ELISIA RAMOS FERNANDES"/>
    <s v="POSITIVO"/>
    <d v="1899-12-30T01:04:00"/>
    <d v="1899-12-30T00:00:00"/>
    <d v="1899-12-30T01:04:00"/>
    <s v=" "/>
    <s v=" "/>
    <s v=" "/>
    <s v=" "/>
    <s v=" "/>
    <d v="1899-12-30T07:46:00"/>
    <s v=" "/>
    <s v=" "/>
    <s v=" "/>
    <s v=" "/>
    <s v=" "/>
    <s v=" "/>
    <s v="Ativo"/>
    <x v="3"/>
    <x v="3"/>
    <x v="12"/>
  </r>
  <r>
    <n v="135242"/>
    <x v="535"/>
    <s v="Diretoria Seminovos"/>
    <x v="3"/>
    <s v="LJBHZ - Vendas Varejo Seminovos Belo Horizonte"/>
    <s v="GUSTAVO LUIZ DO NASCIMENTO"/>
    <s v="POSITIVO"/>
    <d v="1899-12-30T06:24:00"/>
    <d v="1899-12-30T00:00:00"/>
    <d v="1899-12-30T06:24:00"/>
    <s v=" "/>
    <s v=" "/>
    <s v=" "/>
    <s v=" "/>
    <s v=" "/>
    <d v="1899-12-30T06:24:00"/>
    <s v=" "/>
    <s v=" "/>
    <s v=" "/>
    <s v=" "/>
    <s v=" "/>
    <s v=" "/>
    <s v="Ativo"/>
    <x v="3"/>
    <x v="3"/>
    <x v="3"/>
  </r>
  <r>
    <n v="134931"/>
    <x v="536"/>
    <s v="Diretoria Seminovos"/>
    <x v="3"/>
    <s v="LJCMA - Vendas Varejo Seminovos Cristiano Machado"/>
    <s v="ELISIA RAMOS FERNANDES"/>
    <s v="POSITIVO"/>
    <d v="1899-12-30T02:34:00"/>
    <d v="1899-12-30T00:00:00"/>
    <d v="1899-12-30T02:34:00"/>
    <s v=" "/>
    <s v=" "/>
    <s v=" "/>
    <s v=" "/>
    <s v=" "/>
    <d v="1899-12-30T02:34:00"/>
    <s v=" "/>
    <s v=" "/>
    <s v=" "/>
    <s v=" "/>
    <s v=" "/>
    <s v=" "/>
    <s v="Contrato de Trabalho Suspenso"/>
    <x v="3"/>
    <x v="3"/>
    <x v="12"/>
  </r>
  <r>
    <n v="125515"/>
    <x v="537"/>
    <s v="Diretoria Seminovos"/>
    <x v="3"/>
    <s v="LJVEX - Vendas Varejo Seminovos Via Expressa Contagem"/>
    <s v="FABIO GONCALVES BOSQUE"/>
    <s v="POSITIVO"/>
    <d v="1899-12-30T00:15:00"/>
    <d v="1899-12-30T00:00:00"/>
    <d v="1899-12-30T00:15:00"/>
    <s v=" "/>
    <d v="1899-12-30T00:15:00"/>
    <s v=" "/>
    <s v=" "/>
    <s v=" "/>
    <s v=" "/>
    <s v=" "/>
    <s v=" "/>
    <s v=" "/>
    <s v=" "/>
    <s v=" "/>
    <s v=" "/>
    <s v="Af.Previdência"/>
    <x v="3"/>
    <x v="3"/>
    <x v="7"/>
  </r>
  <r>
    <n v="120759"/>
    <x v="538"/>
    <s v="Diretoria Seminovos"/>
    <x v="3"/>
    <s v="LJCON - Loja Seminovos Contagem"/>
    <s v="LEANDRO AUGUSTO DA SILVA CAMILLOZZI"/>
    <s v="POSITIVO"/>
    <d v="1899-12-30T01:32:00"/>
    <d v="1899-12-30T00:00:00"/>
    <d v="1899-12-30T01:32:00"/>
    <s v=" "/>
    <s v=" "/>
    <s v=" "/>
    <s v=" "/>
    <s v=" "/>
    <s v=" "/>
    <d v="1899-12-30T01:04:00"/>
    <s v=" "/>
    <s v=" "/>
    <s v=" "/>
    <s v=" "/>
    <s v=" "/>
    <s v="Ativo"/>
    <x v="2"/>
    <x v="3"/>
    <x v="11"/>
  </r>
  <r>
    <n v="136245"/>
    <x v="539"/>
    <s v="Diretoria Seminovos"/>
    <x v="3"/>
    <s v="LJBHZ - Vendas Varejo Seminovos Belo Horizonte"/>
    <s v="GUSTAVO LUIZ DO NASCIMEN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3"/>
    <x v="3"/>
  </r>
  <r>
    <n v="132043"/>
    <x v="540"/>
    <s v="Diretoria Seminovos"/>
    <x v="3"/>
    <s v="LJVEX - Vendas Varejo Seminovos Via Expressa Contagem"/>
    <s v="FABIO GONCALVES BOSQU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3"/>
    <x v="7"/>
  </r>
  <r>
    <n v="122657"/>
    <x v="541"/>
    <s v="Diretoria Seminovos"/>
    <x v="3"/>
    <s v="LJBET - Vendas Varejo Seminovos Betim"/>
    <s v="THIAGO MAURICIO GOMES DOS SAN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3"/>
    <x v="8"/>
  </r>
  <r>
    <n v="132518"/>
    <x v="542"/>
    <s v="Diretoria Seminovos"/>
    <x v="3"/>
    <s v="LJVEX - Vendas Varejo Seminovos Via Expressa Contagem"/>
    <s v="FABIO GONCALVES BOSQU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3"/>
    <x v="7"/>
  </r>
  <r>
    <n v="133304"/>
    <x v="543"/>
    <s v="Diretoria Seminovos"/>
    <x v="3"/>
    <s v="LJJFO - Vendas Varejo Seminovos Juiz de Fora"/>
    <s v="THIAGO DE SOUZA FREIR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3"/>
    <x v="13"/>
  </r>
  <r>
    <n v="111623"/>
    <x v="544"/>
    <s v="Diretoria Seminovos"/>
    <x v="3"/>
    <s v="LJVNO - Vendas Varejo Seminovos Venda Nova"/>
    <s v="LILIANE FARIA DE ANDRAD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3"/>
    <x v="4"/>
  </r>
  <r>
    <n v="137158"/>
    <x v="545"/>
    <s v="Diretoria Seminovos"/>
    <x v="3"/>
    <s v="LJCON - Vendas Varejo Seminovos Contagem"/>
    <s v="LEANDRO AUGUSTO DA SILVA CAMILLOZZI"/>
    <s v="POSITIVO"/>
    <d v="1899-12-30T09:02:00"/>
    <d v="1899-12-30T00:00:00"/>
    <d v="1899-12-30T09:02:00"/>
    <s v=" "/>
    <s v=" "/>
    <s v=" "/>
    <s v=" "/>
    <s v=" "/>
    <s v=" "/>
    <s v=" "/>
    <s v=" "/>
    <s v=" "/>
    <s v=" "/>
    <s v=" "/>
    <s v=" "/>
    <s v="Ativo"/>
    <x v="3"/>
    <x v="3"/>
    <x v="11"/>
  </r>
  <r>
    <n v="137208"/>
    <x v="546"/>
    <s v="Diretoria Seminovos"/>
    <x v="3"/>
    <s v="LJBRO - Vendas Varejo Seminovos Barreiro"/>
    <s v="LEOPOLDO DE FIGUEIREDO CUNHA SAMPA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3"/>
    <x v="127"/>
  </r>
  <r>
    <n v="124455"/>
    <x v="547"/>
    <s v="Diretoria Seminovos"/>
    <x v="3"/>
    <s v="LJVEX - Vendas Varejo Seminovos Via Expressa Contagem"/>
    <s v="FABIO GONCALVES BOSQUE"/>
    <s v="POSITIVO"/>
    <d v="1899-12-30T03:43:00"/>
    <d v="1899-12-30T00:00:00"/>
    <d v="1899-12-30T03:43:00"/>
    <s v=" "/>
    <s v=" "/>
    <d v="1899-12-30T02:17:00"/>
    <s v=" "/>
    <s v=" "/>
    <s v=" "/>
    <s v=" "/>
    <s v=" "/>
    <s v=" "/>
    <s v=" "/>
    <s v=" "/>
    <s v=" "/>
    <s v="Ativo"/>
    <x v="3"/>
    <x v="3"/>
    <x v="7"/>
  </r>
  <r>
    <n v="134179"/>
    <x v="548"/>
    <s v="Diretoria Seminovos"/>
    <x v="3"/>
    <s v="LJANT - Loja Seminovos Antônio Carlos"/>
    <s v="ANDERSON AFFONSO DE PAULA"/>
    <s v="POSITIVO"/>
    <d v="1899-12-30T19:33:00"/>
    <d v="1899-12-30T00:00:00"/>
    <d v="1899-12-30T19:33:00"/>
    <d v="1899-12-30T09:15:00"/>
    <d v="1899-12-30T07:38:00"/>
    <d v="1899-12-30T03:40:00"/>
    <s v=" "/>
    <s v=" "/>
    <s v=" "/>
    <s v=" "/>
    <s v=" "/>
    <s v=" "/>
    <s v=" "/>
    <s v=" "/>
    <s v=" "/>
    <s v="Ativo"/>
    <x v="7"/>
    <x v="3"/>
    <x v="6"/>
  </r>
  <r>
    <n v="119753"/>
    <x v="549"/>
    <s v="Diretoria Seminovos"/>
    <x v="3"/>
    <s v="LJBET - Loja Seminovos Betim"/>
    <s v="THIAGO MAURICIO GOMES DOS SANTOS"/>
    <s v="POSITIVO"/>
    <d v="1899-12-30T02:36:00"/>
    <d v="1899-12-30T00:00:00"/>
    <d v="1899-12-30T02:36:00"/>
    <s v=" "/>
    <s v=" "/>
    <s v=" "/>
    <s v=" "/>
    <d v="1899-12-30T01:12:00"/>
    <d v="1899-12-30T01:24:00"/>
    <s v=" "/>
    <s v=" "/>
    <s v=" "/>
    <s v=" "/>
    <s v=" "/>
    <s v=" "/>
    <s v="Contrato de Trabalho Suspenso"/>
    <x v="2"/>
    <x v="3"/>
    <x v="8"/>
  </r>
  <r>
    <n v="132821"/>
    <x v="550"/>
    <s v="Diretoria Seminovos"/>
    <x v="3"/>
    <s v="LJANT - Loja Seminovos Antônio Carlos"/>
    <s v="ANDERSON AFFONSO DE PAUL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3"/>
    <x v="6"/>
  </r>
  <r>
    <n v="502727"/>
    <x v="551"/>
    <s v="Diretoria Seminovos"/>
    <x v="3"/>
    <s v="LJCMA - Loja Seminovos Cristiano Machado"/>
    <s v="ELISIA RAMOS FERNANDES"/>
    <s v="POSITIVO"/>
    <d v="1899-12-30T05:02:00"/>
    <d v="1899-12-30T00:00:00"/>
    <d v="1899-12-30T05:02:00"/>
    <s v=" "/>
    <s v=" "/>
    <s v=" "/>
    <s v=" "/>
    <s v=" "/>
    <d v="1899-12-30T02:54:00"/>
    <d v="1899-12-30T01:34:00"/>
    <s v=" "/>
    <s v=" "/>
    <s v=" "/>
    <s v=" "/>
    <s v=" "/>
    <s v="Ativo"/>
    <x v="2"/>
    <x v="3"/>
    <x v="12"/>
  </r>
  <r>
    <n v="120936"/>
    <x v="552"/>
    <s v="Diretoria Seminovos"/>
    <x v="3"/>
    <s v="LJBET - Loja Seminovos Betim"/>
    <s v="THIAGO MAURICIO GOMES DOS SANTOS"/>
    <s v="POSITIVO"/>
    <d v="1899-12-30T07:11:00"/>
    <d v="1899-12-30T00:00:00"/>
    <d v="1899-12-30T07:11:00"/>
    <s v=" "/>
    <s v=" "/>
    <s v=" "/>
    <s v=" "/>
    <s v=" "/>
    <s v=" "/>
    <d v="1899-12-30T06:37:00"/>
    <s v=" "/>
    <s v=" "/>
    <s v=" "/>
    <s v=" "/>
    <s v=" "/>
    <s v="Ativo"/>
    <x v="2"/>
    <x v="3"/>
    <x v="8"/>
  </r>
  <r>
    <n v="122715"/>
    <x v="553"/>
    <s v="Diretoria Seminovos"/>
    <x v="3"/>
    <s v="LJVEX - Loja Seminovos Via Expressa Contagem"/>
    <s v="FABIO GONCALVES BOSQU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3"/>
    <x v="7"/>
  </r>
  <r>
    <n v="120259"/>
    <x v="554"/>
    <s v="Diretoria Seminovos"/>
    <x v="3"/>
    <s v="LJRAG - Loja Seminovos Raja Gabaglia"/>
    <s v="FELIPE RIGHI MOREIRA VEIG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3"/>
    <x v="5"/>
  </r>
  <r>
    <n v="501734"/>
    <x v="555"/>
    <s v="Diretoria Seminovos"/>
    <x v="3"/>
    <s v="LJCMA - Loja Seminovos Cristiano Machado"/>
    <s v="ELISIA RAMOS FERNAND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3"/>
    <x v="12"/>
  </r>
  <r>
    <n v="137179"/>
    <x v="556"/>
    <s v="Diretoria Seminovos"/>
    <x v="3"/>
    <s v="LJBRO - Vendas Varejo Seminovos Barreiro"/>
    <s v="LEOPOLDO DE FIGUEIREDO CUNHA SAMPA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3"/>
    <x v="127"/>
  </r>
  <r>
    <n v="132065"/>
    <x v="557"/>
    <s v="Diretoria Seminovos"/>
    <x v="3"/>
    <s v="LJANT - Loja Seminovos Antônio Carlos"/>
    <s v="ANDERSON AFFONSO DE PAUL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3"/>
    <x v="6"/>
  </r>
  <r>
    <n v="502296"/>
    <x v="558"/>
    <s v="Diretoria Seminovos"/>
    <x v="3"/>
    <s v="LJVNO - Loja Seminovos Venda Nova"/>
    <s v="LILIANE FARIA DE ANDRAD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3"/>
    <x v="4"/>
  </r>
  <r>
    <n v="132039"/>
    <x v="559"/>
    <s v="Diretoria Seminovos"/>
    <x v="3"/>
    <s v="LJVEX - Loja Seminovos Via Expressa Contagem"/>
    <s v="FABIO GONCALVES BOSQU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3"/>
    <x v="7"/>
  </r>
  <r>
    <n v="137193"/>
    <x v="560"/>
    <s v="Diretoria Seminovos"/>
    <x v="3"/>
    <s v="LJBRO - Vendas Varejo Seminovos Barreiro"/>
    <s v="LEOPOLDO DE FIGUEIREDO CUNHA SAMPA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3"/>
    <x v="127"/>
  </r>
  <r>
    <n v="119739"/>
    <x v="561"/>
    <s v="Diretoria Seminovos"/>
    <x v="3"/>
    <s v="LJCMA - Loja Seminovos Cristiano Machado"/>
    <s v="ELISIA RAMOS FERNANDES"/>
    <s v="POSITIVO"/>
    <d v="1899-12-30T06:30:00"/>
    <d v="1899-12-30T00:00:00"/>
    <d v="1899-12-30T06:30:00"/>
    <s v=" "/>
    <s v=" "/>
    <s v=" "/>
    <s v=" "/>
    <s v=" "/>
    <s v=" "/>
    <d v="1899-12-30T03:54:00"/>
    <s v=" "/>
    <s v=" "/>
    <s v=" "/>
    <s v=" "/>
    <s v=" "/>
    <s v="Ativo"/>
    <x v="2"/>
    <x v="3"/>
    <x v="12"/>
  </r>
  <r>
    <n v="120826"/>
    <x v="562"/>
    <s v="Diretoria Seminovos"/>
    <x v="3"/>
    <s v="LJBET - Loja Seminovos Betim"/>
    <s v="THIAGO MAURICIO GOMES DOS SANTOS"/>
    <s v="POSITIVO"/>
    <d v="1899-12-31T18:34:00"/>
    <d v="1899-12-30T00:00:00"/>
    <d v="1899-12-31T18:34:00"/>
    <s v=" "/>
    <s v=" "/>
    <s v=" "/>
    <s v=" "/>
    <s v=" "/>
    <d v="1899-12-30T15:59:00"/>
    <d v="1899-12-30T18:07:00"/>
    <s v=" "/>
    <s v=" "/>
    <s v=" "/>
    <s v=" "/>
    <s v=" "/>
    <s v="Ativo"/>
    <x v="6"/>
    <x v="3"/>
    <x v="8"/>
  </r>
  <r>
    <n v="117788"/>
    <x v="563"/>
    <s v="Diretoria Seminovos"/>
    <x v="3"/>
    <s v="LJCON - Loja Seminovos Contagem"/>
    <s v="LEANDRO AUGUSTO DA SILVA CAMILLOZZ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3"/>
    <x v="11"/>
  </r>
  <r>
    <n v="131305"/>
    <x v="564"/>
    <s v="Diretoria Seminovos"/>
    <x v="4"/>
    <s v="LJVIX - Vendas Varejo Seminovos Vitória"/>
    <s v="EUGENIO OLIVEIRA DAMASCENO DE JESUS"/>
    <s v="POSITIVO"/>
    <d v="1900-01-04T20:20:00"/>
    <d v="1899-12-30T00:00:00"/>
    <d v="1900-01-04T20:20:00"/>
    <s v=" "/>
    <s v=" "/>
    <d v="1899-12-30T03:13:00"/>
    <s v=" "/>
    <d v="1900-01-01T11:59:00"/>
    <d v="1900-01-02T05:08:00"/>
    <s v=" "/>
    <s v=" "/>
    <s v=" "/>
    <s v=" "/>
    <s v=" "/>
    <s v=" "/>
    <s v="Ativo"/>
    <x v="3"/>
    <x v="4"/>
    <x v="17"/>
  </r>
  <r>
    <n v="123943"/>
    <x v="565"/>
    <s v="Diretoria Seminovos"/>
    <x v="4"/>
    <s v="LJUDI - Vendas Varejo Seminovos Uberlândia"/>
    <s v="CARLOS ALBERTO GONCALVES"/>
    <s v="POSITIVO"/>
    <d v="1900-01-03T22:54:00"/>
    <d v="1899-12-30T00:00:00"/>
    <d v="1900-01-03T22:54:00"/>
    <s v=" "/>
    <s v=" "/>
    <s v=" "/>
    <d v="1899-12-30T09:33:00"/>
    <d v="1899-12-30T20:23:00"/>
    <d v="1900-01-01T02:40:00"/>
    <d v="1899-12-31T02:03:00"/>
    <s v=" "/>
    <s v=" "/>
    <s v=" "/>
    <s v=" "/>
    <s v=" "/>
    <s v="Ativo"/>
    <x v="3"/>
    <x v="4"/>
    <x v="19"/>
  </r>
  <r>
    <n v="135040"/>
    <x v="566"/>
    <s v="Diretoria Seminovos"/>
    <x v="4"/>
    <s v="LJTAG - Vendas Varejo Seminovos Taguatinga"/>
    <s v="EMILIO JOSE DE SOUZA FILHO"/>
    <s v="POSITIVO"/>
    <d v="1900-01-03T03:14:00"/>
    <d v="1899-12-30T00:00:00"/>
    <d v="1900-01-03T03:14:00"/>
    <s v=" "/>
    <d v="1899-12-30T21:42:00"/>
    <d v="1899-12-30T08:55:00"/>
    <d v="1899-12-30T00:12:00"/>
    <d v="1899-12-31T06:18:00"/>
    <d v="1899-12-31T14:07:00"/>
    <s v=" "/>
    <s v=" "/>
    <s v=" "/>
    <s v=" "/>
    <s v=" "/>
    <s v=" "/>
    <s v="Ativo"/>
    <x v="3"/>
    <x v="4"/>
    <x v="128"/>
  </r>
  <r>
    <n v="134795"/>
    <x v="567"/>
    <s v="Diretoria Seminovos"/>
    <x v="4"/>
    <s v="LJTAG - Vendas Varejo Seminovos Taguatinga"/>
    <s v="EMILIO JOSE DE SOUZA FILHO"/>
    <s v="POSITIVO"/>
    <d v="1900-01-02T16:51:00"/>
    <d v="1899-12-30T00:00:00"/>
    <d v="1900-01-02T16:51:00"/>
    <s v=" "/>
    <s v=" "/>
    <s v=" "/>
    <s v=" "/>
    <d v="1899-12-30T02:47:00"/>
    <d v="1900-01-02T03:37:00"/>
    <d v="1899-12-30T10:27:00"/>
    <s v=" "/>
    <s v=" "/>
    <s v=" "/>
    <s v=" "/>
    <s v=" "/>
    <s v="Ativo"/>
    <x v="3"/>
    <x v="4"/>
    <x v="128"/>
  </r>
  <r>
    <n v="132007"/>
    <x v="568"/>
    <s v="Diretoria Seminovos"/>
    <x v="4"/>
    <s v="LJGOI - Vendas Varejo Seminovos Goiania"/>
    <s v="PAULO ROBERTO PEREIRA DE ARAUJO"/>
    <s v="POSITIVO"/>
    <d v="1900-01-03T01:29:00"/>
    <d v="1899-12-30T00:00:00"/>
    <d v="1900-01-03T01:29:00"/>
    <s v=" "/>
    <s v=" "/>
    <s v=" "/>
    <s v=" "/>
    <s v=" "/>
    <d v="1899-12-30T13:09:00"/>
    <d v="1899-12-31T21:33:00"/>
    <d v="1899-12-30T05:27:00"/>
    <d v="1899-12-30T11:21:00"/>
    <s v=" "/>
    <s v=" "/>
    <d v="1899-12-30T10:53:00"/>
    <s v="Ativo"/>
    <x v="3"/>
    <x v="4"/>
    <x v="16"/>
  </r>
  <r>
    <n v="131144"/>
    <x v="569"/>
    <s v="Diretoria Seminovos"/>
    <x v="4"/>
    <s v="LJPLM - Vendas Varejo Seminovos Palmas"/>
    <s v="THIAGO MELO DE FREITAS"/>
    <s v="POSITIVO"/>
    <d v="1900-01-02T00:19:00"/>
    <d v="1899-12-30T00:00:00"/>
    <d v="1900-01-02T00:19:00"/>
    <s v=" "/>
    <s v=" "/>
    <s v=" "/>
    <s v=" "/>
    <d v="1899-12-30T08:44:00"/>
    <d v="1900-01-01T00:41:00"/>
    <d v="1899-12-30T13:10:00"/>
    <s v=" "/>
    <s v=" "/>
    <s v=" "/>
    <s v=" "/>
    <s v=" "/>
    <s v="Ativo"/>
    <x v="3"/>
    <x v="4"/>
    <x v="22"/>
  </r>
  <r>
    <n v="134733"/>
    <x v="570"/>
    <s v="Diretoria Seminovos"/>
    <x v="4"/>
    <s v="LJTAG - Vendas Varejo Seminovos Taguatinga"/>
    <s v="EMILIO JOSE DE SOUZA FILHO"/>
    <s v="POSITIVO"/>
    <d v="1900-01-01T08:32:00"/>
    <d v="1899-12-30T00:00:00"/>
    <d v="1900-01-01T08:32:00"/>
    <s v=" "/>
    <s v=" "/>
    <s v=" "/>
    <s v=" "/>
    <d v="1899-12-30T17:24:00"/>
    <d v="1899-12-31T13:34:00"/>
    <d v="1899-12-30T01:34:00"/>
    <s v=" "/>
    <s v=" "/>
    <s v=" "/>
    <s v=" "/>
    <s v=" "/>
    <s v="Ativo"/>
    <x v="3"/>
    <x v="4"/>
    <x v="128"/>
  </r>
  <r>
    <n v="136436"/>
    <x v="571"/>
    <s v="Diretoria Seminovos"/>
    <x v="4"/>
    <s v="LJPLM - Vendas Varejo Seminovos Palmas"/>
    <s v="THIAGO MELO DE FREITAS"/>
    <s v="POSITIVO"/>
    <d v="1900-01-01T08:52:00"/>
    <d v="1899-12-30T00:00:00"/>
    <d v="1900-01-01T08:52:00"/>
    <s v=" "/>
    <s v=" "/>
    <s v=" "/>
    <s v=" "/>
    <s v=" "/>
    <d v="1899-12-31T06:49:00"/>
    <d v="1899-12-30T19:28:00"/>
    <s v=" "/>
    <s v=" "/>
    <s v=" "/>
    <s v=" "/>
    <s v=" "/>
    <s v="Ativo"/>
    <x v="3"/>
    <x v="4"/>
    <x v="22"/>
  </r>
  <r>
    <n v="135185"/>
    <x v="572"/>
    <s v="Diretoria Seminovos"/>
    <x v="4"/>
    <s v="LJGYG - Vendas Varejo Seminovos Goiânia"/>
    <s v="LIDYANE GUIMARAES DO NASCIMENTO SANTOS"/>
    <s v="POSITIVO"/>
    <d v="1899-12-31T23:01:00"/>
    <d v="1899-12-30T00:00:00"/>
    <d v="1899-12-31T23:01:00"/>
    <s v=" "/>
    <s v=" "/>
    <s v=" "/>
    <s v=" "/>
    <s v=" "/>
    <s v=" "/>
    <s v=" "/>
    <s v=" "/>
    <s v=" "/>
    <d v="1899-12-31T14:16:00"/>
    <d v="1899-12-30T08:45:00"/>
    <s v=" "/>
    <s v="Contrato de Trabalho Suspenso"/>
    <x v="3"/>
    <x v="4"/>
    <x v="18"/>
  </r>
  <r>
    <n v="502746"/>
    <x v="573"/>
    <s v="Diretoria Seminovos"/>
    <x v="4"/>
    <s v="LJUDI - Vendas Varejo Seminovos Uberlândia"/>
    <s v="CARLOS ALBERTO GONCALVES"/>
    <s v="POSITIVO"/>
    <d v="1899-12-31T14:35:00"/>
    <d v="1899-12-30T00:00:00"/>
    <d v="1899-12-31T14:35:00"/>
    <s v=" "/>
    <s v=" "/>
    <s v=" "/>
    <d v="1899-12-30T09:10:00"/>
    <d v="1899-12-30T05:38:00"/>
    <d v="1899-12-30T23:47:00"/>
    <s v=" "/>
    <s v=" "/>
    <s v=" "/>
    <s v=" "/>
    <s v=" "/>
    <s v=" "/>
    <s v="Contrato de Trabalho Suspenso"/>
    <x v="3"/>
    <x v="4"/>
    <x v="19"/>
  </r>
  <r>
    <n v="132793"/>
    <x v="574"/>
    <s v="Diretoria Seminovos"/>
    <x v="4"/>
    <s v="LJCGB - Vendas Varejo Seminovos Cuiabá        "/>
    <s v="FERNANDO CESAR CAPATO"/>
    <s v="POSITIVO"/>
    <d v="1899-12-31T10:12:00"/>
    <d v="1899-12-30T00:00:00"/>
    <d v="1899-12-31T10:12:00"/>
    <s v=" "/>
    <s v=" "/>
    <s v=" "/>
    <s v=" "/>
    <d v="1899-12-31T04:12:00"/>
    <d v="1899-12-30T06:00:00"/>
    <s v=" "/>
    <s v=" "/>
    <s v=" "/>
    <s v=" "/>
    <s v=" "/>
    <s v=" "/>
    <s v="Férias"/>
    <x v="3"/>
    <x v="4"/>
    <x v="23"/>
  </r>
  <r>
    <n v="123849"/>
    <x v="575"/>
    <s v="Diretoria Seminovos"/>
    <x v="4"/>
    <s v="LJAPS - Vendas Varejo Seminovos Anapolis"/>
    <s v="RODRIGO REIS FIALHO"/>
    <s v="POSITIVO"/>
    <d v="1899-12-31T09:03:00"/>
    <d v="1899-12-30T00:00:00"/>
    <d v="1899-12-31T09:03:00"/>
    <s v=" "/>
    <s v=" "/>
    <s v=" "/>
    <s v=" "/>
    <s v=" "/>
    <s v=" "/>
    <s v=" "/>
    <s v=" "/>
    <s v=" "/>
    <s v=" "/>
    <d v="1899-12-30T20:59:00"/>
    <d v="1899-12-30T10:12:00"/>
    <s v="Ativo"/>
    <x v="3"/>
    <x v="4"/>
    <x v="20"/>
  </r>
  <r>
    <n v="502075"/>
    <x v="576"/>
    <s v="Diretoria Seminovos"/>
    <x v="4"/>
    <s v="LJCGR - Vendas Varejo Seminovos Campo Grande"/>
    <s v="DOUGLAS PEREIRA SANDIM"/>
    <s v="POSITIVO"/>
    <d v="1899-12-30T06:40:00"/>
    <d v="1899-12-30T00:00:00"/>
    <d v="1899-12-30T06:40:00"/>
    <s v=" "/>
    <s v=" "/>
    <s v=" "/>
    <s v=" "/>
    <s v=" "/>
    <d v="1899-12-30T08:09:00"/>
    <d v="1899-12-30T13:44:00"/>
    <s v=" "/>
    <s v=" "/>
    <s v=" "/>
    <s v=" "/>
    <s v=" "/>
    <s v="Ativo"/>
    <x v="3"/>
    <x v="4"/>
    <x v="14"/>
  </r>
  <r>
    <n v="134858"/>
    <x v="577"/>
    <s v="Diretoria Seminovos"/>
    <x v="4"/>
    <s v="LJPLM - Vendas Varejo Seminovos Palmas"/>
    <s v="THIAGO MELO DE FREITAS"/>
    <s v="POSITIVO"/>
    <d v="1899-12-30T16:47:00"/>
    <d v="1899-12-30T00:00:00"/>
    <d v="1899-12-30T16:47:00"/>
    <s v=" "/>
    <s v=" "/>
    <s v=" "/>
    <s v=" "/>
    <s v=" "/>
    <d v="1899-12-30T01:27:00"/>
    <d v="1899-12-30T15:20:00"/>
    <s v=" "/>
    <s v=" "/>
    <s v=" "/>
    <s v=" "/>
    <s v=" "/>
    <s v="Ativo"/>
    <x v="3"/>
    <x v="4"/>
    <x v="22"/>
  </r>
  <r>
    <n v="122047"/>
    <x v="578"/>
    <s v="Diretoria Seminovos"/>
    <x v="4"/>
    <s v="LJUDI - Vendas Varejo Seminovos Uberlândia"/>
    <s v="CARLOS ALBERTO GONCALVES"/>
    <s v="POSITIVO"/>
    <d v="1899-12-30T07:49:00"/>
    <d v="1899-12-30T00:00:00"/>
    <d v="1899-12-30T07:49:00"/>
    <s v=" "/>
    <s v=" "/>
    <s v=" "/>
    <s v=" "/>
    <s v=" "/>
    <s v=" "/>
    <d v="1899-12-30T15:01:00"/>
    <s v=" "/>
    <s v=" "/>
    <s v=" "/>
    <s v=" "/>
    <s v=" "/>
    <s v="Ativo"/>
    <x v="3"/>
    <x v="4"/>
    <x v="19"/>
  </r>
  <r>
    <n v="132271"/>
    <x v="579"/>
    <s v="Diretoria Seminovos"/>
    <x v="4"/>
    <s v="LJCGR - Vendas Varejo Seminovos Campo Grande"/>
    <s v="DOUGLAS PEREIRA SANDIM"/>
    <s v="POSITIVO"/>
    <d v="1899-12-30T04:29:00"/>
    <d v="1899-12-30T00:00:00"/>
    <d v="1899-12-30T04:29:00"/>
    <s v=" "/>
    <s v=" "/>
    <s v=" "/>
    <s v=" "/>
    <s v=" "/>
    <s v=" "/>
    <d v="1899-12-30T09:33:00"/>
    <s v=" "/>
    <s v=" "/>
    <s v=" "/>
    <s v=" "/>
    <s v=" "/>
    <s v="Ativo"/>
    <x v="3"/>
    <x v="4"/>
    <x v="14"/>
  </r>
  <r>
    <n v="130025"/>
    <x v="580"/>
    <s v="Diretoria Seminovos"/>
    <x v="4"/>
    <s v="LJGOI - Vendas Varejo Seminovos Goiania"/>
    <s v="PAULO ROBERTO PEREIRA DE ARAUJO"/>
    <s v="POSITIVO"/>
    <d v="1899-12-30T11:07:00"/>
    <d v="1899-12-30T00:00:00"/>
    <d v="1899-12-30T11:07:00"/>
    <s v=" "/>
    <s v=" "/>
    <s v=" "/>
    <s v=" "/>
    <s v=" "/>
    <s v=" "/>
    <s v=" "/>
    <s v=" "/>
    <s v=" "/>
    <s v=" "/>
    <s v=" "/>
    <d v="1899-12-30T08:02:00"/>
    <s v="Ativo"/>
    <x v="3"/>
    <x v="4"/>
    <x v="16"/>
  </r>
  <r>
    <n v="503524"/>
    <x v="581"/>
    <s v="Diretoria Seminovos"/>
    <x v="4"/>
    <s v="LJUDI - Vendas Varejo Seminovos Uberlândia"/>
    <s v="CARLOS ALBERTO GONCALVES"/>
    <s v="POSITIVO"/>
    <d v="1899-12-30T06:37:00"/>
    <d v="1899-12-30T00:00:00"/>
    <d v="1899-12-30T06:37:00"/>
    <s v=" "/>
    <s v=" "/>
    <s v=" "/>
    <s v=" "/>
    <s v=" "/>
    <d v="1899-12-30T06:37:00"/>
    <s v=" "/>
    <s v=" "/>
    <s v=" "/>
    <s v=" "/>
    <s v=" "/>
    <s v=" "/>
    <s v="Contrato de Trabalho Suspenso"/>
    <x v="3"/>
    <x v="4"/>
    <x v="19"/>
  </r>
  <r>
    <n v="125518"/>
    <x v="582"/>
    <s v="Diretoria Seminovos"/>
    <x v="4"/>
    <s v="LJCGR - Vendas Varejo Seminovos Campo Grande"/>
    <s v="DOUGLAS PEREIRA SANDIM"/>
    <s v="POSITIVO"/>
    <d v="1899-12-30T06:48:00"/>
    <d v="1899-12-30T00:00:00"/>
    <d v="1899-12-30T06:48:00"/>
    <s v=" "/>
    <s v=" "/>
    <s v=" "/>
    <s v=" "/>
    <s v=" "/>
    <s v=" "/>
    <d v="1899-12-30T05:42:00"/>
    <s v=" "/>
    <s v=" "/>
    <s v=" "/>
    <s v=" "/>
    <s v=" "/>
    <s v="Ativo"/>
    <x v="3"/>
    <x v="4"/>
    <x v="14"/>
  </r>
  <r>
    <n v="132706"/>
    <x v="583"/>
    <s v="Diretoria Seminovos"/>
    <x v="4"/>
    <s v="LJUDI - Vendas Varejo Seminovos Uberlândia"/>
    <s v="CARLOS ALBERTO GONCALVES"/>
    <s v="POSITIVO"/>
    <d v="1899-12-30T04:21:00"/>
    <d v="1899-12-30T00:00:00"/>
    <d v="1899-12-30T04:21:00"/>
    <s v=" "/>
    <s v=" "/>
    <s v=" "/>
    <s v=" "/>
    <s v=" "/>
    <s v=" "/>
    <d v="1899-12-30T04:41:00"/>
    <s v=" "/>
    <s v=" "/>
    <s v=" "/>
    <s v=" "/>
    <s v=" "/>
    <s v="Ativo"/>
    <x v="3"/>
    <x v="4"/>
    <x v="19"/>
  </r>
  <r>
    <n v="501272"/>
    <x v="584"/>
    <s v="Diretoria Seminovos"/>
    <x v="4"/>
    <s v="LJGOI - Vendas Varejo Seminovos Goiania"/>
    <s v="PAULO ROBERTO PEREIRA DE ARAUJO"/>
    <s v="POSITIVO"/>
    <d v="1899-12-30T07:53:00"/>
    <d v="1899-12-30T00:00:00"/>
    <d v="1899-12-30T07:53:00"/>
    <s v=" "/>
    <s v=" "/>
    <s v=" "/>
    <s v=" "/>
    <s v=" "/>
    <s v=" "/>
    <s v=" "/>
    <s v=" "/>
    <s v=" "/>
    <s v=" "/>
    <s v=" "/>
    <d v="1899-12-30T03:20:00"/>
    <s v="Ativo"/>
    <x v="3"/>
    <x v="4"/>
    <x v="16"/>
  </r>
  <r>
    <n v="133321"/>
    <x v="585"/>
    <s v="Diretoria Seminovos"/>
    <x v="4"/>
    <s v="LJCGB - Vendas Varejo Seminovos Cuiabá"/>
    <s v="FERNANDO CESAR CAPA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x v="3"/>
    <x v="4"/>
    <x v="23"/>
  </r>
  <r>
    <n v="134644"/>
    <x v="586"/>
    <s v="Diretoria Seminovos"/>
    <x v="4"/>
    <s v="LJVIX - Vendas Varejo Seminovos Vitória"/>
    <s v="EUGENIO OLIVEIRA DAMASCENO DE JESU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4"/>
    <x v="17"/>
  </r>
  <r>
    <n v="132882"/>
    <x v="587"/>
    <s v="Diretoria Seminovos"/>
    <x v="4"/>
    <s v="LJCGB - Vendas Varejo Seminovos Cuiabá"/>
    <s v="FERNANDO CESAR CAPA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4"/>
    <x v="23"/>
  </r>
  <r>
    <n v="130428"/>
    <x v="588"/>
    <s v="Diretoria Seminovos"/>
    <x v="4"/>
    <s v="LJVIX - Vendas Varejo Seminovos Vitória"/>
    <s v="EUGENIO OLIVEIRA DAMASCENO DE JESU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4"/>
    <x v="17"/>
  </r>
  <r>
    <n v="135260"/>
    <x v="589"/>
    <s v="Diretoria Seminovos"/>
    <x v="4"/>
    <s v="LJUBA - Loja Seminovos Uberaba"/>
    <s v="FILIPE CORTEZ DE FREITAS"/>
    <s v="POSITIVO"/>
    <d v="1899-12-31T06:26:00"/>
    <d v="1899-12-30T00:00:00"/>
    <d v="1899-12-31T06:26:00"/>
    <s v=" "/>
    <s v=" "/>
    <s v=" "/>
    <s v=" "/>
    <s v=" "/>
    <d v="1899-12-30T22:26:00"/>
    <d v="1899-12-30T12:00:00"/>
    <s v=" "/>
    <s v=" "/>
    <s v=" "/>
    <s v=" "/>
    <s v=" "/>
    <s v="Ativo"/>
    <x v="2"/>
    <x v="4"/>
    <x v="24"/>
  </r>
  <r>
    <n v="133706"/>
    <x v="590"/>
    <s v="Diretoria Seminovos"/>
    <x v="4"/>
    <s v="LJGYG - Vendas Varejo Seminovos Goiânia"/>
    <s v="LIDYANE GUIMARAES DO NASCIMENTO SANTOS"/>
    <s v="POSITIVO"/>
    <d v="1899-12-30T04:31:00"/>
    <d v="1899-12-30T00:00:00"/>
    <d v="1899-12-30T04:31:00"/>
    <s v=" "/>
    <s v=" "/>
    <s v=" "/>
    <s v=" "/>
    <s v=" "/>
    <s v=" "/>
    <s v=" "/>
    <s v=" "/>
    <s v=" "/>
    <s v=" "/>
    <s v=" "/>
    <d v="1899-12-30T04:10:00"/>
    <s v="Ativo"/>
    <x v="3"/>
    <x v="4"/>
    <x v="18"/>
  </r>
  <r>
    <n v="123004"/>
    <x v="591"/>
    <s v="Diretoria Seminovos"/>
    <x v="4"/>
    <s v="LJUBA - Loja Seminovos Uberaba"/>
    <s v="FILIPE CORTEZ DE FREIT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4"/>
    <x v="24"/>
  </r>
  <r>
    <n v="132811"/>
    <x v="592"/>
    <s v="Diretoria Seminovos"/>
    <x v="4"/>
    <s v="LJUDI - Vendas Varejo Seminovos Uberlândia"/>
    <s v="CARLOS ALBERTO GONCALVES"/>
    <s v="POSITIVO"/>
    <d v="1899-12-30T03:11:00"/>
    <d v="1899-12-30T00:00:00"/>
    <d v="1899-12-30T03:11:00"/>
    <s v=" "/>
    <s v=" "/>
    <s v=" "/>
    <s v=" "/>
    <s v=" "/>
    <s v=" "/>
    <d v="1899-12-30T01:51:00"/>
    <s v=" "/>
    <s v=" "/>
    <s v=" "/>
    <s v=" "/>
    <s v=" "/>
    <s v="Ativo"/>
    <x v="3"/>
    <x v="4"/>
    <x v="19"/>
  </r>
  <r>
    <n v="502770"/>
    <x v="593"/>
    <s v="Diretoria Seminovos"/>
    <x v="4"/>
    <s v="LJGOI - Loja Seminovos Goiania"/>
    <s v="PAULO ROBERTO PEREIRA DE ARAUJO"/>
    <s v="POSITIVO"/>
    <d v="1899-12-31T07:56:00"/>
    <d v="1899-12-30T00:00:00"/>
    <d v="1899-12-31T07:56:00"/>
    <s v=" "/>
    <s v=" "/>
    <s v=" "/>
    <s v=" "/>
    <s v=" "/>
    <s v=" "/>
    <s v=" "/>
    <s v=" "/>
    <s v=" "/>
    <d v="1899-12-30T10:25:00"/>
    <d v="1899-12-30T14:16:00"/>
    <d v="1899-12-30T07:19:00"/>
    <s v="Ativo"/>
    <x v="2"/>
    <x v="4"/>
    <x v="16"/>
  </r>
  <r>
    <n v="137176"/>
    <x v="594"/>
    <s v="Diretoria Seminovos"/>
    <x v="4"/>
    <s v="LJBSB - Loja Seminovos Brasília"/>
    <s v="RODRIGO REIS FIALH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4"/>
    <x v="21"/>
  </r>
  <r>
    <n v="123220"/>
    <x v="595"/>
    <s v="Diretoria Seminovos"/>
    <x v="4"/>
    <s v="LJCGB - Loja Seminovos Cuiabá"/>
    <s v="FERNANDO CESAR CAPATO"/>
    <s v="POSITIVO"/>
    <d v="1899-12-30T22:54:00"/>
    <d v="1899-12-30T00:00:00"/>
    <d v="1899-12-30T22:54:00"/>
    <s v=" "/>
    <s v=" "/>
    <s v=" "/>
    <s v=" "/>
    <s v=" "/>
    <d v="1899-12-30T18:54:00"/>
    <d v="1899-12-30T04:00:00"/>
    <s v=" "/>
    <s v=" "/>
    <s v=" "/>
    <s v=" "/>
    <s v=" "/>
    <s v="Ativo"/>
    <x v="2"/>
    <x v="4"/>
    <x v="23"/>
  </r>
  <r>
    <n v="135076"/>
    <x v="596"/>
    <s v="Diretoria Seminovos"/>
    <x v="4"/>
    <s v="LJTAG - Loja Seminovos Taguatinga"/>
    <s v="EMILIO JOSE DE SOUZA FILHO"/>
    <s v="POSITIVO"/>
    <d v="1899-12-30T00:48:00"/>
    <d v="1899-12-30T00:00:00"/>
    <d v="1899-12-30T00:48:00"/>
    <s v=" "/>
    <s v=" "/>
    <s v=" "/>
    <s v=" "/>
    <s v=" "/>
    <s v=" "/>
    <d v="1899-12-30T00:48:00"/>
    <s v=" "/>
    <s v=" "/>
    <s v=" "/>
    <s v=" "/>
    <s v=" "/>
    <s v="Ativo"/>
    <x v="2"/>
    <x v="4"/>
    <x v="128"/>
  </r>
  <r>
    <n v="136872"/>
    <x v="597"/>
    <s v="Diretoria Seminovos"/>
    <x v="4"/>
    <s v="LJUDI - Loja Seminovos Uberlândia"/>
    <s v="CARLOS ALBERTO GONCALV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4"/>
    <x v="19"/>
  </r>
  <r>
    <n v="129582"/>
    <x v="598"/>
    <s v="Diretoria Seminovos"/>
    <x v="4"/>
    <s v="LJGOI - Loja Seminovos Goiania"/>
    <s v="PAULO ROBERTO PEREIRA DE ARAUJO"/>
    <s v="POSITIVO"/>
    <d v="1899-12-30T18:56:00"/>
    <d v="1899-12-30T00:00:00"/>
    <d v="1899-12-30T18:56:00"/>
    <s v=" "/>
    <s v=" "/>
    <s v=" "/>
    <s v=" "/>
    <s v=" "/>
    <s v=" "/>
    <s v=" "/>
    <s v=" "/>
    <s v=" "/>
    <s v=" "/>
    <s v=" "/>
    <d v="1899-12-30T09:35:00"/>
    <s v="Ativo"/>
    <x v="8"/>
    <x v="4"/>
    <x v="16"/>
  </r>
  <r>
    <n v="134861"/>
    <x v="599"/>
    <s v="Diretoria Seminovos"/>
    <x v="4"/>
    <s v="LJTAG - Loja Seminovos Taguatinga"/>
    <s v="EMILIO JOSE DE SOUZA FILHO"/>
    <s v="POSITIVO"/>
    <d v="1899-12-31T08:34:00"/>
    <d v="1899-12-30T00:00:00"/>
    <d v="1899-12-31T08:34:00"/>
    <s v=" "/>
    <s v=" "/>
    <s v=" "/>
    <s v=" "/>
    <s v=" "/>
    <d v="1899-12-31T08:34:00"/>
    <s v=" "/>
    <s v=" "/>
    <s v=" "/>
    <s v=" "/>
    <s v=" "/>
    <s v=" "/>
    <s v="Ativo"/>
    <x v="6"/>
    <x v="4"/>
    <x v="128"/>
  </r>
  <r>
    <n v="136333"/>
    <x v="600"/>
    <s v="Diretoria Seminovos"/>
    <x v="4"/>
    <s v="LJGYG - Vendas Varejo Seminovos Goiânia"/>
    <s v="LIDYANE GUIMARAES DO NASCIMENTO SANTOS"/>
    <s v="POSITIVO"/>
    <d v="1899-12-30T13:21:00"/>
    <d v="1899-12-30T00:00:00"/>
    <d v="1899-12-30T13:21:00"/>
    <s v=" "/>
    <s v=" "/>
    <s v=" "/>
    <s v=" "/>
    <s v=" "/>
    <s v=" "/>
    <s v=" "/>
    <s v=" "/>
    <s v=" "/>
    <s v=" "/>
    <s v=" "/>
    <d v="1899-12-30T04:04:00"/>
    <s v="Ativo"/>
    <x v="3"/>
    <x v="4"/>
    <x v="18"/>
  </r>
  <r>
    <n v="137203"/>
    <x v="601"/>
    <s v="Diretoria Seminovos"/>
    <x v="4"/>
    <s v="LJPLM - Loja Seminovos Palmas"/>
    <s v="THIAGO MELO DE FREITAS"/>
    <s v="POSITIVO"/>
    <d v="1899-12-30T05:28:00"/>
    <d v="1899-12-30T00:00:00"/>
    <d v="1899-12-30T05:28:00"/>
    <s v=" "/>
    <s v=" "/>
    <s v=" "/>
    <s v=" "/>
    <s v=" "/>
    <s v=" "/>
    <s v=" "/>
    <s v=" "/>
    <s v=" "/>
    <s v=" "/>
    <s v=" "/>
    <s v=" "/>
    <s v="Ativo"/>
    <x v="2"/>
    <x v="4"/>
    <x v="22"/>
  </r>
  <r>
    <n v="502070"/>
    <x v="602"/>
    <s v="Diretoria Seminovos"/>
    <x v="4"/>
    <s v="LJCGR - Loja Seminovos Campo Grande"/>
    <s v="DOUGLAS PEREIRA SANDIM"/>
    <s v="POSITIVO"/>
    <d v="1899-12-30T01:25:00"/>
    <d v="1899-12-30T00:00:00"/>
    <d v="1899-12-30T01:25:00"/>
    <s v=" "/>
    <s v=" "/>
    <s v=" "/>
    <s v=" "/>
    <s v=" "/>
    <d v="1899-12-30T00:40:00"/>
    <d v="1899-12-30T00:22:00"/>
    <s v=" "/>
    <s v=" "/>
    <s v=" "/>
    <s v=" "/>
    <s v=" "/>
    <s v="Ativo"/>
    <x v="6"/>
    <x v="4"/>
    <x v="14"/>
  </r>
  <r>
    <n v="125474"/>
    <x v="603"/>
    <s v="Diretoria Seminovos"/>
    <x v="4"/>
    <s v="LJCGB - Loja Seminovos Cuiabá"/>
    <s v="FERNANDO CESAR CAPATO"/>
    <s v="POSITIVO"/>
    <d v="1900-01-06T11:21:00"/>
    <d v="1899-12-30T00:00:00"/>
    <d v="1900-01-06T11:21:00"/>
    <s v=" "/>
    <s v=" "/>
    <s v=" "/>
    <s v=" "/>
    <d v="1900-01-02T09:17:00"/>
    <d v="1900-01-03T00:04:00"/>
    <d v="1899-12-30T02:00:00"/>
    <s v=" "/>
    <s v=" "/>
    <s v=" "/>
    <s v=" "/>
    <s v=" "/>
    <s v="Ativo"/>
    <x v="6"/>
    <x v="4"/>
    <x v="23"/>
  </r>
  <r>
    <n v="124532"/>
    <x v="604"/>
    <s v="Diretoria Seminovos"/>
    <x v="4"/>
    <s v="LJCGR - Loja Seminovos Campo Grande"/>
    <s v="DOUGLAS PEREIRA SANDIM"/>
    <s v="POSITIVO"/>
    <d v="1899-12-30T06:05:00"/>
    <d v="1899-12-30T00:00:00"/>
    <d v="1899-12-30T06:05:00"/>
    <s v=" "/>
    <s v=" "/>
    <s v=" "/>
    <s v=" "/>
    <s v=" "/>
    <d v="1899-12-30T02:24:00"/>
    <d v="1899-12-30T02:40:00"/>
    <s v=" "/>
    <s v=" "/>
    <s v=" "/>
    <s v=" "/>
    <s v=" "/>
    <s v="Ativo"/>
    <x v="2"/>
    <x v="4"/>
    <x v="14"/>
  </r>
  <r>
    <n v="125337"/>
    <x v="605"/>
    <s v="Diretoria Seminovos"/>
    <x v="5"/>
    <s v="LJOSC - Vendas Varejo Seminovos Osasco"/>
    <s v="ROBSON LUIZ ANDREATTE"/>
    <s v="POSITIVO"/>
    <d v="1900-01-01T06:38:00"/>
    <d v="1899-12-30T00:00:00"/>
    <d v="1900-01-01T06:38:00"/>
    <s v=" "/>
    <s v=" "/>
    <s v=" "/>
    <s v=" "/>
    <s v=" "/>
    <s v=" "/>
    <s v=" "/>
    <s v=" "/>
    <s v=" "/>
    <d v="1899-12-30T16:03:00"/>
    <d v="1899-12-31T05:19:00"/>
    <d v="1899-12-30T05:55:00"/>
    <s v="Ativo"/>
    <x v="3"/>
    <x v="5"/>
    <x v="36"/>
  </r>
  <r>
    <n v="123801"/>
    <x v="606"/>
    <s v="Diretoria Seminovos"/>
    <x v="5"/>
    <s v="LJIPA - Vendas Varejo Seminovos Itaim Paulista"/>
    <s v="MAURICIO NAVARRO"/>
    <s v="POSITIVO"/>
    <d v="1899-12-31T03:59:00"/>
    <d v="1899-12-30T00:00:00"/>
    <d v="1899-12-31T03:59:00"/>
    <s v=" "/>
    <s v=" "/>
    <s v=" "/>
    <s v=" "/>
    <s v=" "/>
    <s v=" "/>
    <s v=" "/>
    <s v=" "/>
    <s v=" "/>
    <d v="1899-12-31T03:59:00"/>
    <s v=" "/>
    <s v=" "/>
    <s v="Ativo"/>
    <x v="3"/>
    <x v="5"/>
    <x v="35"/>
  </r>
  <r>
    <n v="135184"/>
    <x v="607"/>
    <s v="Diretoria Seminovos"/>
    <x v="5"/>
    <s v="LJOSC - Vendas Varejo Seminovos Osasco"/>
    <s v="ROBSON LUIZ ANDREATTE"/>
    <s v="POSITIVO"/>
    <d v="1899-12-31T02:56:00"/>
    <d v="1899-12-30T00:00:00"/>
    <d v="1899-12-31T02:56:00"/>
    <s v=" "/>
    <s v=" "/>
    <s v=" "/>
    <s v=" "/>
    <s v=" "/>
    <s v=" "/>
    <s v=" "/>
    <s v=" "/>
    <s v=" "/>
    <s v=" "/>
    <d v="1899-12-31T02:56:00"/>
    <s v=" "/>
    <s v="Contrato de Trabalho Suspenso"/>
    <x v="3"/>
    <x v="5"/>
    <x v="36"/>
  </r>
  <r>
    <n v="132589"/>
    <x v="608"/>
    <s v="Diretoria Seminovos"/>
    <x v="5"/>
    <s v="LJSOR - Vendas Varejo Seminovos Sorocaba"/>
    <s v="MARCIO SAMPIERI"/>
    <s v="POSITIVO"/>
    <d v="1899-12-30T11:10:00"/>
    <d v="1899-12-30T00:00:00"/>
    <d v="1899-12-30T11:10:00"/>
    <s v=" "/>
    <s v=" "/>
    <s v=" "/>
    <s v=" "/>
    <s v=" "/>
    <s v=" "/>
    <d v="1899-12-30T05:54:00"/>
    <d v="1899-12-30T05:16:00"/>
    <s v=" "/>
    <s v=" "/>
    <s v=" "/>
    <s v=" "/>
    <s v="Ativo"/>
    <x v="3"/>
    <x v="5"/>
    <x v="28"/>
  </r>
  <r>
    <n v="501221"/>
    <x v="609"/>
    <s v="Diretoria Seminovos"/>
    <x v="5"/>
    <s v="LJMOG - Vendas Varejo Seminovos Mogi das Cruzes"/>
    <s v="FABIO ALEXANDRE FERRAZ DA SILVA"/>
    <s v="POSITIVO"/>
    <d v="1899-12-30T08:43:00"/>
    <d v="1899-12-30T00:00:00"/>
    <d v="1899-12-30T08:43:00"/>
    <s v=" "/>
    <s v=" "/>
    <s v=" "/>
    <s v=" "/>
    <s v=" "/>
    <d v="1899-12-30T00:09:00"/>
    <d v="1899-12-30T07:29:00"/>
    <d v="1899-12-30T01:05:00"/>
    <s v=" "/>
    <s v=" "/>
    <s v=" "/>
    <s v=" "/>
    <s v="Ativo"/>
    <x v="3"/>
    <x v="5"/>
    <x v="33"/>
  </r>
  <r>
    <n v="135704"/>
    <x v="610"/>
    <s v="Diretoria Seminovos"/>
    <x v="5"/>
    <s v="LJSCT - Vendas Varejo Seminovos São Caetano do Sul"/>
    <s v="CARLOS ACACIO LIMA"/>
    <s v="POSITIVO"/>
    <d v="1899-12-30T06:24:00"/>
    <d v="1899-12-30T00:00:00"/>
    <d v="1899-12-30T06:24:00"/>
    <s v=" "/>
    <s v=" "/>
    <s v=" "/>
    <s v=" "/>
    <s v=" "/>
    <s v=" "/>
    <s v=" "/>
    <s v=" "/>
    <s v=" "/>
    <d v="1899-12-30T06:24:00"/>
    <s v=" "/>
    <s v=" "/>
    <s v="Ativo"/>
    <x v="3"/>
    <x v="5"/>
    <x v="129"/>
  </r>
  <r>
    <n v="503017"/>
    <x v="611"/>
    <s v="Diretoria Seminovos"/>
    <x v="5"/>
    <s v="LJOSC - Vendas Varejo Seminovos Osasco"/>
    <s v="ROBSON LUIZ ANDREATTE"/>
    <s v="POSITIVO"/>
    <d v="1899-12-30T11:21:00"/>
    <d v="1899-12-30T00:00:00"/>
    <d v="1899-12-30T11:21:00"/>
    <s v=" "/>
    <s v=" "/>
    <s v=" "/>
    <s v=" "/>
    <s v=" "/>
    <s v=" "/>
    <s v=" "/>
    <s v=" "/>
    <s v=" "/>
    <s v=" "/>
    <s v=" "/>
    <d v="1899-12-30T06:21:00"/>
    <s v="Ativo"/>
    <x v="3"/>
    <x v="5"/>
    <x v="36"/>
  </r>
  <r>
    <n v="131221"/>
    <x v="612"/>
    <s v="Diretoria Seminovos"/>
    <x v="5"/>
    <s v="LJTAB - Vendas Varejo Seminovos Taubaté"/>
    <s v="HERMES DI JORGE"/>
    <s v="POSITIVO"/>
    <d v="1899-12-30T04:52:00"/>
    <d v="1899-12-30T00:00:00"/>
    <d v="1899-12-30T04:52:00"/>
    <s v=" "/>
    <s v=" "/>
    <s v=" "/>
    <s v=" "/>
    <s v=" "/>
    <s v=" "/>
    <d v="1899-12-30T03:36:00"/>
    <d v="1899-12-30T01:16:00"/>
    <s v=" "/>
    <s v=" "/>
    <s v=" "/>
    <s v=" "/>
    <s v="Ativo"/>
    <x v="3"/>
    <x v="5"/>
    <x v="31"/>
  </r>
  <r>
    <n v="130262"/>
    <x v="613"/>
    <s v="Diretoria Seminovos"/>
    <x v="5"/>
    <s v="LJSTA - Vendas Varejo Seminovos Santo André"/>
    <s v="JORGE LUIZ CANDIDO"/>
    <s v="POSITIVO"/>
    <d v="1899-12-30T04:01:00"/>
    <d v="1899-12-30T00:00:00"/>
    <d v="1899-12-30T04:01:00"/>
    <s v=" "/>
    <s v=" "/>
    <s v=" "/>
    <s v=" "/>
    <s v=" "/>
    <s v=" "/>
    <s v=" "/>
    <d v="1899-12-30T04:01:00"/>
    <s v=" "/>
    <s v=" "/>
    <s v=" "/>
    <s v=" "/>
    <s v="Ativo"/>
    <x v="3"/>
    <x v="5"/>
    <x v="32"/>
  </r>
  <r>
    <n v="122698"/>
    <x v="614"/>
    <s v="Diretoria Seminovos"/>
    <x v="5"/>
    <s v="LJGRU - Vendas Varejo Seminovos Guarulhos"/>
    <s v="GUSTAVO OLIVEIRA AGUIAR"/>
    <s v="POSITIVO"/>
    <d v="1899-12-30T03:52:00"/>
    <d v="1899-12-30T00:00:00"/>
    <d v="1899-12-30T03:52:00"/>
    <s v=" "/>
    <s v=" "/>
    <s v=" "/>
    <s v=" "/>
    <s v=" "/>
    <s v=" "/>
    <d v="1899-12-30T02:40:00"/>
    <d v="1899-12-30T01:12:00"/>
    <s v=" "/>
    <s v=" "/>
    <s v=" "/>
    <s v=" "/>
    <s v="Ativo"/>
    <x v="3"/>
    <x v="5"/>
    <x v="25"/>
  </r>
  <r>
    <n v="503589"/>
    <x v="615"/>
    <s v="Diretoria Seminovos"/>
    <x v="5"/>
    <s v="LJOSC - Vendas Varejo Seminovos Osasco"/>
    <s v="ROBSON LUIZ ANDREATTE"/>
    <s v="POSITIVO"/>
    <d v="1899-12-30T06:55:00"/>
    <d v="1899-12-30T00:00:00"/>
    <d v="1899-12-30T06:55:00"/>
    <s v=" "/>
    <s v=" "/>
    <s v=" "/>
    <s v=" "/>
    <s v=" "/>
    <s v=" "/>
    <s v=" "/>
    <s v=" "/>
    <s v=" "/>
    <s v=" "/>
    <s v=" "/>
    <d v="1899-12-30T03:43:00"/>
    <s v="Ativo"/>
    <x v="3"/>
    <x v="5"/>
    <x v="36"/>
  </r>
  <r>
    <n v="500542"/>
    <x v="616"/>
    <s v="Diretoria Seminovos"/>
    <x v="5"/>
    <s v="LJSOR - Vendas Varejo Seminovos Sorocaba"/>
    <s v="MARCIO SAMPIERI"/>
    <s v="POSITIVO"/>
    <d v="1899-12-30T03:02:00"/>
    <d v="1899-12-30T00:00:00"/>
    <d v="1899-12-30T03:02:00"/>
    <s v=" "/>
    <s v=" "/>
    <s v=" "/>
    <s v=" "/>
    <s v=" "/>
    <s v=" "/>
    <d v="1899-12-30T03:02:00"/>
    <s v=" "/>
    <s v=" "/>
    <s v=" "/>
    <s v=" "/>
    <s v=" "/>
    <s v="Ativo"/>
    <x v="3"/>
    <x v="5"/>
    <x v="28"/>
  </r>
  <r>
    <n v="134573"/>
    <x v="617"/>
    <s v="Diretoria Seminovos"/>
    <x v="5"/>
    <s v="LJIPA - Vendas Varejo Seminovos Itaim Paulista"/>
    <s v="MAURICIO NAVARRO"/>
    <s v="POSITIVO"/>
    <d v="1899-12-30T19:18:00"/>
    <d v="1899-12-30T00:00:00"/>
    <d v="1899-12-30T19:18:00"/>
    <s v=" "/>
    <s v=" "/>
    <s v=" "/>
    <s v=" "/>
    <s v=" "/>
    <s v=" "/>
    <s v=" "/>
    <s v=" "/>
    <s v=" "/>
    <s v=" "/>
    <d v="1899-12-30T00:48:00"/>
    <d v="1899-12-30T00:48:00"/>
    <s v="Ativo"/>
    <x v="3"/>
    <x v="5"/>
    <x v="35"/>
  </r>
  <r>
    <n v="132098"/>
    <x v="618"/>
    <s v="Diretoria Seminovos"/>
    <x v="5"/>
    <s v="LJSTA - Vendas Varejo Seminovos Santo André"/>
    <s v="JORGE LUIZ CANDIDO"/>
    <s v="POSITIVO"/>
    <d v="1899-12-30T00:52:00"/>
    <d v="1899-12-30T00:00:00"/>
    <d v="1899-12-30T00:52:00"/>
    <s v=" "/>
    <s v=" "/>
    <s v=" "/>
    <s v=" "/>
    <s v=" "/>
    <s v=" "/>
    <s v=" "/>
    <d v="1899-12-30T00:52:00"/>
    <s v=" "/>
    <s v=" "/>
    <s v=" "/>
    <s v=" "/>
    <s v="Ativo"/>
    <x v="3"/>
    <x v="5"/>
    <x v="32"/>
  </r>
  <r>
    <n v="501821"/>
    <x v="619"/>
    <s v="Diretoria Seminovos"/>
    <x v="5"/>
    <s v="LJSTA - Vendas Varejo Seminovos Santo André"/>
    <s v="JORGE LUIZ CANDIDO"/>
    <s v="POSITIVO"/>
    <d v="1899-12-30T00:37:00"/>
    <d v="1899-12-30T00:00:00"/>
    <d v="1899-12-30T00:37:00"/>
    <s v=" "/>
    <s v=" "/>
    <s v=" "/>
    <s v=" "/>
    <s v=" "/>
    <s v=" "/>
    <s v=" "/>
    <d v="1899-12-30T00:37:00"/>
    <s v=" "/>
    <s v=" "/>
    <s v=" "/>
    <s v=" "/>
    <s v="Contrato de Trabalho Suspenso"/>
    <x v="3"/>
    <x v="5"/>
    <x v="32"/>
  </r>
  <r>
    <n v="135907"/>
    <x v="620"/>
    <s v="Diretoria Seminovos"/>
    <x v="5"/>
    <s v="LJSMG - Vendas Varejo Seminovos São Miguel"/>
    <s v="PEDRO IVO DIAS RODRIGU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34"/>
  </r>
  <r>
    <n v="502098"/>
    <x v="621"/>
    <s v="Diretoria Seminovos"/>
    <x v="5"/>
    <s v="LJSJC - Vendas Varejo Seminovos São José dos Campos"/>
    <s v="DAVID LEANDRO ROCHA SANCH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26"/>
  </r>
  <r>
    <n v="132916"/>
    <x v="622"/>
    <s v="Diretoria Seminovos"/>
    <x v="5"/>
    <s v="LJSBC - Vendas Varejo Seminovos São Bernardo do Campo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130"/>
  </r>
  <r>
    <n v="133935"/>
    <x v="623"/>
    <s v="Diretoria Seminovos"/>
    <x v="5"/>
    <s v="LJTAB - Vendas Varejo Seminovos Taubaté"/>
    <s v="HERMES DI JORG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31"/>
  </r>
  <r>
    <n v="136982"/>
    <x v="624"/>
    <s v="Diretoria Seminovos"/>
    <x v="5"/>
    <s v="LJSCT - Vendas Varejo Seminovos São Caetano do Sul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5"/>
    <x v="129"/>
  </r>
  <r>
    <n v="132864"/>
    <x v="625"/>
    <s v="Diretoria Seminovos"/>
    <x v="5"/>
    <s v="LJGRU - Vendas Varejo Seminovos Guarulhos"/>
    <s v="GUSTAVO OLIVEIRA AGUIAR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25"/>
  </r>
  <r>
    <n v="135411"/>
    <x v="626"/>
    <s v="Diretoria Seminovos"/>
    <x v="5"/>
    <s v="LJTAB - Vendas Varejo Seminovos Taubaté"/>
    <s v="HERMES DI JORG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31"/>
  </r>
  <r>
    <n v="134609"/>
    <x v="627"/>
    <s v="Diretoria Seminovos"/>
    <x v="5"/>
    <s v="LJSTA - Vendas Varejo Seminovos Santo André"/>
    <s v="JORGE LUIZ CANDID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32"/>
  </r>
  <r>
    <n v="130912"/>
    <x v="628"/>
    <s v="Diretoria Seminovos"/>
    <x v="5"/>
    <s v="LJIPA - Vendas Varejo Seminovos Itaim Paulista"/>
    <s v="MAURICIO NAVARRO"/>
    <s v="POSITIVO"/>
    <d v="1899-12-30T05:02:00"/>
    <d v="1899-12-30T00:00:00"/>
    <d v="1899-12-30T05:02:00"/>
    <s v=" "/>
    <s v=" "/>
    <s v=" "/>
    <s v=" "/>
    <s v=" "/>
    <s v=" "/>
    <s v=" "/>
    <s v=" "/>
    <s v=" "/>
    <s v=" "/>
    <s v=" "/>
    <s v=" "/>
    <s v="Ativo"/>
    <x v="3"/>
    <x v="5"/>
    <x v="35"/>
  </r>
  <r>
    <n v="125602"/>
    <x v="629"/>
    <s v="Diretoria Seminovos"/>
    <x v="5"/>
    <s v="LJSOR - Vendas Varejo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28"/>
  </r>
  <r>
    <n v="130391"/>
    <x v="630"/>
    <s v="Diretoria Seminovos"/>
    <x v="5"/>
    <s v="LJSOR - Vendas Varejo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5"/>
    <x v="28"/>
  </r>
  <r>
    <n v="133460"/>
    <x v="631"/>
    <s v="Diretoria Seminovos"/>
    <x v="5"/>
    <s v="LJPGR - Vendas Varejo Seminovos Praia Grande"/>
    <s v="FABIANO SOUZA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29"/>
  </r>
  <r>
    <n v="130822"/>
    <x v="632"/>
    <s v="Diretoria Seminovos"/>
    <x v="5"/>
    <s v="LJMOG - Vendas Varejo Seminovos Mogi das Cruzes"/>
    <s v="FABIO ALEXANDRE FERRAZ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33"/>
  </r>
  <r>
    <n v="501688"/>
    <x v="633"/>
    <s v="Diretoria Seminovos"/>
    <x v="5"/>
    <s v="LJSJA - Loja Seminovos São José dos Campos"/>
    <s v="ANDRE BORGES DA CO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5"/>
    <x v="27"/>
  </r>
  <r>
    <n v="131758"/>
    <x v="634"/>
    <s v="Diretoria Seminovos"/>
    <x v="5"/>
    <s v="LJSJA - Vendas Varejo Seminovos São José dos Campos"/>
    <s v="ANDRE BORGES DA CO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27"/>
  </r>
  <r>
    <n v="501996"/>
    <x v="635"/>
    <s v="Diretoria Seminovos"/>
    <x v="5"/>
    <s v="LJMOG - Vendas Varejo Seminovos Mogi das Cruzes"/>
    <s v="FABIO ALEXANDRE FERRAZ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33"/>
  </r>
  <r>
    <n v="133445"/>
    <x v="636"/>
    <s v="Diretoria Seminovos"/>
    <x v="5"/>
    <s v="LJSTS - Vendas Varejo Seminovos Santos"/>
    <s v="RICARDO TEOFILO AMORIM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30"/>
  </r>
  <r>
    <n v="135488"/>
    <x v="637"/>
    <s v="Diretoria Seminovos"/>
    <x v="5"/>
    <s v="LJSBC - Vendas Varejo Seminovos São Bernardo do Campo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130"/>
  </r>
  <r>
    <n v="502863"/>
    <x v="638"/>
    <s v="Diretoria Seminovos"/>
    <x v="5"/>
    <s v="LJIPA - Vendas Varejo Seminovos Itaim Paulista"/>
    <s v="MAURICIO NAVARRO"/>
    <s v="POSITIVO"/>
    <d v="1899-12-30T00:10:00"/>
    <d v="1899-12-30T00:00:00"/>
    <d v="1899-12-30T00:10:00"/>
    <s v=" "/>
    <s v=" "/>
    <s v=" "/>
    <s v=" "/>
    <s v=" "/>
    <s v=" "/>
    <s v=" "/>
    <s v=" "/>
    <s v=" "/>
    <s v=" "/>
    <s v=" "/>
    <s v=" "/>
    <s v="Ativo"/>
    <x v="3"/>
    <x v="5"/>
    <x v="35"/>
  </r>
  <r>
    <n v="503069"/>
    <x v="639"/>
    <s v="Diretoria Seminovos"/>
    <x v="5"/>
    <s v="LJSTS - Vendas Varejo Seminovos Santos"/>
    <s v="RICARDO TEOFILO AMORIM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30"/>
  </r>
  <r>
    <n v="500922"/>
    <x v="640"/>
    <s v="Diretoria Seminovos"/>
    <x v="5"/>
    <s v="LJSOR - Vendas Varejo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5"/>
    <x v="28"/>
  </r>
  <r>
    <n v="502952"/>
    <x v="641"/>
    <s v="Diretoria Seminovos"/>
    <x v="5"/>
    <s v="LJOSC - Vendas Varejo Seminovos Osasco"/>
    <s v="ROBSON LUIZ ANDREATTE"/>
    <s v="POSITIVO"/>
    <d v="1899-12-30T07:07:00"/>
    <d v="1899-12-30T00:00:00"/>
    <d v="1899-12-30T07:07:00"/>
    <s v=" "/>
    <s v=" "/>
    <s v=" "/>
    <s v=" "/>
    <s v=" "/>
    <s v=" "/>
    <s v=" "/>
    <s v=" "/>
    <d v="1899-12-30T00:01:00"/>
    <s v=" "/>
    <s v=" "/>
    <d v="1899-12-30T00:34:00"/>
    <s v="Ativo"/>
    <x v="3"/>
    <x v="5"/>
    <x v="36"/>
  </r>
  <r>
    <n v="119749"/>
    <x v="642"/>
    <s v="Diretoria Seminovos"/>
    <x v="5"/>
    <s v="LJIPA - Loja Seminovos Itaim Paulista"/>
    <s v="MAURICIO NAVARRO"/>
    <s v="POSITIVO"/>
    <d v="1899-12-31T04:22:00"/>
    <d v="1899-12-30T00:00:00"/>
    <d v="1899-12-31T04:22:00"/>
    <s v=" "/>
    <s v=" "/>
    <s v=" "/>
    <s v=" "/>
    <s v=" "/>
    <s v=" "/>
    <s v=" "/>
    <s v=" "/>
    <s v=" "/>
    <d v="1899-12-30T16:22:00"/>
    <s v=" "/>
    <d v="1899-12-30T04:00:00"/>
    <s v="Ativo"/>
    <x v="2"/>
    <x v="5"/>
    <x v="35"/>
  </r>
  <r>
    <n v="119907"/>
    <x v="643"/>
    <s v="Diretoria Seminovos"/>
    <x v="5"/>
    <s v="LJSOR - Loja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2"/>
    <x v="5"/>
    <x v="28"/>
  </r>
  <r>
    <n v="133195"/>
    <x v="644"/>
    <s v="Diretoria Seminovos"/>
    <x v="5"/>
    <s v="LJPGR - Loja Seminovos Praia Grande"/>
    <s v="FABIANO SOUZA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Ac.Trabalho"/>
    <x v="2"/>
    <x v="5"/>
    <x v="29"/>
  </r>
  <r>
    <n v="501012"/>
    <x v="645"/>
    <s v="Diretoria Seminovos"/>
    <x v="5"/>
    <s v="LJSOR - Loja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5"/>
    <x v="28"/>
  </r>
  <r>
    <n v="119390"/>
    <x v="646"/>
    <s v="Diretoria Seminovos"/>
    <x v="5"/>
    <s v="LJIPA - Loja Seminovos Itaim Paulista"/>
    <s v="MAURICIO NAVARRO"/>
    <s v="POSITIVO"/>
    <d v="1899-12-30T07:42:00"/>
    <d v="1899-12-30T00:00:00"/>
    <d v="1899-12-30T07:42:00"/>
    <s v=" "/>
    <s v=" "/>
    <s v=" "/>
    <s v=" "/>
    <s v=" "/>
    <s v=" "/>
    <s v=" "/>
    <s v=" "/>
    <s v=" "/>
    <d v="1899-12-30T08:00:00"/>
    <s v=" "/>
    <s v=" "/>
    <s v="Ativo"/>
    <x v="2"/>
    <x v="5"/>
    <x v="35"/>
  </r>
  <r>
    <n v="502228"/>
    <x v="647"/>
    <s v="Diretoria Seminovos"/>
    <x v="5"/>
    <s v="LJGRU - Loja Seminovos Guarulhos"/>
    <s v="GUSTAVO OLIVEIRA AGUIAR"/>
    <s v="POSITIVO"/>
    <d v="1899-12-30T13:49:00"/>
    <d v="1899-12-30T00:00:00"/>
    <d v="1899-12-30T13:49:00"/>
    <s v=" "/>
    <s v=" "/>
    <s v=" "/>
    <s v=" "/>
    <s v=" "/>
    <s v=" "/>
    <s v=" "/>
    <s v=" "/>
    <s v=" "/>
    <s v=" "/>
    <s v=" "/>
    <d v="1899-12-30T07:33:00"/>
    <s v="Ativo"/>
    <x v="5"/>
    <x v="5"/>
    <x v="25"/>
  </r>
  <r>
    <n v="136898"/>
    <x v="648"/>
    <s v="Diretoria Seminovos"/>
    <x v="5"/>
    <s v="LJSJC - Loja Seminovos São José dos Campos"/>
    <s v="DAVID LEANDRO ROCHA SANCH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5"/>
    <x v="26"/>
  </r>
  <r>
    <n v="132272"/>
    <x v="649"/>
    <s v="Diretoria Seminovos"/>
    <x v="5"/>
    <s v="LJIPA - Vendas Varejo Seminovos Itaim Paulista"/>
    <s v="MAURICIO NAVARRO"/>
    <s v="POSITIVO"/>
    <d v="1899-12-30T06:33:00"/>
    <d v="1899-12-30T00:00:00"/>
    <d v="1899-12-30T06:33:00"/>
    <s v=" "/>
    <s v=" "/>
    <s v=" "/>
    <s v=" "/>
    <s v=" "/>
    <s v=" "/>
    <s v=" "/>
    <s v=" "/>
    <s v=" "/>
    <s v=" "/>
    <d v="1899-12-30T09:15:00"/>
    <d v="1899-12-30T01:02:00"/>
    <s v="Ativo"/>
    <x v="3"/>
    <x v="5"/>
    <x v="35"/>
  </r>
  <r>
    <n v="136240"/>
    <x v="650"/>
    <s v="Diretoria Seminovos"/>
    <x v="5"/>
    <s v="LJOSC - Loja Seminovos Osasco"/>
    <s v="ROBSON LUIZ ANDREATTE"/>
    <s v="POSITIVO"/>
    <d v="1899-12-30T06:32:00"/>
    <d v="1899-12-30T00:00:00"/>
    <d v="1899-12-30T06:32:00"/>
    <s v=" "/>
    <s v=" "/>
    <s v=" "/>
    <s v=" "/>
    <s v=" "/>
    <s v=" "/>
    <s v=" "/>
    <s v=" "/>
    <s v=" "/>
    <s v=" "/>
    <s v=" "/>
    <d v="1899-12-30T04:59:00"/>
    <s v="Ativo"/>
    <x v="2"/>
    <x v="5"/>
    <x v="36"/>
  </r>
  <r>
    <n v="501857"/>
    <x v="651"/>
    <s v="Diretoria Seminovos"/>
    <x v="5"/>
    <s v="LJSCT - Loja Seminovos São Caetano do Sul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5"/>
    <x v="129"/>
  </r>
  <r>
    <n v="129614"/>
    <x v="652"/>
    <s v="Diretoria Seminovos"/>
    <x v="5"/>
    <s v="LJSJC - Loja Seminovos São José dos Campos"/>
    <s v="DAVID LEANDRO ROCHA SANCH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5"/>
    <x v="26"/>
  </r>
  <r>
    <n v="117968"/>
    <x v="653"/>
    <s v="Diretoria Seminovos"/>
    <x v="5"/>
    <s v="LJMOG - Loja Seminovos Mogi das Cruzes"/>
    <s v="FABIO ALEXANDRE FERRAZ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5"/>
    <x v="33"/>
  </r>
  <r>
    <n v="125501"/>
    <x v="654"/>
    <s v="Diretoria Seminovos"/>
    <x v="5"/>
    <s v="LJOSC - Loja Seminovos Osasco"/>
    <s v="ROBSON LUIZ ANDREATTE"/>
    <s v="POSITIVO"/>
    <d v="1899-12-30T05:05:00"/>
    <d v="1899-12-30T00:00:00"/>
    <d v="1899-12-30T05:05:00"/>
    <s v=" "/>
    <s v=" "/>
    <s v=" "/>
    <s v=" "/>
    <s v=" "/>
    <s v=" "/>
    <s v=" "/>
    <s v=" "/>
    <s v=" "/>
    <s v=" "/>
    <d v="1899-12-30T01:00:00"/>
    <d v="1899-12-30T03:48:00"/>
    <s v="Ativo"/>
    <x v="6"/>
    <x v="5"/>
    <x v="36"/>
  </r>
  <r>
    <n v="117969"/>
    <x v="655"/>
    <s v="Diretoria Seminovos"/>
    <x v="5"/>
    <s v="LJSBC - Loja Seminovos São Bernardo do Campo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5"/>
    <x v="130"/>
  </r>
  <r>
    <n v="129853"/>
    <x v="656"/>
    <s v="Diretoria Seminovos"/>
    <x v="5"/>
    <s v="LJGRU - Loja Seminovos Guarulhos"/>
    <s v="GUSTAVO OLIVEIRA AGUIAR"/>
    <s v="POSITIVO"/>
    <d v="1899-12-30T11:32:00"/>
    <d v="1899-12-30T00:00:00"/>
    <d v="1899-12-30T11:32:00"/>
    <s v=" "/>
    <s v=" "/>
    <s v=" "/>
    <s v=" "/>
    <s v=" "/>
    <s v=" "/>
    <d v="1899-12-30T00:35:00"/>
    <d v="1899-12-30T00:18:00"/>
    <d v="1899-12-30T00:18:00"/>
    <s v=" "/>
    <s v=" "/>
    <d v="1899-12-30T06:48:00"/>
    <s v="Ativo"/>
    <x v="6"/>
    <x v="5"/>
    <x v="25"/>
  </r>
  <r>
    <n v="122565"/>
    <x v="657"/>
    <s v="Diretoria Seminovos"/>
    <x v="5"/>
    <s v="LJSCT - Loja Seminovos São Caetano do Sul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2"/>
    <x v="5"/>
    <x v="129"/>
  </r>
  <r>
    <n v="117970"/>
    <x v="658"/>
    <s v="Diretoria Seminovos"/>
    <x v="5"/>
    <s v="LJIPA - Loja Seminovos Itaim Paulista"/>
    <s v="MAURICIO NAVARR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5"/>
    <x v="35"/>
  </r>
  <r>
    <n v="121898"/>
    <x v="659"/>
    <s v="Diretoria Seminovos"/>
    <x v="6"/>
    <s v="LJAJU - Loja Seminovos Aracajú"/>
    <s v="TIAGO ANDRADE ALCANTARA"/>
    <s v="POSITIVO"/>
    <d v="1899-12-30T02:38:00"/>
    <d v="1899-12-30T00:00:00"/>
    <d v="1899-12-30T02:38:00"/>
    <s v=" "/>
    <s v=" "/>
    <s v=" "/>
    <s v=" "/>
    <s v=" "/>
    <s v=" "/>
    <d v="1899-12-30T02:17:00"/>
    <s v=" "/>
    <s v=" "/>
    <s v=" "/>
    <s v=" "/>
    <s v=" "/>
    <s v="Ativo"/>
    <x v="2"/>
    <x v="6"/>
    <x v="47"/>
  </r>
  <r>
    <n v="134409"/>
    <x v="660"/>
    <s v="Diretoria Seminovos"/>
    <x v="6"/>
    <s v="LJSSA - Vendas Varejo Seminovos Salvador"/>
    <s v="ALISSON LIMA E SILVA"/>
    <s v="POSITIVO"/>
    <d v="1900-01-01T18:54:00"/>
    <d v="1899-12-30T00:00:00"/>
    <d v="1900-01-01T18:54:00"/>
    <s v=" "/>
    <s v=" "/>
    <s v=" "/>
    <s v=" "/>
    <s v=" "/>
    <s v=" "/>
    <s v=" "/>
    <s v=" "/>
    <s v=" "/>
    <d v="1899-12-31T08:08:00"/>
    <d v="1899-12-31T10:46:00"/>
    <s v=" "/>
    <s v="Contrato de Trabalho Suspenso"/>
    <x v="3"/>
    <x v="6"/>
    <x v="42"/>
  </r>
  <r>
    <n v="503598"/>
    <x v="661"/>
    <s v="Diretoria Seminovos"/>
    <x v="6"/>
    <s v="LJNGT - Vendas Varejo Seminovos Nova Iguatemi"/>
    <s v="ALEXANDRE VINICIUS NEGREIROS CABRAL"/>
    <s v="POSITIVO"/>
    <d v="1900-01-01T23:59:00"/>
    <d v="1899-12-30T00:00:00"/>
    <d v="1900-01-01T23:59:00"/>
    <s v=" "/>
    <s v=" "/>
    <s v=" "/>
    <s v=" "/>
    <s v=" "/>
    <s v=" "/>
    <s v=" "/>
    <s v=" "/>
    <s v=" "/>
    <d v="1899-12-30T10:49:00"/>
    <d v="1899-12-30T21:20:00"/>
    <d v="1899-12-31T07:40:00"/>
    <s v="Ativo"/>
    <x v="3"/>
    <x v="6"/>
    <x v="40"/>
  </r>
  <r>
    <n v="136589"/>
    <x v="662"/>
    <s v="Diretoria Seminovos"/>
    <x v="6"/>
    <s v="LJREC - Vendas Varejo Seminovos Recife"/>
    <s v="MARCIA REGINA MARIA FRAGA DE VASCONCELOS"/>
    <s v="POSITIVO"/>
    <d v="1900-01-01T02:07:00"/>
    <d v="1899-12-30T00:00:00"/>
    <d v="1900-01-01T02:07:00"/>
    <s v=" "/>
    <s v=" "/>
    <s v=" "/>
    <s v=" "/>
    <s v=" "/>
    <s v=" "/>
    <s v=" "/>
    <s v=" "/>
    <s v=" "/>
    <s v=" "/>
    <d v="1899-12-30T15:25:00"/>
    <d v="1899-12-31T10:45:00"/>
    <s v="Ativo"/>
    <x v="3"/>
    <x v="6"/>
    <x v="38"/>
  </r>
  <r>
    <n v="503026"/>
    <x v="663"/>
    <s v="Diretoria Seminovos"/>
    <x v="6"/>
    <s v="LJSSA - Vendas Varejo Seminovos Salvador"/>
    <s v="ALISSON LIMA E SILVA"/>
    <s v="POSITIVO"/>
    <d v="1900-01-01T00:43:00"/>
    <d v="1899-12-30T00:00:00"/>
    <d v="1900-01-01T00:43:00"/>
    <s v=" "/>
    <s v=" "/>
    <s v=" "/>
    <s v=" "/>
    <s v=" "/>
    <s v=" "/>
    <s v=" "/>
    <s v=" "/>
    <s v=" "/>
    <d v="1899-12-30T11:26:00"/>
    <d v="1899-12-31T05:52:00"/>
    <d v="1899-12-30T06:18:00"/>
    <s v="Ativo"/>
    <x v="3"/>
    <x v="6"/>
    <x v="42"/>
  </r>
  <r>
    <n v="135760"/>
    <x v="664"/>
    <s v="Diretoria Seminovos"/>
    <x v="6"/>
    <s v="LJFSA - Vendas Varejo Seminovos Feira de Santana"/>
    <s v="CLEITON LUIS DOS REIS PEREIRA"/>
    <s v="POSITIVO"/>
    <d v="1899-12-31T18:18:00"/>
    <d v="1899-12-30T00:00:00"/>
    <d v="1899-12-31T18:18:00"/>
    <s v=" "/>
    <s v=" "/>
    <s v=" "/>
    <s v=" "/>
    <d v="1899-12-30T03:36:00"/>
    <d v="1899-12-31T08:38:00"/>
    <d v="1899-12-30T05:23:00"/>
    <s v=" "/>
    <s v=" "/>
    <s v=" "/>
    <s v=" "/>
    <s v=" "/>
    <s v="Ativo"/>
    <x v="3"/>
    <x v="6"/>
    <x v="131"/>
  </r>
  <r>
    <n v="129395"/>
    <x v="665"/>
    <s v="Diretoria Seminovos"/>
    <x v="6"/>
    <s v="LJVDC - Vendas Varejo Seminovos Vitoria da Conquista"/>
    <s v="FRANCISCO MORAIS ROCHA"/>
    <s v="POSITIVO"/>
    <d v="1899-12-31T14:59:00"/>
    <d v="1899-12-30T00:00:00"/>
    <d v="1899-12-31T14:59:00"/>
    <s v=" "/>
    <s v=" "/>
    <s v=" "/>
    <s v=" "/>
    <s v=" "/>
    <s v=" "/>
    <s v=" "/>
    <s v=" "/>
    <s v=" "/>
    <d v="1899-12-30T13:44:00"/>
    <d v="1899-12-31T01:15:00"/>
    <s v=" "/>
    <s v="Ativo"/>
    <x v="3"/>
    <x v="6"/>
    <x v="48"/>
  </r>
  <r>
    <n v="131982"/>
    <x v="666"/>
    <s v="Diretoria Seminovos"/>
    <x v="6"/>
    <s v="LJJPA - Vendas Varejo Seminovos João Pessoa"/>
    <s v="WICTOR MARANHAO RODRIGUES"/>
    <s v="POSITIVO"/>
    <d v="1899-12-31T21:48:00"/>
    <d v="1899-12-30T00:00:00"/>
    <d v="1899-12-31T21:48:00"/>
    <s v=" "/>
    <s v=" "/>
    <s v=" "/>
    <s v=" "/>
    <s v=" "/>
    <s v=" "/>
    <s v=" "/>
    <s v=" "/>
    <s v=" "/>
    <d v="1899-12-30T00:43:00"/>
    <d v="1899-12-31T04:56:00"/>
    <d v="1899-12-30T02:46:00"/>
    <s v="Ativo"/>
    <x v="3"/>
    <x v="6"/>
    <x v="39"/>
  </r>
  <r>
    <n v="129987"/>
    <x v="667"/>
    <s v="Diretoria Seminovos"/>
    <x v="6"/>
    <s v="LJFSA - Vendas Varejo Seminovos Feira de Santana"/>
    <s v="CLEITON LUIS DOS REIS PEREIRA"/>
    <s v="POSITIVO"/>
    <d v="1899-12-31T01:46:00"/>
    <d v="1899-12-30T00:00:00"/>
    <d v="1899-12-31T01:46:00"/>
    <s v=" "/>
    <s v=" "/>
    <s v=" "/>
    <s v=" "/>
    <s v=" "/>
    <s v=" "/>
    <s v=" "/>
    <s v=" "/>
    <s v=" "/>
    <d v="1899-12-30T03:05:00"/>
    <d v="1899-12-30T21:46:00"/>
    <d v="1899-12-30T03:09:00"/>
    <s v="Ativo"/>
    <x v="3"/>
    <x v="6"/>
    <x v="131"/>
  </r>
  <r>
    <n v="134727"/>
    <x v="668"/>
    <s v="Diretoria Seminovos"/>
    <x v="6"/>
    <s v="LJREC - Vendas Varejo Seminovos Recife"/>
    <s v="MARCIA REGINA MARIA FRAGA DE VASCONCELOS"/>
    <s v="POSITIVO"/>
    <d v="1899-12-30T21:30:00"/>
    <d v="1899-12-30T00:00:00"/>
    <d v="1899-12-30T21:30:00"/>
    <s v=" "/>
    <s v=" "/>
    <s v=" "/>
    <s v=" "/>
    <s v=" "/>
    <d v="1899-12-30T21:30:00"/>
    <s v=" "/>
    <s v=" "/>
    <s v=" "/>
    <s v=" "/>
    <s v=" "/>
    <s v=" "/>
    <s v="Contrato de Trabalho Suspenso"/>
    <x v="3"/>
    <x v="6"/>
    <x v="38"/>
  </r>
  <r>
    <n v="124286"/>
    <x v="669"/>
    <s v="Diretoria Seminovos"/>
    <x v="6"/>
    <s v="LJCAX - Vendas Varejo Seminovos Caxanga"/>
    <s v="RAFAEL CAMPOS MARANHAO"/>
    <s v="POSITIVO"/>
    <d v="1899-12-30T18:34:00"/>
    <d v="1899-12-30T00:00:00"/>
    <d v="1899-12-30T18:34:00"/>
    <s v=" "/>
    <s v=" "/>
    <s v=" "/>
    <s v=" "/>
    <s v=" "/>
    <s v=" "/>
    <s v=" "/>
    <s v=" "/>
    <s v=" "/>
    <s v=" "/>
    <d v="1899-12-30T00:57:00"/>
    <d v="1899-12-30T20:30:00"/>
    <s v="Ativo"/>
    <x v="3"/>
    <x v="6"/>
    <x v="37"/>
  </r>
  <r>
    <n v="135843"/>
    <x v="670"/>
    <s v="Diretoria Seminovos"/>
    <x v="6"/>
    <s v="LJSSA - Vendas Varejo Seminovos Salvador"/>
    <s v="ALISSON LIMA E SILVA"/>
    <s v="POSITIVO"/>
    <d v="1899-12-31T15:49:00"/>
    <d v="1899-12-30T00:00:00"/>
    <d v="1899-12-31T15:49:00"/>
    <s v=" "/>
    <s v=" "/>
    <s v=" "/>
    <s v=" "/>
    <s v=" "/>
    <s v=" "/>
    <s v=" "/>
    <s v=" "/>
    <s v=" "/>
    <s v=" "/>
    <d v="1899-12-30T12:06:00"/>
    <d v="1899-12-30T05:52:00"/>
    <s v="Ativo"/>
    <x v="3"/>
    <x v="6"/>
    <x v="42"/>
  </r>
  <r>
    <n v="131430"/>
    <x v="671"/>
    <s v="Diretoria Seminovos"/>
    <x v="6"/>
    <s v="LJSSA - Vendas Varejo Seminovos Salvador"/>
    <s v="ALISSON LIMA E SILVA"/>
    <s v="POSITIVO"/>
    <d v="1899-12-30T14:51:00"/>
    <d v="1899-12-30T00:00:00"/>
    <d v="1899-12-30T14:51:00"/>
    <s v=" "/>
    <s v=" "/>
    <s v=" "/>
    <s v=" "/>
    <s v=" "/>
    <s v=" "/>
    <s v=" "/>
    <s v=" "/>
    <s v=" "/>
    <s v=" "/>
    <s v=" "/>
    <d v="1899-12-30T15:42:00"/>
    <s v="Ativo"/>
    <x v="3"/>
    <x v="6"/>
    <x v="42"/>
  </r>
  <r>
    <n v="136361"/>
    <x v="672"/>
    <s v="Diretoria Seminovos"/>
    <x v="6"/>
    <s v="LJAJU - Vendas Varejo Seminovos Aracajú"/>
    <s v="TIAGO ANDRADE ALCANTARA"/>
    <s v="POSITIVO"/>
    <d v="1899-12-30T14:10:00"/>
    <d v="1899-12-30T00:00:00"/>
    <d v="1899-12-30T14:10:00"/>
    <s v=" "/>
    <s v=" "/>
    <s v=" "/>
    <s v=" "/>
    <s v=" "/>
    <s v=" "/>
    <d v="1899-12-30T15:13:00"/>
    <s v=" "/>
    <s v=" "/>
    <s v=" "/>
    <s v=" "/>
    <s v=" "/>
    <s v="Ativo"/>
    <x v="3"/>
    <x v="6"/>
    <x v="47"/>
  </r>
  <r>
    <n v="129691"/>
    <x v="673"/>
    <s v="Diretoria Seminovos"/>
    <x v="6"/>
    <s v="LJCAX - Loja Seminovos Caxanga"/>
    <s v="RAFAEL CAMPOS MARANHAO"/>
    <s v="POSITIVO"/>
    <d v="1899-12-30T00:19:00"/>
    <d v="1899-12-30T00:00:00"/>
    <d v="1899-12-30T00:19:00"/>
    <s v=" "/>
    <s v=" "/>
    <s v=" "/>
    <s v=" "/>
    <s v=" "/>
    <s v=" "/>
    <s v=" "/>
    <s v=" "/>
    <s v=" "/>
    <s v=" "/>
    <s v=" "/>
    <d v="1899-12-30T05:19:00"/>
    <s v="Ativo"/>
    <x v="2"/>
    <x v="6"/>
    <x v="37"/>
  </r>
  <r>
    <n v="124953"/>
    <x v="674"/>
    <s v="Diretoria Seminovos"/>
    <x v="6"/>
    <s v="LJSSA - Vendas Varejo Seminovos Salvador"/>
    <s v="ALISSON LIMA E SILVA"/>
    <s v="POSITIVO"/>
    <d v="1899-12-30T21:36:00"/>
    <d v="1899-12-30T00:00:00"/>
    <d v="1899-12-30T21:36:00"/>
    <s v=" "/>
    <s v=" "/>
    <s v=" "/>
    <s v=" "/>
    <s v=" "/>
    <s v=" "/>
    <s v=" "/>
    <s v=" "/>
    <s v=" "/>
    <s v=" "/>
    <s v=" "/>
    <d v="1899-12-30T12:44:00"/>
    <s v="Ativo"/>
    <x v="3"/>
    <x v="6"/>
    <x v="42"/>
  </r>
  <r>
    <n v="130257"/>
    <x v="675"/>
    <s v="Diretoria Seminovos"/>
    <x v="6"/>
    <s v="LJREC - Vendas Varejo Seminovos Recife"/>
    <s v="MARCIA REGINA MARIA FRAGA DE VASCONCELOS"/>
    <s v="POSITIVO"/>
    <d v="1899-12-30T12:23:00"/>
    <d v="1899-12-30T00:00:00"/>
    <d v="1899-12-30T12:23:00"/>
    <s v=" "/>
    <s v=" "/>
    <s v=" "/>
    <s v=" "/>
    <s v=" "/>
    <s v=" "/>
    <s v=" "/>
    <s v=" "/>
    <s v=" "/>
    <s v=" "/>
    <d v="1899-12-30T12:23:00"/>
    <s v=" "/>
    <s v="Contrato de Trabalho Suspenso"/>
    <x v="3"/>
    <x v="6"/>
    <x v="38"/>
  </r>
  <r>
    <n v="502977"/>
    <x v="676"/>
    <s v="Diretoria Seminovos"/>
    <x v="6"/>
    <s v="LJNGT - Vendas Varejo Seminovos Nova Iguatemi"/>
    <s v="ALEXANDRE VINICIUS NEGREIROS CABRAL"/>
    <s v="POSITIVO"/>
    <d v="1899-12-30T05:55:00"/>
    <d v="1899-12-30T00:00:00"/>
    <d v="1899-12-30T05:55:00"/>
    <s v=" "/>
    <s v=" "/>
    <s v=" "/>
    <s v=" "/>
    <s v=" "/>
    <s v=" "/>
    <s v=" "/>
    <s v=" "/>
    <s v=" "/>
    <s v=" "/>
    <s v=" "/>
    <d v="1899-12-30T11:07:00"/>
    <s v="Ativo"/>
    <x v="3"/>
    <x v="6"/>
    <x v="40"/>
  </r>
  <r>
    <n v="132590"/>
    <x v="677"/>
    <s v="Diretoria Seminovos"/>
    <x v="6"/>
    <s v="LJVDC - Vendas Varejo Seminovos Vitoria da Conquista"/>
    <s v="FRANCISCO MORAIS ROCHA"/>
    <s v="POSITIVO"/>
    <d v="1899-12-30T09:24:00"/>
    <d v="1899-12-30T00:00:00"/>
    <d v="1899-12-30T09:24:00"/>
    <s v=" "/>
    <s v=" "/>
    <s v=" "/>
    <s v=" "/>
    <s v=" "/>
    <d v="1899-12-30T09:24:00"/>
    <s v=" "/>
    <s v=" "/>
    <s v=" "/>
    <s v=" "/>
    <s v=" "/>
    <s v=" "/>
    <s v="Ativo"/>
    <x v="3"/>
    <x v="6"/>
    <x v="48"/>
  </r>
  <r>
    <n v="503456"/>
    <x v="678"/>
    <s v="Diretoria Seminovos"/>
    <x v="6"/>
    <s v="LJCAX - Vendas Varejo Seminovos Caxanga"/>
    <s v="RAFAEL CAMPOS MARANHAO"/>
    <s v="POSITIVO"/>
    <d v="1899-12-30T00:09:00"/>
    <d v="1899-12-30T00:00:00"/>
    <d v="1899-12-30T00:09:00"/>
    <s v=" "/>
    <s v=" "/>
    <s v=" "/>
    <s v=" "/>
    <s v=" "/>
    <s v=" "/>
    <s v=" "/>
    <s v=" "/>
    <s v=" "/>
    <s v=" "/>
    <s v=" "/>
    <d v="1899-12-30T09:15:00"/>
    <s v="Ativo"/>
    <x v="3"/>
    <x v="6"/>
    <x v="37"/>
  </r>
  <r>
    <n v="130381"/>
    <x v="679"/>
    <s v="Diretoria Seminovos"/>
    <x v="6"/>
    <s v="LJNGT - Vendas Varejo Seminovos Nova Iguatemi"/>
    <s v="ALEXANDRE VINICIUS NEGREIROS CABRAL"/>
    <s v="POSITIVO"/>
    <d v="1899-12-30T08:51:00"/>
    <d v="1899-12-30T00:00:00"/>
    <d v="1899-12-30T08:51:00"/>
    <s v=" "/>
    <s v=" "/>
    <s v=" "/>
    <s v=" "/>
    <s v=" "/>
    <s v=" "/>
    <s v=" "/>
    <s v=" "/>
    <s v=" "/>
    <s v=" "/>
    <d v="1899-12-30T08:51:00"/>
    <s v=" "/>
    <s v="Contrato de Trabalho Suspenso"/>
    <x v="3"/>
    <x v="6"/>
    <x v="40"/>
  </r>
  <r>
    <n v="502664"/>
    <x v="680"/>
    <s v="Diretoria Seminovos"/>
    <x v="6"/>
    <s v="LJAJU - Vendas Varejo Seminovos Aracajú"/>
    <s v="TIAGO ANDRADE ALCANTARA"/>
    <s v="POSITIVO"/>
    <d v="1899-12-30T02:27:00"/>
    <d v="1899-12-30T00:00:00"/>
    <d v="1899-12-30T02:27:00"/>
    <s v=" "/>
    <s v=" "/>
    <s v=" "/>
    <s v=" "/>
    <s v=" "/>
    <s v=" "/>
    <d v="1899-12-30T04:54:00"/>
    <s v=" "/>
    <s v=" "/>
    <s v=" "/>
    <s v=" "/>
    <s v=" "/>
    <s v="Ativo"/>
    <x v="3"/>
    <x v="6"/>
    <x v="47"/>
  </r>
  <r>
    <n v="135908"/>
    <x v="681"/>
    <s v="Diretoria Seminovos"/>
    <x v="6"/>
    <s v="LJJPA - Vendas Varejo Seminovos João Pessoa"/>
    <s v="WICTOR MARANHAO RODRIGUES"/>
    <s v="POSITIVO"/>
    <d v="1899-12-30T04:28:00"/>
    <d v="1899-12-30T00:00:00"/>
    <d v="1899-12-30T04:28:00"/>
    <s v=" "/>
    <s v=" "/>
    <s v=" "/>
    <s v=" "/>
    <s v=" "/>
    <s v=" "/>
    <s v=" "/>
    <s v=" "/>
    <s v=" "/>
    <s v=" "/>
    <d v="1899-12-30T03:43:00"/>
    <d v="1899-12-30T00:45:00"/>
    <s v="Contrato de Trabalho Suspenso"/>
    <x v="3"/>
    <x v="6"/>
    <x v="39"/>
  </r>
  <r>
    <n v="503618"/>
    <x v="682"/>
    <s v="Diretoria Seminovos"/>
    <x v="6"/>
    <s v="LJNGT - Vendas Varejo Seminovos Nova Iguatemi"/>
    <s v="ALEXANDRE VINICIUS NEGREIROS CABRAL"/>
    <s v="POSITIVO"/>
    <d v="1899-12-30T02:32:00"/>
    <d v="1899-12-30T00:00:00"/>
    <d v="1899-12-30T02:32:00"/>
    <s v=" "/>
    <s v=" "/>
    <s v=" "/>
    <s v=" "/>
    <s v=" "/>
    <s v=" "/>
    <s v=" "/>
    <s v=" "/>
    <s v=" "/>
    <s v=" "/>
    <d v="1899-12-30T02:32:00"/>
    <s v=" "/>
    <s v="Contrato de Trabalho Suspenso"/>
    <x v="3"/>
    <x v="6"/>
    <x v="40"/>
  </r>
  <r>
    <n v="503608"/>
    <x v="683"/>
    <s v="Diretoria Seminovos"/>
    <x v="6"/>
    <s v="LJJPA - Vendas Varejo Seminovos João Pessoa"/>
    <s v="WICTOR MARANHAO RODRIGUES"/>
    <s v="POSITIVO"/>
    <d v="1899-12-30T08:23:00"/>
    <d v="1899-12-30T00:00:00"/>
    <d v="1899-12-30T08:23:00"/>
    <s v=" "/>
    <s v=" "/>
    <s v=" "/>
    <s v=" "/>
    <s v=" "/>
    <s v=" "/>
    <s v=" "/>
    <s v=" "/>
    <s v=" "/>
    <s v=" "/>
    <s v=" "/>
    <d v="1899-12-30T01:08:00"/>
    <s v="Ativo"/>
    <x v="3"/>
    <x v="6"/>
    <x v="39"/>
  </r>
  <r>
    <n v="124294"/>
    <x v="684"/>
    <s v="Diretoria Seminovos"/>
    <x v="6"/>
    <s v="LJVDC - Vendas Varejo Seminovos Vitoria da Conquista"/>
    <s v="FRANCISCO MORAIS ROCHA"/>
    <s v="POSITIVO"/>
    <d v="1899-12-30T00:48:00"/>
    <d v="1899-12-30T00:00:00"/>
    <d v="1899-12-30T00:48:00"/>
    <s v=" "/>
    <s v=" "/>
    <s v=" "/>
    <s v=" "/>
    <s v=" "/>
    <s v=" "/>
    <s v=" "/>
    <s v=" "/>
    <s v=" "/>
    <s v=" "/>
    <d v="1899-12-30T00:48:00"/>
    <s v=" "/>
    <s v="Contrato de Trabalho Suspenso"/>
    <x v="3"/>
    <x v="6"/>
    <x v="48"/>
  </r>
  <r>
    <n v="132179"/>
    <x v="685"/>
    <s v="Diretoria Seminovos"/>
    <x v="6"/>
    <s v="LJVDC - Vendas Varejo Seminovos Vitoria da Conquista"/>
    <s v="FRANCISCO MORAIS ROCHA"/>
    <s v="POSITIVO"/>
    <d v="1899-12-30T00:47:00"/>
    <d v="1899-12-30T00:00:00"/>
    <d v="1899-12-30T00:47:00"/>
    <s v=" "/>
    <s v=" "/>
    <s v=" "/>
    <s v=" "/>
    <s v=" "/>
    <s v=" "/>
    <s v=" "/>
    <s v=" "/>
    <s v=" "/>
    <s v=" "/>
    <d v="1899-12-30T00:47:00"/>
    <s v=" "/>
    <s v="Ativo"/>
    <x v="3"/>
    <x v="6"/>
    <x v="48"/>
  </r>
  <r>
    <n v="135930"/>
    <x v="686"/>
    <s v="Diretoria Seminovos"/>
    <x v="6"/>
    <s v="LJMCO - Vendas Varejo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6"/>
    <x v="45"/>
  </r>
  <r>
    <n v="130809"/>
    <x v="687"/>
    <s v="Diretoria Seminovos"/>
    <x v="6"/>
    <s v="LJCAU - Vendas Varejo Seminovos Caruaru"/>
    <s v="FLAVIO FRANCISCO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6"/>
    <x v="49"/>
  </r>
  <r>
    <n v="135974"/>
    <x v="688"/>
    <s v="Diretoria Seminovos"/>
    <x v="6"/>
    <s v="LJCGE - Vendas Varejo Seminovos Campina Grande"/>
    <s v="LEANDRO LEITE DUART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6"/>
    <x v="41"/>
  </r>
  <r>
    <n v="122549"/>
    <x v="689"/>
    <s v="Diretoria Seminovos"/>
    <x v="6"/>
    <s v="LJMCO - Vendas Varejo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6"/>
    <x v="45"/>
  </r>
  <r>
    <n v="124387"/>
    <x v="690"/>
    <s v="Diretoria Seminovos"/>
    <x v="6"/>
    <s v="LJMCO - Vendas Varejo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6"/>
    <x v="45"/>
  </r>
  <r>
    <n v="503490"/>
    <x v="691"/>
    <s v="Diretoria Seminovos"/>
    <x v="6"/>
    <s v="LJMCO - Vendas Varejo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6"/>
    <x v="45"/>
  </r>
  <r>
    <n v="133946"/>
    <x v="692"/>
    <s v="Diretoria Seminovos"/>
    <x v="6"/>
    <s v="LJCAU - Vendas Varejo Seminovos Caruaru"/>
    <s v="FLAVIO FRANCISCO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6"/>
    <x v="49"/>
  </r>
  <r>
    <n v="124292"/>
    <x v="693"/>
    <s v="Diretoria Seminovos"/>
    <x v="6"/>
    <s v="LJVDC - Vendas Varejo Seminovos Vitoria da Conquista"/>
    <s v="FRANCISCO MORAIS ROCH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Licença Mater."/>
    <x v="3"/>
    <x v="6"/>
    <x v="48"/>
  </r>
  <r>
    <n v="123765"/>
    <x v="694"/>
    <s v="Diretoria Seminovos"/>
    <x v="6"/>
    <s v="LJCGE - Vendas Varejo Seminovos Campina Grande"/>
    <s v="LEANDRO LEITE DUART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6"/>
    <x v="41"/>
  </r>
  <r>
    <n v="137207"/>
    <x v="695"/>
    <s v="Diretoria Seminovos"/>
    <x v="6"/>
    <s v="LJFSA - Vendas Varejo Seminovos Feira de Santana"/>
    <s v="CLEITON LUIS DOS REIS PEREIRA"/>
    <s v="POSITIVO"/>
    <d v="1899-12-30T06:46:00"/>
    <d v="1899-12-30T00:00:00"/>
    <d v="1899-12-30T06:46:00"/>
    <s v=" "/>
    <s v=" "/>
    <s v=" "/>
    <s v=" "/>
    <s v=" "/>
    <s v=" "/>
    <s v=" "/>
    <s v=" "/>
    <s v=" "/>
    <s v=" "/>
    <s v=" "/>
    <d v="1899-12-30T07:51:00"/>
    <s v="Ativo"/>
    <x v="3"/>
    <x v="6"/>
    <x v="131"/>
  </r>
  <r>
    <n v="503418"/>
    <x v="696"/>
    <s v="Diretoria Seminovos"/>
    <x v="6"/>
    <s v="LJMCZ - Vendas Varejo Seminovos Maceió"/>
    <s v="JOYCE LARISE CORREIA GOM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6"/>
    <x v="46"/>
  </r>
  <r>
    <n v="131307"/>
    <x v="697"/>
    <s v="Diretoria Seminovos"/>
    <x v="6"/>
    <s v="LJCGE - Vendas Varejo Seminovos Campina Grande"/>
    <s v="LEANDRO LEITE DUART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6"/>
    <x v="41"/>
  </r>
  <r>
    <n v="501779"/>
    <x v="698"/>
    <s v="Diretoria Seminovos"/>
    <x v="6"/>
    <s v="LJFSA - Loja Seminovos Feira de Santana"/>
    <s v="CLEITON LUIS DOS REIS PEREIRA"/>
    <s v="POSITIVO"/>
    <d v="1899-12-31T19:00:00"/>
    <d v="1899-12-30T00:00:00"/>
    <d v="1899-12-31T19:00:00"/>
    <s v=" "/>
    <s v=" "/>
    <s v=" "/>
    <s v=" "/>
    <s v=" "/>
    <s v=" "/>
    <s v=" "/>
    <s v=" "/>
    <s v=" "/>
    <s v=" "/>
    <s v=" "/>
    <d v="1899-12-30T23:29:00"/>
    <s v="Ativo"/>
    <x v="6"/>
    <x v="6"/>
    <x v="131"/>
  </r>
  <r>
    <n v="500217"/>
    <x v="699"/>
    <s v="Diretoria Seminovos"/>
    <x v="6"/>
    <s v="LJNGT - Loja Seminovos Nova Iguatemi"/>
    <s v="ALEXANDRE VINICIUS NEGREIROS CABRAL"/>
    <s v="POSITIVO"/>
    <d v="1899-12-30T10:56:00"/>
    <d v="1899-12-30T00:00:00"/>
    <d v="1899-12-30T10:56:00"/>
    <s v=" "/>
    <s v=" "/>
    <s v=" "/>
    <s v=" "/>
    <s v=" "/>
    <s v=" "/>
    <s v=" "/>
    <s v=" "/>
    <s v=" "/>
    <d v="1899-12-30T04:33:00"/>
    <d v="1899-12-30T04:05:00"/>
    <d v="1899-12-30T01:52:00"/>
    <s v="Ativo"/>
    <x v="2"/>
    <x v="6"/>
    <x v="40"/>
  </r>
  <r>
    <n v="123754"/>
    <x v="700"/>
    <s v="Diretoria Seminovos"/>
    <x v="6"/>
    <s v="LJCGE - Loja Seminovos Campina Grande"/>
    <s v="LEANDRO LEITE DUART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6"/>
    <x v="41"/>
  </r>
  <r>
    <n v="500289"/>
    <x v="701"/>
    <s v="Diretoria Seminovos"/>
    <x v="6"/>
    <s v="LJREC - Loja Seminovos Recife"/>
    <s v="MARCIA REGINA MARIA FRAGA DE VASCONCELOS"/>
    <s v="POSITIVO"/>
    <d v="1899-12-31T02:25:00"/>
    <d v="1899-12-30T00:00:00"/>
    <d v="1899-12-31T02:25:00"/>
    <s v=" "/>
    <s v=" "/>
    <s v=" "/>
    <s v=" "/>
    <s v=" "/>
    <s v=" "/>
    <s v=" "/>
    <s v=" "/>
    <s v=" "/>
    <s v=" "/>
    <d v="1899-12-30T03:03:00"/>
    <d v="1899-12-30T09:11:00"/>
    <s v="Ativo"/>
    <x v="6"/>
    <x v="6"/>
    <x v="38"/>
  </r>
  <r>
    <n v="124489"/>
    <x v="702"/>
    <s v="Diretoria Seminovos"/>
    <x v="6"/>
    <s v="LJFSA - Loja Seminovos Feira de Santana"/>
    <s v="CLEITON LUIS DOS REIS PEREIRA"/>
    <s v="POSITIVO"/>
    <d v="1899-12-31T02:52:00"/>
    <d v="1899-12-30T00:00:00"/>
    <d v="1899-12-31T02:52:00"/>
    <s v=" "/>
    <s v=" "/>
    <s v=" "/>
    <s v=" "/>
    <s v=" "/>
    <s v=" "/>
    <s v=" "/>
    <s v=" "/>
    <s v=" "/>
    <d v="1899-12-30T17:52:00"/>
    <d v="1899-12-30T03:54:00"/>
    <d v="1899-12-30T03:06:00"/>
    <s v="Ativo"/>
    <x v="2"/>
    <x v="6"/>
    <x v="131"/>
  </r>
  <r>
    <n v="131228"/>
    <x v="703"/>
    <s v="Diretoria Seminovos"/>
    <x v="6"/>
    <s v="LJCAU - Loja Seminovos Caruaru"/>
    <s v="FLAVIO FRANCISCO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6"/>
    <x v="49"/>
  </r>
  <r>
    <n v="124230"/>
    <x v="704"/>
    <s v="Diretoria Seminovos"/>
    <x v="6"/>
    <s v="LJVDC - Loja Seminovos Vitoria da Conquista"/>
    <s v="FRANCISCO MORAIS ROCH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6"/>
    <x v="48"/>
  </r>
  <r>
    <n v="120920"/>
    <x v="705"/>
    <s v="Diretoria Seminovos"/>
    <x v="6"/>
    <s v="LJNGT - Loja Seminovos Nova Iguatemi"/>
    <s v="ALEXANDRE VINICIUS NEGREIROS CABRAL"/>
    <s v="POSITIVO"/>
    <d v="1899-12-30T02:05:00"/>
    <d v="1899-12-30T00:00:00"/>
    <d v="1899-12-30T02:05:00"/>
    <s v=" "/>
    <s v=" "/>
    <s v=" "/>
    <s v=" "/>
    <s v=" "/>
    <s v=" "/>
    <s v=" "/>
    <s v=" "/>
    <s v=" "/>
    <d v="1899-12-30T04:11:00"/>
    <s v=" "/>
    <d v="1899-12-30T01:08:00"/>
    <s v="Ativo"/>
    <x v="2"/>
    <x v="6"/>
    <x v="40"/>
  </r>
  <r>
    <n v="131661"/>
    <x v="706"/>
    <s v="Diretoria Seminovos"/>
    <x v="6"/>
    <s v="LJSSA - Loja Seminovos Salvador"/>
    <s v="ALISSON LIMA E SILVA"/>
    <s v="POSITIVO"/>
    <d v="1899-12-30T19:19:00"/>
    <d v="1899-12-30T00:00:00"/>
    <d v="1899-12-30T19:19:00"/>
    <s v=" "/>
    <s v=" "/>
    <s v=" "/>
    <s v=" "/>
    <s v=" "/>
    <s v=" "/>
    <s v=" "/>
    <s v=" "/>
    <s v=" "/>
    <d v="1899-12-30T09:06:00"/>
    <d v="1899-12-30T03:47:00"/>
    <d v="1899-12-30T05:42:00"/>
    <s v="Ativo"/>
    <x v="2"/>
    <x v="6"/>
    <x v="42"/>
  </r>
  <r>
    <n v="135816"/>
    <x v="707"/>
    <s v="Diretoria Seminovos"/>
    <x v="6"/>
    <s v="LJPNA - Loja Seminovos Petrolina"/>
    <s v="EDVALDO GOMES DE MELO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6"/>
    <x v="44"/>
  </r>
  <r>
    <n v="117322"/>
    <x v="708"/>
    <s v="Diretoria Seminovos"/>
    <x v="6"/>
    <s v="LJMCO - Loja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6"/>
    <x v="45"/>
  </r>
  <r>
    <n v="501556"/>
    <x v="709"/>
    <s v="Diretoria Seminovos"/>
    <x v="6"/>
    <s v="LJREC - Loja Seminovos Recife"/>
    <s v="MARCIA REGINA MARIA FRAGA DE VASCONCELOS"/>
    <s v="POSITIVO"/>
    <d v="1899-12-30T03:59:00"/>
    <d v="1899-12-30T00:00:00"/>
    <d v="1899-12-30T03:59:00"/>
    <s v=" "/>
    <s v=" "/>
    <s v=" "/>
    <s v=" "/>
    <s v=" "/>
    <s v=" "/>
    <s v=" "/>
    <s v=" "/>
    <s v=" "/>
    <s v=" "/>
    <s v=" "/>
    <d v="1899-12-30T03:13:00"/>
    <s v="Ativo"/>
    <x v="2"/>
    <x v="6"/>
    <x v="38"/>
  </r>
  <r>
    <n v="500234"/>
    <x v="710"/>
    <s v="Diretoria Seminovos"/>
    <x v="6"/>
    <s v="LJSSA - Loja Seminovos Salvador"/>
    <s v="ALISSON LIMA E SILVA"/>
    <s v="POSITIVO"/>
    <d v="1899-12-31T17:19:00"/>
    <d v="1899-12-30T00:00:00"/>
    <d v="1899-12-31T17:19:00"/>
    <s v=" "/>
    <s v=" "/>
    <s v=" "/>
    <s v=" "/>
    <s v=" "/>
    <s v=" "/>
    <s v=" "/>
    <s v=" "/>
    <s v=" "/>
    <s v=" "/>
    <s v=" "/>
    <d v="1899-12-30T18:45:00"/>
    <s v="Ativo"/>
    <x v="6"/>
    <x v="6"/>
    <x v="42"/>
  </r>
  <r>
    <n v="502149"/>
    <x v="711"/>
    <s v="Diretoria Seminovos"/>
    <x v="6"/>
    <s v="LJJPA - Loja Seminovos João Pessoa"/>
    <s v="WICTOR MARANHAO RODRIGUES"/>
    <s v="POSITIVO"/>
    <d v="1899-12-30T13:16:00"/>
    <d v="1899-12-30T00:00:00"/>
    <d v="1899-12-30T13:16:00"/>
    <s v=" "/>
    <s v=" "/>
    <s v=" "/>
    <s v=" "/>
    <s v=" "/>
    <s v=" "/>
    <s v=" "/>
    <s v=" "/>
    <s v=" "/>
    <s v=" "/>
    <d v="1899-12-30T03:43:00"/>
    <d v="1899-12-31T01:36:00"/>
    <s v="Ativo"/>
    <x v="6"/>
    <x v="6"/>
    <x v="39"/>
  </r>
  <r>
    <n v="124184"/>
    <x v="712"/>
    <s v="Diretoria Seminovos"/>
    <x v="6"/>
    <s v="LJNGT - Loja Seminovos Nova Iguatemi"/>
    <s v="ALEXANDRE VINICIUS NEGREIROS CABRAL"/>
    <s v="POSITIVO"/>
    <d v="1899-12-31T03:21:00"/>
    <d v="1899-12-30T00:00:00"/>
    <d v="1899-12-31T03:21:00"/>
    <s v=" "/>
    <s v=" "/>
    <s v=" "/>
    <s v=" "/>
    <s v=" "/>
    <s v=" "/>
    <s v=" "/>
    <s v=" "/>
    <s v=" "/>
    <s v=" "/>
    <d v="1899-12-30T04:44:00"/>
    <d v="1899-12-30T15:24:00"/>
    <s v="Ativo"/>
    <x v="6"/>
    <x v="6"/>
    <x v="40"/>
  </r>
  <r>
    <n v="134371"/>
    <x v="713"/>
    <s v="Diretoria Seminovos"/>
    <x v="7"/>
    <s v="LJBEL - Vendas Varejo Seminovos Belém"/>
    <s v="REINALDO GERSON FERREIRA DA SILVA"/>
    <s v="POSITIVO"/>
    <d v="1900-01-05T04:10:00"/>
    <d v="1899-12-30T00:00:00"/>
    <d v="1900-01-05T04:10:00"/>
    <s v=" "/>
    <s v=" "/>
    <s v=" "/>
    <s v=" "/>
    <d v="1899-12-31T02:58:00"/>
    <d v="1900-01-01T01:37:00"/>
    <d v="1900-01-01T07:20:00"/>
    <s v=" "/>
    <s v=" "/>
    <s v=" "/>
    <s v=" "/>
    <s v=" "/>
    <s v="Ativo"/>
    <x v="3"/>
    <x v="7"/>
    <x v="50"/>
  </r>
  <r>
    <n v="133350"/>
    <x v="714"/>
    <s v="Diretoria Seminovos"/>
    <x v="7"/>
    <s v="LJBEL - Vendas Varejo Seminovos Belém"/>
    <s v="REINALDO GERSON FERREIRA DA SILVA"/>
    <s v="POSITIVO"/>
    <d v="1900-01-04T22:29:00"/>
    <d v="1899-12-30T00:00:00"/>
    <d v="1900-01-04T22:29:00"/>
    <s v=" "/>
    <s v=" "/>
    <s v=" "/>
    <s v=" "/>
    <d v="1899-12-30T11:08:00"/>
    <d v="1900-01-01T20:22:00"/>
    <d v="1899-12-31T12:07:00"/>
    <s v=" "/>
    <s v=" "/>
    <s v=" "/>
    <s v=" "/>
    <s v=" "/>
    <s v="Ativo"/>
    <x v="3"/>
    <x v="7"/>
    <x v="50"/>
  </r>
  <r>
    <n v="124001"/>
    <x v="715"/>
    <s v="Diretoria Seminovos"/>
    <x v="7"/>
    <s v="LJBEL - Vendas Varejo Seminovos Belém"/>
    <s v="REINALDO GERSON FERREIRA DA SILVA"/>
    <s v="POSITIVO"/>
    <d v="1900-01-03T13:42:00"/>
    <d v="1899-12-30T00:00:00"/>
    <d v="1900-01-03T13:42:00"/>
    <s v=" "/>
    <s v=" "/>
    <s v=" "/>
    <s v=" "/>
    <s v=" "/>
    <d v="1900-01-02T19:29:00"/>
    <d v="1899-12-30T08:44:00"/>
    <s v=" "/>
    <s v=" "/>
    <s v=" "/>
    <s v=" "/>
    <s v=" "/>
    <s v="Ativo"/>
    <x v="3"/>
    <x v="7"/>
    <x v="50"/>
  </r>
  <r>
    <n v="130740"/>
    <x v="716"/>
    <s v="Diretoria Seminovos"/>
    <x v="7"/>
    <s v="LJMNS - Vendas Varejo Seminovos Manaus"/>
    <s v="PEDRO GOMES COSTA MOTA"/>
    <s v="POSITIVO"/>
    <d v="1900-01-03T22:12:00"/>
    <d v="1899-12-30T00:00:00"/>
    <d v="1900-01-03T22:12:00"/>
    <s v=" "/>
    <s v=" "/>
    <s v=" "/>
    <s v=" "/>
    <s v=" "/>
    <d v="1899-12-30T04:59:00"/>
    <d v="1900-01-02T00:31:00"/>
    <s v=" "/>
    <s v=" "/>
    <s v=" "/>
    <s v=" "/>
    <s v=" "/>
    <s v="Ativo"/>
    <x v="3"/>
    <x v="7"/>
    <x v="62"/>
  </r>
  <r>
    <n v="134673"/>
    <x v="717"/>
    <s v="Diretoria Seminovos"/>
    <x v="7"/>
    <s v="LJMNS - Vendas Varejo Seminovos Manaus"/>
    <s v="PEDRO GOMES COSTA MOTA"/>
    <s v="POSITIVO"/>
    <d v="1900-01-02T06:32:00"/>
    <d v="1899-12-30T00:00:00"/>
    <d v="1900-01-02T06:32:00"/>
    <s v=" "/>
    <s v=" "/>
    <s v=" "/>
    <s v=" "/>
    <s v=" "/>
    <d v="1899-12-31T18:40:00"/>
    <d v="1899-12-30T19:05:00"/>
    <s v=" "/>
    <s v=" "/>
    <s v=" "/>
    <s v=" "/>
    <s v=" "/>
    <s v="Ativo"/>
    <x v="3"/>
    <x v="7"/>
    <x v="62"/>
  </r>
  <r>
    <n v="131648"/>
    <x v="718"/>
    <s v="Diretoria Seminovos"/>
    <x v="7"/>
    <s v="LJMAB - Vendas Varejo Seminovos Marabá"/>
    <s v="JORGE LUIS GONCALVES DE ARAUJO"/>
    <s v="POSITIVO"/>
    <d v="1900-01-01T02:39:00"/>
    <d v="1899-12-30T00:00:00"/>
    <d v="1900-01-01T02:39:00"/>
    <s v=" "/>
    <d v="1899-12-30T03:21:00"/>
    <s v=" "/>
    <s v=" "/>
    <d v="1899-12-30T07:19:00"/>
    <d v="1899-12-31T15:59:00"/>
    <s v=" "/>
    <s v=" "/>
    <s v=" "/>
    <s v=" "/>
    <s v=" "/>
    <s v=" "/>
    <s v="Contrato de Trabalho Suspenso"/>
    <x v="3"/>
    <x v="7"/>
    <x v="54"/>
  </r>
  <r>
    <n v="503475"/>
    <x v="719"/>
    <s v="Diretoria Seminovos"/>
    <x v="7"/>
    <s v="LJMAB - Vendas Varejo Seminovos Marabá"/>
    <s v="JORGE LUIS GONCALVES DE ARAUJO"/>
    <s v="POSITIVO"/>
    <d v="1900-01-01T02:30:00"/>
    <d v="1899-12-30T00:00:00"/>
    <d v="1900-01-01T02:30:00"/>
    <s v=" "/>
    <s v=" "/>
    <s v=" "/>
    <s v=" "/>
    <d v="1899-12-30T00:44:00"/>
    <d v="1899-12-31T05:24:00"/>
    <d v="1899-12-30T18:28:00"/>
    <s v=" "/>
    <s v=" "/>
    <s v=" "/>
    <s v=" "/>
    <s v=" "/>
    <s v="Ativo"/>
    <x v="3"/>
    <x v="7"/>
    <x v="54"/>
  </r>
  <r>
    <n v="134647"/>
    <x v="720"/>
    <s v="Diretoria Seminovos"/>
    <x v="7"/>
    <s v="LJBEL - Vendas Varejo Seminovos Belém"/>
    <s v="REINALDO GERSON FERREIRA DA SILVA"/>
    <s v="POSITIVO"/>
    <d v="1899-12-31T20:38:00"/>
    <d v="1899-12-30T00:00:00"/>
    <d v="1899-12-31T20:38:00"/>
    <s v=" "/>
    <s v=" "/>
    <s v=" "/>
    <s v=" "/>
    <d v="1899-12-30T04:45:00"/>
    <d v="1899-12-31T15:53:00"/>
    <s v=" "/>
    <s v=" "/>
    <s v=" "/>
    <s v=" "/>
    <s v=" "/>
    <s v=" "/>
    <s v="Contrato de Trabalho Suspenso"/>
    <x v="3"/>
    <x v="7"/>
    <x v="50"/>
  </r>
  <r>
    <n v="132259"/>
    <x v="721"/>
    <s v="Diretoria Seminovos"/>
    <x v="7"/>
    <s v="LJSLM - Vendas Varejo Seminovos Senador Lemos Belém"/>
    <s v="EDINELSON VALENTE BARREIROS"/>
    <s v="POSITIVO"/>
    <d v="1899-12-31T18:23:00"/>
    <d v="1899-12-30T00:00:00"/>
    <d v="1899-12-31T18:23:00"/>
    <s v=" "/>
    <s v=" "/>
    <s v=" "/>
    <s v=" "/>
    <d v="1899-12-30T06:33:00"/>
    <d v="1899-12-31T11:50:00"/>
    <s v=" "/>
    <s v=" "/>
    <s v=" "/>
    <s v=" "/>
    <s v=" "/>
    <s v=" "/>
    <s v="Contrato de Trabalho Suspenso"/>
    <x v="3"/>
    <x v="7"/>
    <x v="58"/>
  </r>
  <r>
    <n v="135232"/>
    <x v="722"/>
    <s v="Diretoria Seminovos"/>
    <x v="7"/>
    <s v="LJBEL - Vendas Varejo Seminovos Belém"/>
    <s v="REINALDO GERSON FERREIRA DA SILVA"/>
    <s v="POSITIVO"/>
    <d v="1900-01-01T08:37:00"/>
    <d v="1899-12-30T00:00:00"/>
    <d v="1900-01-01T08:37:00"/>
    <s v=" "/>
    <s v=" "/>
    <s v=" "/>
    <s v=" "/>
    <s v=" "/>
    <d v="1899-12-30T01:48:00"/>
    <d v="1899-12-31T16:34:00"/>
    <s v=" "/>
    <s v=" "/>
    <s v=" "/>
    <s v=" "/>
    <s v=" "/>
    <s v="Ativo"/>
    <x v="3"/>
    <x v="7"/>
    <x v="50"/>
  </r>
  <r>
    <n v="131296"/>
    <x v="723"/>
    <s v="Diretoria Seminovos"/>
    <x v="7"/>
    <s v="LJMNS - Vendas Varejo Seminovos Manaus"/>
    <s v="PEDRO GOMES COSTA MOTA"/>
    <s v="POSITIVO"/>
    <d v="1900-01-01T11:04:00"/>
    <d v="1899-12-30T00:00:00"/>
    <d v="1900-01-01T11:04:00"/>
    <s v=" "/>
    <s v=" "/>
    <s v=" "/>
    <s v=" "/>
    <s v=" "/>
    <d v="1899-12-30T17:33:00"/>
    <d v="1899-12-30T19:28:00"/>
    <s v=" "/>
    <s v=" "/>
    <s v=" "/>
    <s v=" "/>
    <s v=" "/>
    <s v="Ativo"/>
    <x v="3"/>
    <x v="7"/>
    <x v="62"/>
  </r>
  <r>
    <n v="131560"/>
    <x v="724"/>
    <s v="Diretoria Seminovos"/>
    <x v="7"/>
    <s v="LJIMP - Vendas Varejo Seminovos Imperatriz"/>
    <s v="SIDNEY CLEY CUNHA DURAND PINTO"/>
    <s v="POSITIVO"/>
    <d v="1899-12-31T09:04:00"/>
    <d v="1899-12-30T00:00:00"/>
    <d v="1899-12-31T09:04:00"/>
    <s v=" "/>
    <s v=" "/>
    <s v=" "/>
    <s v=" "/>
    <s v=" "/>
    <s v=" "/>
    <s v=" "/>
    <s v=" "/>
    <s v=" "/>
    <s v=" "/>
    <d v="1899-12-30T23:16:00"/>
    <d v="1899-12-30T09:50:00"/>
    <s v="Ativo"/>
    <x v="3"/>
    <x v="7"/>
    <x v="51"/>
  </r>
  <r>
    <n v="501712"/>
    <x v="725"/>
    <s v="Diretoria Seminovos"/>
    <x v="7"/>
    <s v="LJCAM - Vendas Varejo Seminovos Capim Macio"/>
    <s v="GILSON GUTEMBERG COSTA DA CRUZ"/>
    <s v="POSITIVO"/>
    <d v="1899-12-31T02:00:00"/>
    <d v="1899-12-30T00:00:00"/>
    <d v="1899-12-31T02:00:00"/>
    <s v=" "/>
    <s v=" "/>
    <s v=" "/>
    <s v=" "/>
    <s v=" "/>
    <s v=" "/>
    <s v=" "/>
    <s v=" "/>
    <s v=" "/>
    <s v=" "/>
    <d v="1899-12-31T02:00:00"/>
    <s v=" "/>
    <s v="Ativo"/>
    <x v="3"/>
    <x v="7"/>
    <x v="59"/>
  </r>
  <r>
    <n v="130476"/>
    <x v="726"/>
    <s v="Diretoria Seminovos"/>
    <x v="7"/>
    <s v="LJCAM - Vendas Varejo Seminovos Capim Macio"/>
    <s v="GILSON GUTEMBERG COSTA DA CRUZ"/>
    <s v="POSITIVO"/>
    <d v="1899-12-31T00:00:00"/>
    <d v="1899-12-30T00:00:00"/>
    <d v="1899-12-31T00:00:00"/>
    <s v=" "/>
    <s v=" "/>
    <s v=" "/>
    <s v=" "/>
    <s v=" "/>
    <s v=" "/>
    <s v=" "/>
    <s v=" "/>
    <s v=" "/>
    <s v=" "/>
    <d v="1899-12-31T00:00:00"/>
    <s v=" "/>
    <s v="Contrato de Trabalho Suspenso"/>
    <x v="3"/>
    <x v="7"/>
    <x v="59"/>
  </r>
  <r>
    <n v="135056"/>
    <x v="727"/>
    <s v="Diretoria Seminovos"/>
    <x v="7"/>
    <s v="LJMNS - Vendas Varejo Seminovos Manaus"/>
    <s v="PEDRO GOMES COSTA MOTA"/>
    <s v="POSITIVO"/>
    <d v="1899-12-30T21:13:00"/>
    <d v="1899-12-30T00:00:00"/>
    <d v="1899-12-30T21:13:00"/>
    <s v=" "/>
    <s v=" "/>
    <s v=" "/>
    <s v=" "/>
    <s v=" "/>
    <d v="1899-12-30T21:04:00"/>
    <d v="1899-12-30T00:09:00"/>
    <s v=" "/>
    <s v=" "/>
    <s v=" "/>
    <s v=" "/>
    <s v=" "/>
    <s v="Contrato de Trabalho Suspenso"/>
    <x v="3"/>
    <x v="7"/>
    <x v="62"/>
  </r>
  <r>
    <n v="125288"/>
    <x v="728"/>
    <s v="Diretoria Seminovos"/>
    <x v="7"/>
    <s v="LJMAB - Vendas Varejo Seminovos Marabá"/>
    <s v="JORGE LUIS GONCALVES DE ARAUJO"/>
    <s v="POSITIVO"/>
    <d v="1899-12-30T22:19:00"/>
    <d v="1899-12-30T00:00:00"/>
    <d v="1899-12-30T22:19:00"/>
    <s v=" "/>
    <s v=" "/>
    <s v=" "/>
    <s v=" "/>
    <s v=" "/>
    <d v="1899-12-30T18:19:00"/>
    <d v="1899-12-30T02:49:00"/>
    <s v=" "/>
    <s v=" "/>
    <s v=" "/>
    <s v=" "/>
    <s v=" "/>
    <s v="Ativo"/>
    <x v="3"/>
    <x v="7"/>
    <x v="54"/>
  </r>
  <r>
    <n v="502631"/>
    <x v="729"/>
    <s v="Diretoria Seminovos"/>
    <x v="7"/>
    <s v="LJMAB - Vendas Varejo Seminovos Marabá"/>
    <s v="JORGE LUIS GONCALVES DE ARAUJO"/>
    <s v="POSITIVO"/>
    <d v="1899-12-30T22:56:00"/>
    <d v="1899-12-30T00:00:00"/>
    <d v="1899-12-30T22:56:00"/>
    <s v=" "/>
    <s v=" "/>
    <s v=" "/>
    <s v=" "/>
    <s v=" "/>
    <s v=" "/>
    <d v="1899-12-30T16:16:00"/>
    <s v=" "/>
    <s v=" "/>
    <s v=" "/>
    <s v=" "/>
    <s v=" "/>
    <s v="Ativo"/>
    <x v="3"/>
    <x v="7"/>
    <x v="54"/>
  </r>
  <r>
    <n v="133786"/>
    <x v="730"/>
    <s v="Diretoria Seminovos"/>
    <x v="7"/>
    <s v="LJBEL - Vendas Varejo Seminovos Belém"/>
    <s v="REINALDO GERSON FERREIRA DA SILVA"/>
    <s v="POSITIVO"/>
    <d v="1899-12-31T03:32:00"/>
    <d v="1899-12-30T00:00:00"/>
    <d v="1899-12-31T03:32:00"/>
    <s v=" "/>
    <s v=" "/>
    <s v=" "/>
    <s v=" "/>
    <s v=" "/>
    <s v=" "/>
    <d v="1899-12-30T14:40:00"/>
    <s v=" "/>
    <s v=" "/>
    <s v=" "/>
    <s v=" "/>
    <s v=" "/>
    <s v="Ativo"/>
    <x v="3"/>
    <x v="7"/>
    <x v="50"/>
  </r>
  <r>
    <n v="132914"/>
    <x v="731"/>
    <s v="Diretoria Seminovos"/>
    <x v="7"/>
    <s v="LJFZA - Vendas Varejo Seminovos Fortaleza"/>
    <s v="HUGO ROHSNER BEZERRA"/>
    <s v="POSITIVO"/>
    <d v="1899-12-30T20:16:00"/>
    <d v="1899-12-30T00:00:00"/>
    <d v="1899-12-30T20:16:00"/>
    <s v=" "/>
    <s v=" "/>
    <s v=" "/>
    <s v=" "/>
    <s v=" "/>
    <d v="1899-12-30T01:20:00"/>
    <d v="1899-12-30T12:50:00"/>
    <s v=" "/>
    <s v=" "/>
    <s v=" "/>
    <s v=" "/>
    <s v=" "/>
    <s v="Ativo"/>
    <x v="3"/>
    <x v="7"/>
    <x v="56"/>
  </r>
  <r>
    <n v="132542"/>
    <x v="732"/>
    <s v="Diretoria Seminovos"/>
    <x v="7"/>
    <s v="LJIMP - Vendas Varejo Seminovos Imperatriz"/>
    <s v="SIDNEY CLEY CUNHA DURAND PINTO"/>
    <s v="POSITIVO"/>
    <d v="1899-12-30T04:13:00"/>
    <d v="1899-12-30T00:00:00"/>
    <d v="1899-12-30T04:13:00"/>
    <s v=" "/>
    <s v=" "/>
    <s v=" "/>
    <s v=" "/>
    <s v=" "/>
    <s v=" "/>
    <s v=" "/>
    <s v=" "/>
    <s v=" "/>
    <s v=" "/>
    <s v=" "/>
    <d v="1899-12-30T01:48:00"/>
    <s v="Ativo"/>
    <x v="3"/>
    <x v="7"/>
    <x v="51"/>
  </r>
  <r>
    <n v="134121"/>
    <x v="733"/>
    <s v="Diretoria Seminovos"/>
    <x v="7"/>
    <s v="LJSLS - Vendas Varejo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2"/>
  </r>
  <r>
    <n v="135578"/>
    <x v="734"/>
    <s v="Diretoria Seminovos"/>
    <x v="7"/>
    <s v="LJNAN - Vendas Varejo Seminovos Natal"/>
    <s v="AIVERTON FERREIRA DE ARAUJO TOR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63"/>
  </r>
  <r>
    <n v="501815"/>
    <x v="735"/>
    <s v="Diretoria Seminovos"/>
    <x v="7"/>
    <s v="LJTER - Vendas Varejo Seminovos Teresina"/>
    <s v="EDUARDO LUCAS DOS SAN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61"/>
  </r>
  <r>
    <n v="132565"/>
    <x v="736"/>
    <s v="Diretoria Seminovos"/>
    <x v="7"/>
    <s v="LJNAN - Vendas Varejo Seminovos Natal"/>
    <s v="AIVERTON FERREIRA DE ARAUJO TOR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63"/>
  </r>
  <r>
    <n v="133121"/>
    <x v="737"/>
    <s v="Diretoria Seminovos"/>
    <x v="7"/>
    <s v="LJFTZ - Vendas Varejo Seminovos Fortaleza Santos Dumont"/>
    <s v="THYAGO GUILHERME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5"/>
  </r>
  <r>
    <n v="123419"/>
    <x v="738"/>
    <s v="Diretoria Seminovos"/>
    <x v="7"/>
    <s v="LJSLM - Vendas Varejo Seminovos Senador Lemos Belém"/>
    <s v="EDINELSON VALENTE BARREIR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8"/>
  </r>
  <r>
    <n v="133977"/>
    <x v="739"/>
    <s v="Diretoria Seminovos"/>
    <x v="7"/>
    <s v="LJSLS - Vendas Varejo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2"/>
  </r>
  <r>
    <n v="135459"/>
    <x v="740"/>
    <s v="Diretoria Seminovos"/>
    <x v="7"/>
    <s v="LJCAM - Vendas Varejo Seminovos Capim Macio"/>
    <s v="GILSON GUTEMBERG COSTA DA CRU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9"/>
  </r>
  <r>
    <n v="136703"/>
    <x v="741"/>
    <s v="Diretoria Seminovos"/>
    <x v="7"/>
    <s v="LJSLM - Vendas Varejo Seminovos Senador Lemos Belém"/>
    <s v="EDINELSON VALENTE BARREIR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8"/>
  </r>
  <r>
    <n v="135801"/>
    <x v="742"/>
    <s v="Diretoria Seminovos"/>
    <x v="7"/>
    <s v="LJNAN - Vendas Varejo Seminovos Natal"/>
    <s v="AIVERTON FERREIRA DE ARAUJO TOR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63"/>
  </r>
  <r>
    <n v="125190"/>
    <x v="743"/>
    <s v="Diretoria Seminovos"/>
    <x v="7"/>
    <s v="LJSJB - Vendas Varejo Seminovos Fortaleza São Jose Bastos"/>
    <s v="RAFAEL CARNEIRO DE MORA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3"/>
  </r>
  <r>
    <n v="134601"/>
    <x v="744"/>
    <s v="Diretoria Seminovos"/>
    <x v="7"/>
    <s v="LJNAN - Vendas Varejo Seminovos Natal"/>
    <s v="AIVERTON FERREIRA DE ARAUJO TOR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7"/>
    <x v="63"/>
  </r>
  <r>
    <n v="135215"/>
    <x v="745"/>
    <s v="Diretoria Seminovos"/>
    <x v="7"/>
    <s v="LJJZN - Vendas Varejo Seminovos Juazeiro do Norte"/>
    <s v="JACKSON SANTOS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64"/>
  </r>
  <r>
    <n v="131460"/>
    <x v="746"/>
    <s v="Diretoria Seminovos"/>
    <x v="7"/>
    <s v="LJJZN - Vendas Varejo Seminovos Juazeiro do Norte"/>
    <s v="JACKSON SANTOS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64"/>
  </r>
  <r>
    <n v="123942"/>
    <x v="747"/>
    <s v="Diretoria Seminovos"/>
    <x v="7"/>
    <s v="LJTER - Vendas Varejo Seminovos Teresina"/>
    <s v="EDUARDO LUCAS DOS SAN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61"/>
  </r>
  <r>
    <n v="501469"/>
    <x v="748"/>
    <s v="Diretoria Seminovos"/>
    <x v="7"/>
    <s v="LJCAM - Loja Seminovos Capim Macio"/>
    <s v="GILSON GUTEMBERG COSTA DA CRU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7"/>
    <x v="59"/>
  </r>
  <r>
    <n v="133835"/>
    <x v="749"/>
    <s v="Diretoria Seminovos"/>
    <x v="7"/>
    <s v="LJJZN - Loja Seminovos Juazeiro do Norte"/>
    <s v="JACKSON SANTOS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7"/>
    <x v="64"/>
  </r>
  <r>
    <n v="132737"/>
    <x v="750"/>
    <s v="Diretoria Seminovos"/>
    <x v="7"/>
    <s v="LJNAN - Loja Seminovos Natal"/>
    <s v="AIVERTON FERREIRA DE ARAUJO TORRES"/>
    <s v="POSITIVO"/>
    <d v="1899-12-30T08:00:00"/>
    <d v="1899-12-30T00:00:00"/>
    <d v="1899-12-30T08:00:00"/>
    <s v=" "/>
    <s v=" "/>
    <s v=" "/>
    <s v=" "/>
    <s v=" "/>
    <s v=" "/>
    <s v=" "/>
    <s v=" "/>
    <s v=" "/>
    <s v=" "/>
    <s v=" "/>
    <s v=" "/>
    <s v="Ativo"/>
    <x v="6"/>
    <x v="7"/>
    <x v="63"/>
  </r>
  <r>
    <n v="131051"/>
    <x v="751"/>
    <s v="Diretoria Seminovos"/>
    <x v="7"/>
    <s v="LJSLS - Vendas Varejo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2"/>
  </r>
  <r>
    <n v="136257"/>
    <x v="752"/>
    <s v="Diretoria Seminovos"/>
    <x v="7"/>
    <s v="LJFTZ - Vendas Varejo Seminovos Fortaleza Santos Dumont"/>
    <s v="THYAGO GUILHERME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5"/>
  </r>
  <r>
    <n v="135399"/>
    <x v="753"/>
    <s v="Diretoria Seminovos"/>
    <x v="7"/>
    <s v="LJSLS - Vendas Varejo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2"/>
  </r>
  <r>
    <n v="136980"/>
    <x v="754"/>
    <s v="Diretoria Seminovos"/>
    <x v="7"/>
    <s v="LJPVH - Loja Seminovos Porto Velho"/>
    <s v="SHELLY DE OLIVEIRA SOUZ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7"/>
    <x v="57"/>
  </r>
  <r>
    <n v="135468"/>
    <x v="755"/>
    <s v="Diretoria Seminovos"/>
    <x v="7"/>
    <s v="LJIMP - Loja Seminovos Imperatriz"/>
    <s v="SIDNEY CLEY CUNHA DURAND PINTO"/>
    <s v="POSITIVO"/>
    <d v="1899-12-31T02:00:00"/>
    <d v="1899-12-30T00:00:00"/>
    <d v="1899-12-31T02:00:00"/>
    <s v=" "/>
    <s v=" "/>
    <s v=" "/>
    <s v=" "/>
    <s v=" "/>
    <s v=" "/>
    <s v=" "/>
    <s v=" "/>
    <s v=" "/>
    <s v=" "/>
    <d v="1899-12-30T10:23:00"/>
    <d v="1899-12-30T13:30:00"/>
    <s v="Ativo"/>
    <x v="2"/>
    <x v="7"/>
    <x v="51"/>
  </r>
  <r>
    <n v="125904"/>
    <x v="756"/>
    <s v="Diretoria Seminovos"/>
    <x v="7"/>
    <s v="LJFZA - Loja Seminovos Fortaleza"/>
    <s v="HUGO ROHSNER BEZERRA"/>
    <s v="POSITIVO"/>
    <d v="1899-12-31T00:06:00"/>
    <d v="1899-12-30T00:00:00"/>
    <d v="1899-12-31T00:06:00"/>
    <s v=" "/>
    <s v=" "/>
    <s v=" "/>
    <s v=" "/>
    <s v=" "/>
    <s v=" "/>
    <d v="1899-12-30T19:55:00"/>
    <s v=" "/>
    <s v=" "/>
    <s v=" "/>
    <s v=" "/>
    <s v=" "/>
    <s v="Ativo"/>
    <x v="6"/>
    <x v="7"/>
    <x v="56"/>
  </r>
  <r>
    <n v="502375"/>
    <x v="757"/>
    <s v="Diretoria Seminovos"/>
    <x v="7"/>
    <s v="LJTER - Loja Seminovos Teresina"/>
    <s v="EDUARDO LUCAS DOS SAN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7"/>
    <x v="61"/>
  </r>
  <r>
    <n v="118514"/>
    <x v="758"/>
    <s v="Diretoria Seminovos"/>
    <x v="7"/>
    <s v="LJBEL - Loja Seminovos Belém"/>
    <s v="REINALDO GERSON FERREIRA DA SILVA"/>
    <s v="POSITIVO"/>
    <d v="1899-12-30T06:46:00"/>
    <d v="1899-12-30T00:00:00"/>
    <d v="1899-12-30T06:46:00"/>
    <s v=" "/>
    <s v=" "/>
    <s v=" "/>
    <s v=" "/>
    <s v=" "/>
    <d v="1899-12-30T00:09:00"/>
    <d v="1899-12-30T04:20:00"/>
    <s v=" "/>
    <s v=" "/>
    <s v=" "/>
    <s v=" "/>
    <s v=" "/>
    <s v="Ativo"/>
    <x v="6"/>
    <x v="7"/>
    <x v="50"/>
  </r>
  <r>
    <n v="501783"/>
    <x v="759"/>
    <s v="Diretoria Seminovos"/>
    <x v="7"/>
    <s v="LJSLS - Loja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7"/>
    <x v="52"/>
  </r>
  <r>
    <n v="117827"/>
    <x v="760"/>
    <s v="Diretoria Seminovos"/>
    <x v="7"/>
    <s v="LJFTZ - Loja Seminovos Fortaleza Santos Dumont"/>
    <s v="THYAGO GUILHERME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7"/>
    <x v="55"/>
  </r>
  <r>
    <n v="118483"/>
    <x v="761"/>
    <s v="Diretoria Seminovos"/>
    <x v="7"/>
    <s v="LJMAB - Loja Seminovos Marabá"/>
    <s v="JORGE LUIS GONCALVES DE ARAUJO"/>
    <s v="POSITIVO"/>
    <d v="1899-12-30T06:37:00"/>
    <d v="1899-12-30T00:00:00"/>
    <d v="1899-12-30T06:37:00"/>
    <s v=" "/>
    <s v=" "/>
    <s v=" "/>
    <s v=" "/>
    <s v=" "/>
    <d v="1899-12-30T04:19:00"/>
    <d v="1899-12-30T01:55:00"/>
    <s v=" "/>
    <s v=" "/>
    <s v=" "/>
    <s v=" "/>
    <s v=" "/>
    <s v="Ativo"/>
    <x v="2"/>
    <x v="7"/>
    <x v="54"/>
  </r>
  <r>
    <n v="137177"/>
    <x v="762"/>
    <s v="Diretoria Seminovos"/>
    <x v="7"/>
    <s v="LJPVH - Vendas Varejo Seminovos Porto Velho"/>
    <s v="SHELLY DE OLIVEIRA SOUZ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7"/>
    <x v="57"/>
  </r>
  <r>
    <n v="131492"/>
    <x v="763"/>
    <s v="Diretoria Seminovos"/>
    <x v="7"/>
    <s v="LJJZN - Loja Seminovos Juazeiro do Norte"/>
    <s v="JACKSON SANTOS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7"/>
    <x v="64"/>
  </r>
  <r>
    <n v="114218"/>
    <x v="764"/>
    <s v="Diretoria Seminovos"/>
    <x v="7"/>
    <s v="LJSLM - Loja Seminovos Senador Lemos Belém"/>
    <s v="EDINELSON VALENTE BARREIR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7"/>
    <x v="58"/>
  </r>
  <r>
    <n v="136044"/>
    <x v="765"/>
    <s v="Diretoria Seminovos"/>
    <x v="7"/>
    <s v="LJMNS - Loja Seminovos Manaus"/>
    <s v="PEDRO GOMES COSTA MOTA"/>
    <s v="POSITIVO"/>
    <d v="1899-12-30T03:40:00"/>
    <d v="1899-12-30T00:00:00"/>
    <d v="1899-12-30T03:40:00"/>
    <s v=" "/>
    <s v=" "/>
    <s v=" "/>
    <s v=" "/>
    <s v=" "/>
    <s v=" "/>
    <d v="1899-12-30T01:04:00"/>
    <s v=" "/>
    <s v=" "/>
    <s v=" "/>
    <s v=" "/>
    <s v=" "/>
    <s v="Ativo"/>
    <x v="6"/>
    <x v="7"/>
    <x v="62"/>
  </r>
  <r>
    <n v="501872"/>
    <x v="766"/>
    <s v="Diretoria Seminovos"/>
    <x v="7"/>
    <s v="LJCAM - Loja Seminovos Capim Macio"/>
    <s v="GILSON GUTEMBERG COSTA DA CRU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2"/>
    <x v="7"/>
    <x v="59"/>
  </r>
  <r>
    <n v="503258"/>
    <x v="767"/>
    <s v="Diretoria Seminovos"/>
    <x v="8"/>
    <s v="LJBAR - Vendas Varejo Seminovos Barra da Tijuca"/>
    <s v="FABIO PINTO PEREZ"/>
    <s v="POSITIVO"/>
    <d v="1900-01-01T16:57:00"/>
    <d v="1899-12-30T00:00:00"/>
    <d v="1900-01-01T16:57:00"/>
    <s v=" "/>
    <s v=" "/>
    <d v="1899-12-31T05:41:00"/>
    <d v="1899-12-30T15:23:00"/>
    <s v=" "/>
    <s v=" "/>
    <s v=" "/>
    <s v=" "/>
    <s v=" "/>
    <s v=" "/>
    <s v=" "/>
    <s v=" "/>
    <s v="Ativo"/>
    <x v="3"/>
    <x v="8"/>
    <x v="69"/>
  </r>
  <r>
    <n v="129916"/>
    <x v="768"/>
    <s v="Diretoria Seminovos"/>
    <x v="8"/>
    <s v="LJBAR - Vendas Varejo Seminovos Barra da Tijuca"/>
    <s v="FABIO PINTO PEREZ"/>
    <s v="POSITIVO"/>
    <d v="1899-12-31T18:10:00"/>
    <d v="1899-12-30T00:00:00"/>
    <d v="1899-12-31T18:10:00"/>
    <s v=" "/>
    <s v=" "/>
    <d v="1899-12-31T18:10:00"/>
    <s v=" "/>
    <s v=" "/>
    <s v=" "/>
    <s v=" "/>
    <s v=" "/>
    <s v=" "/>
    <s v=" "/>
    <s v=" "/>
    <s v=" "/>
    <s v="Contrato de Trabalho Suspenso"/>
    <x v="3"/>
    <x v="8"/>
    <x v="69"/>
  </r>
  <r>
    <n v="132287"/>
    <x v="769"/>
    <s v="Diretoria Seminovos"/>
    <x v="8"/>
    <s v="LJCGD - Vendas Varejo Seminovos Campo Grande Rio de Janeiro"/>
    <s v="FABIO PINTO PEREZ"/>
    <s v="POSITIVO"/>
    <d v="1899-12-31T15:52:00"/>
    <d v="1899-12-30T00:00:00"/>
    <d v="1899-12-31T15:52:00"/>
    <s v=" "/>
    <s v=" "/>
    <s v=" "/>
    <s v=" "/>
    <s v=" "/>
    <d v="1899-12-30T23:16:00"/>
    <d v="1899-12-30T08:22:00"/>
    <s v=" "/>
    <s v=" "/>
    <s v=" "/>
    <s v=" "/>
    <s v=" "/>
    <s v="Ativo"/>
    <x v="3"/>
    <x v="8"/>
    <x v="75"/>
  </r>
  <r>
    <n v="135897"/>
    <x v="770"/>
    <s v="Diretoria Seminovos"/>
    <x v="8"/>
    <s v="LJITD - Vendas Varejo Seminovos Intendente"/>
    <s v="MARCIO PEREIRA NASCIMENTO FILHO"/>
    <s v="POSITIVO"/>
    <d v="1899-12-31T23:56:00"/>
    <d v="1899-12-30T00:00:00"/>
    <d v="1899-12-31T23:56:00"/>
    <s v=" "/>
    <s v=" "/>
    <d v="1899-12-30T08:28:00"/>
    <d v="1899-12-30T21:02:00"/>
    <s v=" "/>
    <s v=" "/>
    <s v=" "/>
    <s v=" "/>
    <s v=" "/>
    <s v=" "/>
    <s v=" "/>
    <s v=" "/>
    <s v="Ativo"/>
    <x v="3"/>
    <x v="8"/>
    <x v="74"/>
  </r>
  <r>
    <n v="503499"/>
    <x v="771"/>
    <s v="Diretoria Seminovos"/>
    <x v="8"/>
    <s v="LJRIO - Vendas Varejo Seminovos Rio de Janeiro"/>
    <s v="LEONARDO MATOS MOURA CAMPOS"/>
    <s v="POSITIVO"/>
    <d v="1899-12-31T13:03:00"/>
    <d v="1899-12-30T00:00:00"/>
    <d v="1899-12-31T13:03:00"/>
    <s v=" "/>
    <s v=" "/>
    <s v=" "/>
    <d v="1899-12-31T05:23:00"/>
    <s v=" "/>
    <s v=" "/>
    <s v=" "/>
    <s v=" "/>
    <s v=" "/>
    <s v=" "/>
    <s v=" "/>
    <s v=" "/>
    <s v="Ativo"/>
    <x v="3"/>
    <x v="8"/>
    <x v="68"/>
  </r>
  <r>
    <n v="132151"/>
    <x v="772"/>
    <s v="Diretoria Seminovos"/>
    <x v="8"/>
    <s v="LJNIG - Vendas Varejo Seminovos Nova Iguaçu"/>
    <s v="TABAJARA ALVARO MENDONCA ALVARES"/>
    <s v="POSITIVO"/>
    <d v="1899-12-31T07:57:00"/>
    <d v="1899-12-30T00:00:00"/>
    <d v="1899-12-31T07:57:00"/>
    <s v=" "/>
    <s v=" "/>
    <d v="1899-12-30T23:44:00"/>
    <d v="1899-12-30T03:14:00"/>
    <s v=" "/>
    <s v=" "/>
    <s v=" "/>
    <s v=" "/>
    <s v=" "/>
    <s v=" "/>
    <s v=" "/>
    <s v=" "/>
    <s v="Ativo"/>
    <x v="3"/>
    <x v="8"/>
    <x v="66"/>
  </r>
  <r>
    <n v="130858"/>
    <x v="773"/>
    <s v="Diretoria Seminovos"/>
    <x v="8"/>
    <s v="LJBAR - Vendas Varejo Seminovos Barra da Tijuca"/>
    <s v="FABIO PINTO PEREZ"/>
    <s v="POSITIVO"/>
    <d v="1899-12-31T01:06:00"/>
    <d v="1899-12-30T00:00:00"/>
    <d v="1899-12-31T01:06:00"/>
    <s v=" "/>
    <s v=" "/>
    <d v="1899-12-30T01:16:00"/>
    <d v="1899-12-31T00:16:00"/>
    <s v=" "/>
    <s v=" "/>
    <s v=" "/>
    <s v=" "/>
    <s v=" "/>
    <s v=" "/>
    <s v=" "/>
    <s v=" "/>
    <s v="Ativo"/>
    <x v="3"/>
    <x v="8"/>
    <x v="69"/>
  </r>
  <r>
    <n v="503637"/>
    <x v="774"/>
    <s v="Diretoria Seminovos"/>
    <x v="8"/>
    <s v="LJCGD - Vendas Varejo Seminovos Campo Grande Rj"/>
    <s v="FABIO PINTO PEREZ"/>
    <s v="POSITIVO"/>
    <d v="1899-12-31T10:44:00"/>
    <d v="1899-12-30T00:00:00"/>
    <d v="1899-12-31T10:44:00"/>
    <s v=" "/>
    <s v=" "/>
    <d v="1899-12-30T06:41:00"/>
    <d v="1899-12-30T16:34:00"/>
    <s v=" "/>
    <s v=" "/>
    <s v=" "/>
    <s v=" "/>
    <s v=" "/>
    <s v=" "/>
    <s v=" "/>
    <s v=" "/>
    <s v="Ativo"/>
    <x v="3"/>
    <x v="8"/>
    <x v="75"/>
  </r>
  <r>
    <n v="503599"/>
    <x v="775"/>
    <s v="Diretoria Seminovos"/>
    <x v="8"/>
    <s v="LJRIO - Vendas Varejo Seminovos Rio de Janeiro"/>
    <s v="LEONARDO MATOS MOURA CAMPOS"/>
    <s v="POSITIVO"/>
    <d v="1899-12-31T06:45:00"/>
    <d v="1899-12-30T00:00:00"/>
    <d v="1899-12-31T06:45:00"/>
    <s v=" "/>
    <s v=" "/>
    <d v="1899-12-30T08:27:00"/>
    <d v="1899-12-30T12:22:00"/>
    <s v=" "/>
    <s v=" "/>
    <s v=" "/>
    <s v=" "/>
    <s v=" "/>
    <s v=" "/>
    <s v=" "/>
    <s v=" "/>
    <s v="Ativo"/>
    <x v="3"/>
    <x v="8"/>
    <x v="68"/>
  </r>
  <r>
    <n v="123095"/>
    <x v="776"/>
    <s v="Diretoria Seminovos"/>
    <x v="8"/>
    <s v="LJRJB - Vendas Varejo Seminovos RJ Avenida Brasil"/>
    <s v="MARLON CESAR RIBEIRO DE LIMA"/>
    <s v="POSITIVO"/>
    <d v="1899-12-30T19:01:00"/>
    <d v="1899-12-30T00:00:00"/>
    <d v="1899-12-30T19:01:00"/>
    <d v="1899-12-30T15:48:00"/>
    <d v="1899-12-30T03:13:00"/>
    <s v=" "/>
    <s v=" "/>
    <s v=" "/>
    <s v=" "/>
    <s v=" "/>
    <s v=" "/>
    <s v=" "/>
    <s v=" "/>
    <s v=" "/>
    <s v=" "/>
    <s v="Ativo"/>
    <x v="3"/>
    <x v="8"/>
    <x v="65"/>
  </r>
  <r>
    <n v="136304"/>
    <x v="777"/>
    <s v="Diretoria Seminovos"/>
    <x v="8"/>
    <s v="LJPTS - Vendas Varejo Seminovos Petrópolis"/>
    <s v="ANA PAULA DOS SANTOS BATISTA"/>
    <s v="POSITIVO"/>
    <d v="1899-12-30T18:12:00"/>
    <d v="1899-12-30T00:00:00"/>
    <d v="1899-12-30T18:12:00"/>
    <s v=" "/>
    <s v=" "/>
    <d v="1899-12-30T18:12:00"/>
    <s v=" "/>
    <s v=" "/>
    <s v=" "/>
    <s v=" "/>
    <s v=" "/>
    <s v=" "/>
    <s v=" "/>
    <s v=" "/>
    <s v=" "/>
    <s v="Contrato de Trabalho Suspenso"/>
    <x v="3"/>
    <x v="8"/>
    <x v="72"/>
  </r>
  <r>
    <n v="125762"/>
    <x v="778"/>
    <s v="Diretoria Seminovos"/>
    <x v="8"/>
    <s v="LJNIG - Vendas Varejo Seminovos Nova Iguaçu"/>
    <s v="TABAJARA ALVARO MENDONCA ALVARES"/>
    <s v="POSITIVO"/>
    <d v="1899-12-31T02:11:00"/>
    <d v="1899-12-30T00:00:00"/>
    <d v="1899-12-31T02:11:00"/>
    <s v=" "/>
    <s v=" "/>
    <d v="1899-12-30T16:53:00"/>
    <d v="1899-12-30T01:03:00"/>
    <s v=" "/>
    <s v=" "/>
    <s v=" "/>
    <s v=" "/>
    <s v=" "/>
    <s v=" "/>
    <s v=" "/>
    <s v=" "/>
    <s v="Ativo"/>
    <x v="3"/>
    <x v="8"/>
    <x v="66"/>
  </r>
  <r>
    <n v="503144"/>
    <x v="779"/>
    <s v="Diretoria Seminovos"/>
    <x v="8"/>
    <s v="LJITD - Vendas Varejo Seminovos Intendente"/>
    <s v="MARCIO PEREIRA NASCIMENTO FILHO"/>
    <s v="POSITIVO"/>
    <d v="1899-12-31T03:28:00"/>
    <d v="1899-12-30T00:00:00"/>
    <d v="1899-12-31T03:28:00"/>
    <s v=" "/>
    <s v=" "/>
    <d v="1899-12-30T07:28:00"/>
    <d v="1899-12-30T08:57:00"/>
    <s v=" "/>
    <s v=" "/>
    <s v=" "/>
    <s v=" "/>
    <s v=" "/>
    <s v=" "/>
    <s v=" "/>
    <s v=" "/>
    <s v="Ativo"/>
    <x v="3"/>
    <x v="8"/>
    <x v="74"/>
  </r>
  <r>
    <n v="503590"/>
    <x v="780"/>
    <s v="Diretoria Seminovos"/>
    <x v="8"/>
    <s v="LJNIG - Vendas Varejo Seminovos Nova Iguaçu"/>
    <s v="TABAJARA ALVARO MENDONCA ALVARES"/>
    <s v="POSITIVO"/>
    <d v="1899-12-30T17:50:00"/>
    <d v="1899-12-30T00:00:00"/>
    <d v="1899-12-30T17:50:00"/>
    <s v=" "/>
    <s v=" "/>
    <d v="1899-12-30T11:03:00"/>
    <d v="1899-12-30T04:50:00"/>
    <s v=" "/>
    <s v=" "/>
    <s v=" "/>
    <s v=" "/>
    <s v=" "/>
    <s v=" "/>
    <s v=" "/>
    <s v=" "/>
    <s v="Ativo"/>
    <x v="3"/>
    <x v="8"/>
    <x v="66"/>
  </r>
  <r>
    <n v="130034"/>
    <x v="781"/>
    <s v="Diretoria Seminovos"/>
    <x v="8"/>
    <s v="LJITD - Vendas Varejo Seminovos Intendente"/>
    <s v="MARCIO PEREIRA NASCIMENTO FILHO"/>
    <s v="POSITIVO"/>
    <d v="1899-12-30T22:22:00"/>
    <d v="1899-12-30T00:00:00"/>
    <d v="1899-12-30T22:22:00"/>
    <s v=" "/>
    <s v=" "/>
    <s v=" "/>
    <d v="1899-12-30T14:33:00"/>
    <s v=" "/>
    <s v=" "/>
    <s v=" "/>
    <s v=" "/>
    <s v=" "/>
    <s v=" "/>
    <s v=" "/>
    <s v=" "/>
    <s v="Ativo"/>
    <x v="3"/>
    <x v="8"/>
    <x v="74"/>
  </r>
  <r>
    <n v="503549"/>
    <x v="782"/>
    <s v="Diretoria Seminovos"/>
    <x v="8"/>
    <s v="LJCGD - Vendas Varejo Seminovos Campo Grande Rj"/>
    <s v="FABIO PINTO PEREZ"/>
    <s v="POSITIVO"/>
    <d v="1899-12-30T20:00:00"/>
    <d v="1899-12-30T00:00:00"/>
    <d v="1899-12-30T20:00:00"/>
    <s v=" "/>
    <s v=" "/>
    <s v=" "/>
    <d v="1899-12-30T12:26:00"/>
    <s v=" "/>
    <s v=" "/>
    <s v=" "/>
    <s v=" "/>
    <s v=" "/>
    <s v=" "/>
    <s v=" "/>
    <s v=" "/>
    <s v="Ativo"/>
    <x v="3"/>
    <x v="8"/>
    <x v="75"/>
  </r>
  <r>
    <n v="124789"/>
    <x v="783"/>
    <s v="Diretoria Seminovos"/>
    <x v="8"/>
    <s v="LJNIT - Vendas Varejo Seminovos Niterói"/>
    <s v="FELIPE REIS BARGIELA"/>
    <s v="POSITIVO"/>
    <d v="1899-12-30T16:13:00"/>
    <d v="1899-12-30T00:00:00"/>
    <d v="1899-12-30T16:13:00"/>
    <s v=" "/>
    <s v=" "/>
    <s v=" "/>
    <d v="1899-12-30T12:22:00"/>
    <s v=" "/>
    <s v=" "/>
    <s v=" "/>
    <s v=" "/>
    <s v=" "/>
    <s v=" "/>
    <s v=" "/>
    <s v=" "/>
    <s v="Ativo"/>
    <x v="3"/>
    <x v="8"/>
    <x v="73"/>
  </r>
  <r>
    <n v="500533"/>
    <x v="784"/>
    <s v="Diretoria Seminovos"/>
    <x v="8"/>
    <s v="LJRIO - Loja Seminovos Rio de Janeiro"/>
    <s v="LEONARDO MATOS MOURA CAMPOS"/>
    <s v="POSITIVO"/>
    <d v="1899-12-30T09:41:00"/>
    <d v="1899-12-30T00:00:00"/>
    <d v="1899-12-30T09:41:00"/>
    <s v=" "/>
    <s v=" "/>
    <d v="1899-12-30T00:40:00"/>
    <s v=" "/>
    <s v=" "/>
    <s v=" "/>
    <s v=" "/>
    <s v=" "/>
    <s v=" "/>
    <s v=" "/>
    <s v=" "/>
    <s v=" "/>
    <s v="Ativo"/>
    <x v="6"/>
    <x v="8"/>
    <x v="68"/>
  </r>
  <r>
    <n v="123317"/>
    <x v="785"/>
    <s v="Diretoria Seminovos"/>
    <x v="8"/>
    <s v="LJNIT - Vendas Varejo Seminovos Niterói"/>
    <s v="FELIPE REIS BARGIELA"/>
    <s v="POSITIVO"/>
    <d v="1899-12-30T12:01:00"/>
    <d v="1899-12-30T00:00:00"/>
    <d v="1899-12-30T12:01:00"/>
    <s v=" "/>
    <s v=" "/>
    <d v="1899-12-30T09:56:00"/>
    <d v="1899-12-30T02:05:00"/>
    <s v=" "/>
    <s v=" "/>
    <s v=" "/>
    <s v=" "/>
    <s v=" "/>
    <s v=" "/>
    <s v=" "/>
    <s v=" "/>
    <s v="Contrato de Trabalho Suspenso"/>
    <x v="3"/>
    <x v="8"/>
    <x v="73"/>
  </r>
  <r>
    <n v="131994"/>
    <x v="786"/>
    <s v="Diretoria Seminovos"/>
    <x v="8"/>
    <s v="LJRIO - Vendas Varejo Seminovos Rio de Janeiro"/>
    <s v="LEONARDO MATOS MOURA CAMPOS"/>
    <s v="POSITIVO"/>
    <d v="1899-12-30T09:46:00"/>
    <d v="1899-12-30T00:00:00"/>
    <d v="1899-12-30T09:46:00"/>
    <s v=" "/>
    <s v=" "/>
    <s v=" "/>
    <s v=" "/>
    <s v=" "/>
    <s v=" "/>
    <s v=" "/>
    <s v=" "/>
    <s v=" "/>
    <s v=" "/>
    <s v=" "/>
    <d v="1899-12-30T11:55:00"/>
    <s v="Ativo"/>
    <x v="3"/>
    <x v="8"/>
    <x v="68"/>
  </r>
  <r>
    <n v="134334"/>
    <x v="787"/>
    <s v="Diretoria Seminovos"/>
    <x v="8"/>
    <s v="LJCGD - Vendas Varejo Seminovos Campo Grande Rio de Janeiro"/>
    <s v="FABIO PINTO PEREZ"/>
    <s v="POSITIVO"/>
    <d v="1899-12-30T17:48:00"/>
    <d v="1899-12-30T00:00:00"/>
    <d v="1899-12-30T17:48:00"/>
    <s v=" "/>
    <s v=" "/>
    <s v=" "/>
    <s v=" "/>
    <s v=" "/>
    <d v="1899-12-30T02:18:00"/>
    <d v="1899-12-30T08:15:00"/>
    <s v=" "/>
    <s v=" "/>
    <s v=" "/>
    <s v=" "/>
    <s v=" "/>
    <s v="Ativo"/>
    <x v="3"/>
    <x v="8"/>
    <x v="75"/>
  </r>
  <r>
    <n v="503277"/>
    <x v="788"/>
    <s v="Diretoria Seminovos"/>
    <x v="8"/>
    <s v="LJBAR - Vendas Varejo Seminovos Barra da Tijuca"/>
    <s v="FABIO PINTO PEREZ"/>
    <s v="POSITIVO"/>
    <d v="1899-12-30T20:19:00"/>
    <d v="1899-12-30T00:00:00"/>
    <d v="1899-12-30T20:19:00"/>
    <s v=" "/>
    <s v=" "/>
    <s v=" "/>
    <d v="1899-12-30T10:09:00"/>
    <s v=" "/>
    <s v=" "/>
    <s v=" "/>
    <s v=" "/>
    <s v=" "/>
    <s v=" "/>
    <s v=" "/>
    <s v=" "/>
    <s v="Ativo"/>
    <x v="3"/>
    <x v="8"/>
    <x v="69"/>
  </r>
  <r>
    <n v="503385"/>
    <x v="789"/>
    <s v="Diretoria Seminovos"/>
    <x v="8"/>
    <s v="LJITD - Vendas Varejo Seminovos Intendente"/>
    <s v="MARCIO PEREIRA NASCIMENTO FILHO"/>
    <s v="POSITIVO"/>
    <d v="1899-12-30T16:21:00"/>
    <d v="1899-12-30T00:00:00"/>
    <d v="1899-12-30T16:21:00"/>
    <s v=" "/>
    <s v=" "/>
    <s v=" "/>
    <d v="1899-12-30T09:58:00"/>
    <s v=" "/>
    <s v=" "/>
    <s v=" "/>
    <s v=" "/>
    <s v=" "/>
    <s v=" "/>
    <s v=" "/>
    <s v=" "/>
    <s v="Ativo"/>
    <x v="3"/>
    <x v="8"/>
    <x v="74"/>
  </r>
  <r>
    <n v="134853"/>
    <x v="790"/>
    <s v="Diretoria Seminovos"/>
    <x v="8"/>
    <s v="LJNIG - Vendas Varejo Seminovos Nova Iguaçu"/>
    <s v="TABAJARA ALVARO MENDONCA ALVARES"/>
    <s v="POSITIVO"/>
    <d v="1899-12-30T13:44:00"/>
    <d v="1899-12-30T00:00:00"/>
    <d v="1899-12-30T13:44:00"/>
    <s v=" "/>
    <s v=" "/>
    <d v="1899-12-30T02:37:00"/>
    <d v="1899-12-30T06:20:00"/>
    <s v=" "/>
    <s v=" "/>
    <s v=" "/>
    <s v=" "/>
    <s v=" "/>
    <s v=" "/>
    <s v=" "/>
    <s v=" "/>
    <s v="Ativo"/>
    <x v="3"/>
    <x v="8"/>
    <x v="66"/>
  </r>
  <r>
    <n v="132412"/>
    <x v="791"/>
    <s v="Diretoria Seminovos"/>
    <x v="8"/>
    <s v="LJITD - Vendas Varejo Seminovos Intendente"/>
    <s v="MARCIO PEREIRA NASCIMENTO FILHO"/>
    <s v="POSITIVO"/>
    <d v="1899-12-30T08:06:00"/>
    <d v="1899-12-30T00:00:00"/>
    <d v="1899-12-30T08:06:00"/>
    <s v=" "/>
    <s v=" "/>
    <s v=" "/>
    <s v=" "/>
    <s v=" "/>
    <s v=" "/>
    <d v="1899-12-30T07:57:00"/>
    <s v=" "/>
    <s v=" "/>
    <s v=" "/>
    <s v=" "/>
    <s v=" "/>
    <s v="Ativo"/>
    <x v="3"/>
    <x v="8"/>
    <x v="74"/>
  </r>
  <r>
    <n v="502644"/>
    <x v="792"/>
    <s v="Diretoria Seminovos"/>
    <x v="8"/>
    <s v="LJNIT - Vendas Varejo Seminovos Niterói"/>
    <s v="FELIPE REIS BARGIELA"/>
    <s v="POSITIVO"/>
    <d v="1899-12-30T09:01:00"/>
    <d v="1899-12-30T00:00:00"/>
    <d v="1899-12-30T09:01:00"/>
    <s v=" "/>
    <s v=" "/>
    <s v=" "/>
    <d v="1899-12-30T06:13:00"/>
    <s v=" "/>
    <s v=" "/>
    <s v=" "/>
    <s v=" "/>
    <s v=" "/>
    <s v=" "/>
    <s v=" "/>
    <s v=" "/>
    <s v="Ativo"/>
    <x v="3"/>
    <x v="8"/>
    <x v="73"/>
  </r>
  <r>
    <n v="131981"/>
    <x v="793"/>
    <s v="Diretoria Seminovos"/>
    <x v="8"/>
    <s v="LJBAR - Vendas Varejo Seminovos Barra da Tijuca"/>
    <s v="FABIO PINTO PEREZ"/>
    <s v="POSITIVO"/>
    <d v="1899-12-30T19:23:00"/>
    <d v="1899-12-30T00:00:00"/>
    <d v="1899-12-30T19:23:00"/>
    <s v=" "/>
    <s v=" "/>
    <s v=" "/>
    <s v=" "/>
    <s v=" "/>
    <s v=" "/>
    <d v="1899-12-30T05:26:00"/>
    <s v=" "/>
    <s v=" "/>
    <s v=" "/>
    <s v=" "/>
    <s v=" "/>
    <s v="Ativo"/>
    <x v="3"/>
    <x v="8"/>
    <x v="69"/>
  </r>
  <r>
    <n v="134147"/>
    <x v="794"/>
    <s v="Diretoria Seminovos"/>
    <x v="8"/>
    <s v="LJITD - Vendas Varejo Seminovos Intendente"/>
    <s v="MARCIO PEREIRA NASCIMENTO FILHO"/>
    <s v="POSITIVO"/>
    <d v="1899-12-30T05:16:00"/>
    <d v="1899-12-30T00:00:00"/>
    <d v="1899-12-30T05:16:00"/>
    <s v=" "/>
    <s v=" "/>
    <d v="1899-12-30T05:16:00"/>
    <s v=" "/>
    <s v=" "/>
    <s v=" "/>
    <s v=" "/>
    <s v=" "/>
    <s v=" "/>
    <s v=" "/>
    <s v=" "/>
    <s v=" "/>
    <s v="Contrato de Trabalho Suspenso"/>
    <x v="3"/>
    <x v="8"/>
    <x v="74"/>
  </r>
  <r>
    <n v="125394"/>
    <x v="795"/>
    <s v="Diretoria Seminovos"/>
    <x v="8"/>
    <s v="LJBAR - Vendas Varejo Seminovos Barra da Tijuca"/>
    <s v="FABIO PINTO PEREZ"/>
    <s v="POSITIVO"/>
    <d v="1899-12-30T11:10:00"/>
    <d v="1899-12-30T00:00:00"/>
    <d v="1899-12-30T11:10:00"/>
    <s v=" "/>
    <s v=" "/>
    <s v=" "/>
    <d v="1899-12-30T04:48:00"/>
    <s v=" "/>
    <s v=" "/>
    <s v=" "/>
    <s v=" "/>
    <s v=" "/>
    <s v=" "/>
    <s v=" "/>
    <s v=" "/>
    <s v="Ativo"/>
    <x v="3"/>
    <x v="8"/>
    <x v="69"/>
  </r>
  <r>
    <n v="503305"/>
    <x v="796"/>
    <s v="Diretoria Seminovos"/>
    <x v="8"/>
    <s v="LJITD - Vendas Varejo Seminovos Intendente"/>
    <s v="MARCIO PEREIRA NASCIMENTO FILHO"/>
    <s v="POSITIVO"/>
    <d v="1899-12-30T02:56:00"/>
    <d v="1899-12-30T00:00:00"/>
    <d v="1899-12-30T02:56:00"/>
    <s v=" "/>
    <s v=" "/>
    <d v="1899-12-30T02:56:00"/>
    <s v=" "/>
    <s v=" "/>
    <s v=" "/>
    <s v=" "/>
    <s v=" "/>
    <s v=" "/>
    <s v=" "/>
    <s v=" "/>
    <s v=" "/>
    <s v="Contrato de Trabalho Suspenso"/>
    <x v="3"/>
    <x v="8"/>
    <x v="74"/>
  </r>
  <r>
    <n v="136275"/>
    <x v="797"/>
    <s v="Diretoria Seminovos"/>
    <x v="8"/>
    <s v="LJVRE - Vendas Varejo Seminovos Volta Redonda"/>
    <s v="PAULO FABRICIO SCARAMELO"/>
    <s v="POSITIVO"/>
    <d v="1899-12-30T07:35:00"/>
    <d v="1899-12-30T00:00:00"/>
    <d v="1899-12-30T07:35:00"/>
    <s v=" "/>
    <s v=" "/>
    <s v=" "/>
    <d v="1899-12-30T02:35:00"/>
    <s v=" "/>
    <s v=" "/>
    <s v=" "/>
    <s v=" "/>
    <s v=" "/>
    <s v=" "/>
    <s v=" "/>
    <s v=" "/>
    <s v="Ativo"/>
    <x v="3"/>
    <x v="8"/>
    <x v="132"/>
  </r>
  <r>
    <n v="135243"/>
    <x v="798"/>
    <s v="Diretoria Seminovos"/>
    <x v="8"/>
    <s v="LJNIT - Vendas Varejo Seminovos Niterói"/>
    <s v="FELIPE REIS BARGIELA"/>
    <s v="POSITIVO"/>
    <d v="1899-12-30T05:39:00"/>
    <d v="1899-12-30T00:00:00"/>
    <d v="1899-12-30T05:39:00"/>
    <s v=" "/>
    <s v=" "/>
    <s v=" "/>
    <d v="1899-12-30T01:13:00"/>
    <s v=" "/>
    <s v=" "/>
    <s v=" "/>
    <s v=" "/>
    <s v=" "/>
    <s v=" "/>
    <s v=" "/>
    <s v=" "/>
    <s v="Ativo"/>
    <x v="3"/>
    <x v="8"/>
    <x v="73"/>
  </r>
  <r>
    <n v="130587"/>
    <x v="799"/>
    <s v="Diretoria Seminovos"/>
    <x v="8"/>
    <s v="LJITD - Vendas Varejo Seminovos Intendente"/>
    <s v="MARCIO PEREIRA NASCIMENTO FILHO"/>
    <s v="POSITIVO"/>
    <d v="1899-12-30T11:15:00"/>
    <d v="1899-12-30T00:00:00"/>
    <d v="1899-12-30T11:15:00"/>
    <s v=" "/>
    <s v=" "/>
    <s v=" "/>
    <d v="1899-12-30T00:27:00"/>
    <s v=" "/>
    <s v=" "/>
    <s v=" "/>
    <s v=" "/>
    <s v=" "/>
    <s v=" "/>
    <s v=" "/>
    <s v=" "/>
    <s v="Ativo"/>
    <x v="3"/>
    <x v="8"/>
    <x v="74"/>
  </r>
  <r>
    <n v="130634"/>
    <x v="800"/>
    <s v="Diretoria Seminovos"/>
    <x v="8"/>
    <s v="LJRJB - Vendas Varejo Seminovos Avenida Brasil RJ"/>
    <s v="MARLON CESAR RIBEIRO DE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8"/>
    <x v="65"/>
  </r>
  <r>
    <n v="136306"/>
    <x v="801"/>
    <s v="Diretoria Seminovos"/>
    <x v="8"/>
    <s v="LJPTS - Vendas Varejo Seminovos Petrópolis"/>
    <s v="ANA PAULA DOS SANTOS BATI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8"/>
    <x v="72"/>
  </r>
  <r>
    <n v="136302"/>
    <x v="802"/>
    <s v="Diretoria Seminovos"/>
    <x v="8"/>
    <s v="LJPTS - Vendas Varejo Seminovos Petrópolis"/>
    <s v="ANA PAULA DOS SANTOS BATI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8"/>
    <x v="72"/>
  </r>
  <r>
    <n v="130259"/>
    <x v="803"/>
    <s v="Diretoria Seminovos"/>
    <x v="8"/>
    <s v="LJNIG - Vendas Varejo Seminovos Nova Iguaçu"/>
    <s v="TABAJARA ALVARO MENDONCA ALVA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8"/>
    <x v="66"/>
  </r>
  <r>
    <n v="136301"/>
    <x v="804"/>
    <s v="Diretoria Seminovos"/>
    <x v="8"/>
    <s v="LJPTS - Vendas Varejo Seminovos Petrópolis"/>
    <s v="ANA PAULA DOS SANTOS BATI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8"/>
    <x v="72"/>
  </r>
  <r>
    <n v="502385"/>
    <x v="805"/>
    <s v="Diretoria Seminovos"/>
    <x v="8"/>
    <s v="LJNIG - Loja Seminovos Nova Iguaçu"/>
    <s v="TABAJARA ALVARO MENDONCA ALVARES"/>
    <s v="POSITIVO"/>
    <d v="1899-12-30T02:32:00"/>
    <d v="1899-12-30T00:00:00"/>
    <d v="1899-12-30T02:32:00"/>
    <s v=" "/>
    <s v=" "/>
    <d v="1899-12-30T00:43:00"/>
    <s v=" "/>
    <s v=" "/>
    <s v=" "/>
    <s v=" "/>
    <s v=" "/>
    <s v=" "/>
    <s v=" "/>
    <s v=" "/>
    <s v=" "/>
    <s v="Ativo"/>
    <x v="2"/>
    <x v="8"/>
    <x v="66"/>
  </r>
  <r>
    <n v="501280"/>
    <x v="806"/>
    <s v="Diretoria Seminovos"/>
    <x v="8"/>
    <s v="LJCGD - Loja Seminovos Campo Grande Rio de Janeiro"/>
    <s v="FABIO PINTO PEREZ"/>
    <s v="POSITIVO"/>
    <d v="1899-12-30T01:04:00"/>
    <d v="1899-12-30T00:00:00"/>
    <d v="1899-12-30T01:04:00"/>
    <s v=" "/>
    <s v=" "/>
    <s v=" "/>
    <d v="1899-12-30T00:21:00"/>
    <s v=" "/>
    <s v=" "/>
    <s v=" "/>
    <s v=" "/>
    <s v=" "/>
    <s v=" "/>
    <s v=" "/>
    <s v=" "/>
    <s v="Ativo"/>
    <x v="2"/>
    <x v="8"/>
    <x v="75"/>
  </r>
  <r>
    <n v="125263"/>
    <x v="807"/>
    <s v="Diretoria Seminovos"/>
    <x v="8"/>
    <s v="LJITG - Loja Seminovos Itaguai"/>
    <s v="ANA PAULA DOS SANTOS BATISTA"/>
    <s v="POSITIVO"/>
    <d v="1899-12-31T09:05:00"/>
    <d v="1899-12-30T00:00:00"/>
    <d v="1899-12-31T09:05:00"/>
    <s v=" "/>
    <s v=" "/>
    <s v=" "/>
    <d v="1899-12-30T19:20:00"/>
    <s v=" "/>
    <s v=" "/>
    <s v=" "/>
    <s v=" "/>
    <s v=" "/>
    <s v=" "/>
    <s v=" "/>
    <s v=" "/>
    <s v="Ativo"/>
    <x v="9"/>
    <x v="8"/>
    <x v="76"/>
  </r>
  <r>
    <n v="136241"/>
    <x v="808"/>
    <s v="Diretoria Seminovos"/>
    <x v="8"/>
    <s v="LJCGD - Loja Seminovos Campo Grande Rio de Janeiro"/>
    <s v="FABIO PINTO PEREZ"/>
    <s v="POSITIVO"/>
    <d v="1899-12-31T05:37:00"/>
    <d v="1899-12-30T00:00:00"/>
    <d v="1899-12-31T05:37:00"/>
    <s v=" "/>
    <s v=" "/>
    <d v="1899-12-30T03:41:00"/>
    <d v="1899-12-30T16:56:00"/>
    <s v=" "/>
    <s v=" "/>
    <s v=" "/>
    <s v=" "/>
    <s v=" "/>
    <s v=" "/>
    <s v=" "/>
    <s v=" "/>
    <s v="Ativo"/>
    <x v="6"/>
    <x v="8"/>
    <x v="75"/>
  </r>
  <r>
    <n v="133601"/>
    <x v="809"/>
    <s v="Diretoria Seminovos"/>
    <x v="8"/>
    <s v="LJNIT - Loja Seminovos Niterói"/>
    <s v="FELIPE REIS BARGIELA"/>
    <s v="POSITIVO"/>
    <d v="1899-12-30T01:12:00"/>
    <d v="1899-12-30T00:00:00"/>
    <d v="1899-12-30T01:12:00"/>
    <s v=" "/>
    <s v=" "/>
    <s v=" "/>
    <d v="1899-12-30T01:18:00"/>
    <s v=" "/>
    <s v=" "/>
    <s v=" "/>
    <s v=" "/>
    <s v=" "/>
    <s v=" "/>
    <s v=" "/>
    <s v=" "/>
    <s v="Ativo"/>
    <x v="2"/>
    <x v="8"/>
    <x v="73"/>
  </r>
  <r>
    <n v="137178"/>
    <x v="810"/>
    <s v="Diretoria Seminovos"/>
    <x v="8"/>
    <s v="LJPTS -  Loja Seminovos Petrópolis"/>
    <s v="ANA PAULA DOS SANTOS BATI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8"/>
    <x v="72"/>
  </r>
  <r>
    <n v="136499"/>
    <x v="811"/>
    <s v="Diretoria Seminovos"/>
    <x v="8"/>
    <s v="LJITD - Loja Seminovos Intendente"/>
    <s v="MARCIO PEREIRA NASCIMENTO FILHO"/>
    <s v="POSITIVO"/>
    <d v="1899-12-30T11:28:00"/>
    <d v="1899-12-30T00:00:00"/>
    <d v="1899-12-30T11:28:00"/>
    <s v=" "/>
    <s v=" "/>
    <s v=" "/>
    <d v="1899-12-30T07:11:00"/>
    <s v=" "/>
    <s v=" "/>
    <s v=" "/>
    <s v=" "/>
    <s v=" "/>
    <s v=" "/>
    <s v=" "/>
    <s v=" "/>
    <s v="Ativo"/>
    <x v="2"/>
    <x v="8"/>
    <x v="74"/>
  </r>
  <r>
    <n v="129419"/>
    <x v="812"/>
    <s v="Diretoria Seminovos"/>
    <x v="8"/>
    <s v="LJVRE - Loja Seminovos Volta Redonda"/>
    <s v="PAULO FABRICIO SCARAMELO"/>
    <s v="POSITIVO"/>
    <d v="1899-12-30T10:30:00"/>
    <d v="1899-12-30T00:00:00"/>
    <d v="1899-12-30T10:30:00"/>
    <s v=" "/>
    <s v=" "/>
    <s v=" "/>
    <d v="1899-12-30T10:00:00"/>
    <s v=" "/>
    <s v=" "/>
    <s v=" "/>
    <s v=" "/>
    <s v=" "/>
    <s v=" "/>
    <s v=" "/>
    <s v=" "/>
    <s v="Ativo"/>
    <x v="9"/>
    <x v="8"/>
    <x v="132"/>
  </r>
  <r>
    <n v="136588"/>
    <x v="813"/>
    <s v="Diretoria Seminovos"/>
    <x v="8"/>
    <s v="LJITG - Loja Seminovos Itaguai"/>
    <s v="ANA PAULA DOS SANTOS BATISTA"/>
    <s v="POSITIVO"/>
    <d v="1899-12-30T13:20:00"/>
    <d v="1899-12-30T00:00:00"/>
    <d v="1899-12-30T13:20:00"/>
    <s v=" "/>
    <s v=" "/>
    <d v="1899-12-30T13:20:00"/>
    <s v=" "/>
    <s v=" "/>
    <s v=" "/>
    <s v=" "/>
    <s v=" "/>
    <s v=" "/>
    <s v=" "/>
    <s v=" "/>
    <s v=" "/>
    <s v="Contrato de Trabalho Suspenso"/>
    <x v="2"/>
    <x v="8"/>
    <x v="76"/>
  </r>
  <r>
    <n v="137210"/>
    <x v="814"/>
    <s v="Diretoria Seminovos"/>
    <x v="8"/>
    <s v="LJDUQ - Loja Seminovos Duque de Caxias"/>
    <s v="OTAVIO BARREIRA DE ARAUJO SOUS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8"/>
    <x v="70"/>
  </r>
  <r>
    <n v="133875"/>
    <x v="815"/>
    <s v="Diretoria Seminovos"/>
    <x v="8"/>
    <s v="LJVRE - Vendas Varejo Seminovos Volta Redonda"/>
    <s v="PAULO FABRICIO SCARAMELO"/>
    <s v="POSITIVO"/>
    <d v="1899-12-30T07:25:00"/>
    <d v="1899-12-30T00:00:00"/>
    <d v="1899-12-30T07:25:00"/>
    <s v=" "/>
    <s v=" "/>
    <s v=" "/>
    <d v="1899-12-30T02:53:00"/>
    <s v=" "/>
    <s v=" "/>
    <s v=" "/>
    <s v=" "/>
    <s v=" "/>
    <s v=" "/>
    <s v=" "/>
    <s v=" "/>
    <s v="Ativo"/>
    <x v="3"/>
    <x v="8"/>
    <x v="132"/>
  </r>
  <r>
    <n v="123069"/>
    <x v="816"/>
    <s v="Diretoria Seminovos"/>
    <x v="8"/>
    <s v="LJVRE - Loja Seminovos Volta Redonda"/>
    <s v="PAULO FABRICIO SCARAMELO"/>
    <s v="POSITIVO"/>
    <d v="1899-12-30T05:20:00"/>
    <d v="1899-12-30T00:00:00"/>
    <d v="1899-12-30T05:20:00"/>
    <s v=" "/>
    <s v=" "/>
    <d v="1899-12-30T01:20:00"/>
    <d v="1899-12-30T04:00:00"/>
    <s v=" "/>
    <s v=" "/>
    <s v=" "/>
    <s v=" "/>
    <s v=" "/>
    <s v=" "/>
    <s v=" "/>
    <s v=" "/>
    <s v="Contrato de Trabalho Suspenso"/>
    <x v="2"/>
    <x v="8"/>
    <x v="132"/>
  </r>
  <r>
    <n v="122895"/>
    <x v="817"/>
    <s v="Diretoria Seminovos"/>
    <x v="8"/>
    <s v="LJVRE - Vendas Varejo Seminovos Volta Redonda"/>
    <s v="PAULO FABRICIO SCARAMELO"/>
    <s v="POSITIVO"/>
    <d v="1899-12-30T10:25:00"/>
    <d v="1899-12-30T00:00:00"/>
    <d v="1899-12-30T10:25:00"/>
    <s v=" "/>
    <s v=" "/>
    <s v=" "/>
    <d v="1899-12-30T00:20:00"/>
    <s v=" "/>
    <s v=" "/>
    <s v=" "/>
    <s v=" "/>
    <s v=" "/>
    <s v=" "/>
    <s v=" "/>
    <s v=" "/>
    <s v="Ativo"/>
    <x v="3"/>
    <x v="8"/>
    <x v="132"/>
  </r>
  <r>
    <n v="123561"/>
    <x v="818"/>
    <s v="Diretoria Seminovos"/>
    <x v="8"/>
    <s v="LJUPB - Vendas Varejo Seminovos Up Town Barra"/>
    <s v="THIAGO HENRIQUE MELO FERREIRA"/>
    <s v="POSITIVO"/>
    <d v="1899-12-30T00:46:00"/>
    <d v="1899-12-30T00:00:00"/>
    <d v="1899-12-30T00:46:00"/>
    <s v=" "/>
    <s v=" "/>
    <s v=" "/>
    <d v="1899-12-30T00:42:00"/>
    <s v=" "/>
    <s v=" "/>
    <s v=" "/>
    <s v=" "/>
    <s v=" "/>
    <s v=" "/>
    <s v=" "/>
    <s v=" "/>
    <s v="Ativo"/>
    <x v="3"/>
    <x v="8"/>
    <x v="67"/>
  </r>
  <r>
    <n v="135980"/>
    <x v="819"/>
    <s v="Diretoria Seminovos"/>
    <x v="8"/>
    <s v="LJROS - Loja Seminovos  Rio das Ostras"/>
    <s v="STEFANO ZELAYA CORREI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8"/>
    <x v="71"/>
  </r>
  <r>
    <n v="133838"/>
    <x v="820"/>
    <s v="Diretoria Seminovos"/>
    <x v="8"/>
    <s v="LJDUQ - Vendas Varejo Seminovos Duque de Caxias"/>
    <s v="OTAVIO BARREIRA DE ARAUJO SOUSA"/>
    <s v="POSITIVO"/>
    <d v="1899-12-30T05:54:00"/>
    <d v="1899-12-30T00:00:00"/>
    <d v="1899-12-30T05:54:00"/>
    <d v="1899-12-30T01:33:00"/>
    <s v=" "/>
    <s v=" "/>
    <d v="1899-12-30T03:27:00"/>
    <s v=" "/>
    <s v=" "/>
    <s v=" "/>
    <s v=" "/>
    <s v=" "/>
    <s v=" "/>
    <s v=" "/>
    <s v=" "/>
    <s v="Ativo"/>
    <x v="3"/>
    <x v="8"/>
    <x v="70"/>
  </r>
  <r>
    <n v="130304"/>
    <x v="821"/>
    <s v="Diretoria Seminovos"/>
    <x v="8"/>
    <s v="LJNIT - Vendas Varejo Seminovos Niterói"/>
    <s v="FELIPE REIS BARGIELA"/>
    <s v="POSITIVO"/>
    <d v="1899-12-30T03:59:00"/>
    <d v="1899-12-30T00:00:00"/>
    <d v="1899-12-30T03:59:00"/>
    <s v=" "/>
    <s v=" "/>
    <s v=" "/>
    <d v="1899-12-30T01:56:00"/>
    <s v=" "/>
    <s v=" "/>
    <s v=" "/>
    <s v=" "/>
    <s v=" "/>
    <s v=" "/>
    <s v=" "/>
    <s v=" "/>
    <s v="Ativo"/>
    <x v="3"/>
    <x v="8"/>
    <x v="73"/>
  </r>
  <r>
    <n v="137216"/>
    <x v="822"/>
    <s v="Diretoria Seminovos"/>
    <x v="8"/>
    <s v="LJROS - Vendas Varejo Seminovos Rio das Ostras"/>
    <s v="STEFANO ZELAYA CORREI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8"/>
    <x v="71"/>
  </r>
  <r>
    <n v="130748"/>
    <x v="823"/>
    <s v="Diretoria Seminovos"/>
    <x v="8"/>
    <s v="LJVRE - Vendas Varejo Seminovos Volta Redonda"/>
    <s v="PAULO FABRICIO SCARAMELO"/>
    <s v="POSITIVO"/>
    <d v="1899-12-30T07:47:00"/>
    <d v="1899-12-30T00:00:00"/>
    <d v="1899-12-30T07:47:00"/>
    <s v=" "/>
    <s v=" "/>
    <s v=" "/>
    <d v="1899-12-30T02:31:00"/>
    <s v=" "/>
    <s v=" "/>
    <s v=" "/>
    <s v=" "/>
    <s v=" "/>
    <s v=" "/>
    <s v=" "/>
    <s v=" "/>
    <s v="Ativo"/>
    <x v="3"/>
    <x v="8"/>
    <x v="132"/>
  </r>
  <r>
    <n v="130931"/>
    <x v="824"/>
    <s v="Diretoria Seminovos"/>
    <x v="8"/>
    <s v="LJUPB - Loja Seminovos Up Town Barra"/>
    <s v="THIAGO HENRIQUE MELO FERREIRA"/>
    <s v="POSITIVO"/>
    <d v="1899-12-30T06:12:00"/>
    <d v="1899-12-30T00:00:00"/>
    <d v="1899-12-30T06:12:00"/>
    <s v=" "/>
    <s v=" "/>
    <s v=" "/>
    <s v=" "/>
    <s v=" "/>
    <s v=" "/>
    <s v=" "/>
    <s v=" "/>
    <s v=" "/>
    <s v=" "/>
    <s v=" "/>
    <s v=" "/>
    <s v="Ativo"/>
    <x v="6"/>
    <x v="8"/>
    <x v="67"/>
  </r>
  <r>
    <n v="500784"/>
    <x v="825"/>
    <s v="Diretoria Seminovos"/>
    <x v="8"/>
    <s v="LJBAR - Loja Seminovos Barra da Tijuca"/>
    <s v="GUSTAVO DE ALMEIDA STUTZEL"/>
    <s v="POSITIVO"/>
    <d v="1899-12-31T07:34:00"/>
    <d v="1899-12-30T00:00:00"/>
    <d v="1899-12-31T07:34:00"/>
    <s v=" "/>
    <s v=" "/>
    <s v=" "/>
    <d v="1899-12-30T21:02:00"/>
    <s v=" "/>
    <s v=" "/>
    <s v=" "/>
    <s v=" "/>
    <s v=" "/>
    <s v=" "/>
    <s v=" "/>
    <s v=" "/>
    <s v="Ativo"/>
    <x v="6"/>
    <x v="8"/>
    <x v="69"/>
  </r>
  <r>
    <n v="502189"/>
    <x v="826"/>
    <s v="Diretoria Seminovos"/>
    <x v="8"/>
    <s v="LJCGD - Loja Seminovos Campo Grande Rio de Janeiro"/>
    <s v="FABIO PINTO PERE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x v="6"/>
    <x v="8"/>
    <x v="75"/>
  </r>
  <r>
    <n v="502876"/>
    <x v="827"/>
    <s v="Diretoria Seminovos"/>
    <x v="8"/>
    <s v="LJCGD - Loja Seminovos Campo Grande Rio de Janeiro"/>
    <s v="FABIO PINTO PERE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x v="2"/>
    <x v="8"/>
    <x v="75"/>
  </r>
  <r>
    <n v="122075"/>
    <x v="828"/>
    <s v="Diretoria Seminovos"/>
    <x v="8"/>
    <s v="LJRIO - Loja Seminovos Rio de Janeiro"/>
    <s v="LEONARDO MATOS MOURA CAMPOS"/>
    <s v="POSITIVO"/>
    <d v="1899-12-30T08:28:00"/>
    <d v="1899-12-30T00:00:00"/>
    <d v="1899-12-30T08:28:00"/>
    <s v=" "/>
    <s v=" "/>
    <s v=" "/>
    <d v="1899-12-30T06:24:00"/>
    <s v=" "/>
    <s v=" "/>
    <s v=" "/>
    <s v=" "/>
    <s v=" "/>
    <s v=" "/>
    <s v=" "/>
    <s v=" "/>
    <s v="Ativo"/>
    <x v="2"/>
    <x v="8"/>
    <x v="68"/>
  </r>
  <r>
    <n v="122928"/>
    <x v="829"/>
    <s v="Diretoria Seminovos"/>
    <x v="8"/>
    <s v="LJVRE - Vendas Varejo Seminovos Volta Redonda"/>
    <s v="PAULO FABRICIO SCARAMELO"/>
    <s v="POSITIVO"/>
    <d v="1899-12-30T09:52:00"/>
    <d v="1899-12-30T00:00:00"/>
    <d v="1899-12-30T09:52:00"/>
    <s v=" "/>
    <s v=" "/>
    <s v=" "/>
    <d v="1899-12-30T01:38:00"/>
    <s v=" "/>
    <s v=" "/>
    <s v=" "/>
    <s v=" "/>
    <s v=" "/>
    <s v=" "/>
    <s v=" "/>
    <s v=" "/>
    <s v="Ativo"/>
    <x v="3"/>
    <x v="8"/>
    <x v="132"/>
  </r>
  <r>
    <n v="501250"/>
    <x v="830"/>
    <s v="Diretoria Seminovos"/>
    <x v="8"/>
    <s v="LJCGD - Loja Seminovos Campo Grande Rio de Janeiro"/>
    <s v="FABIO PINTO PEREZ"/>
    <s v="POSITIVO"/>
    <d v="1899-12-30T10:43:00"/>
    <d v="1899-12-30T00:00:00"/>
    <d v="1899-12-30T10:43:00"/>
    <s v=" "/>
    <s v=" "/>
    <d v="1899-12-30T10:29:00"/>
    <d v="1899-12-30T00:14:00"/>
    <s v=" "/>
    <s v=" "/>
    <s v=" "/>
    <s v=" "/>
    <s v=" "/>
    <s v=" "/>
    <s v=" "/>
    <s v=" "/>
    <s v="Contrato de Trabalho Suspenso"/>
    <x v="2"/>
    <x v="8"/>
    <x v="75"/>
  </r>
  <r>
    <n v="130421"/>
    <x v="831"/>
    <s v="Diretoria Seminovos"/>
    <x v="8"/>
    <s v="LJVRE - Loja Seminovos Volta Redonda"/>
    <s v="PAULO FABRICIO SCARAMELO"/>
    <s v="POSITIVO"/>
    <d v="1899-12-30T08:11:00"/>
    <d v="1899-12-30T00:00:00"/>
    <d v="1899-12-30T08:11:00"/>
    <s v=" "/>
    <s v=" "/>
    <s v=" "/>
    <d v="1899-12-30T00:11:00"/>
    <s v=" "/>
    <s v=" "/>
    <s v=" "/>
    <s v=" "/>
    <s v=" "/>
    <s v=" "/>
    <s v=" "/>
    <s v=" "/>
    <s v="Ativo"/>
    <x v="2"/>
    <x v="8"/>
    <x v="132"/>
  </r>
  <r>
    <n v="129826"/>
    <x v="832"/>
    <s v="Diretoria Seminovos"/>
    <x v="8"/>
    <s v="LJITG - Loja Seminovos Itaguaí"/>
    <s v="ANA PAULA DOS SANTOS BATISTA"/>
    <s v="POSITIVO"/>
    <d v="1899-12-31T20:02:00"/>
    <d v="1899-12-30T00:00:00"/>
    <d v="1899-12-31T20:02:00"/>
    <s v=" "/>
    <d v="1899-12-30T03:08:00"/>
    <d v="1899-12-31T08:37:00"/>
    <d v="1899-12-30T06:45:00"/>
    <s v=" "/>
    <s v=" "/>
    <s v=" "/>
    <s v=" "/>
    <s v=" "/>
    <s v=" "/>
    <s v=" "/>
    <s v=" "/>
    <s v="Ativo"/>
    <x v="2"/>
    <x v="8"/>
    <x v="76"/>
  </r>
  <r>
    <n v="501282"/>
    <x v="833"/>
    <s v="Diretoria Seminovos"/>
    <x v="9"/>
    <s v="LJSAO - Vendas Varejo Seminovos São Paulo"/>
    <s v="MARCOS ELISEU JAHRMANN"/>
    <s v="POSITIVO"/>
    <d v="1900-01-02T16:54:00"/>
    <d v="1899-12-30T00:00:00"/>
    <d v="1900-01-02T16:54:00"/>
    <s v=" "/>
    <s v=" "/>
    <s v=" "/>
    <s v=" "/>
    <s v=" "/>
    <s v=" "/>
    <s v=" "/>
    <s v=" "/>
    <s v=" "/>
    <d v="1899-12-31T14:29:00"/>
    <d v="1900-01-01T02:25:00"/>
    <s v=" "/>
    <s v="Contrato de Trabalho Suspenso"/>
    <x v="3"/>
    <x v="9"/>
    <x v="77"/>
  </r>
  <r>
    <n v="130363"/>
    <x v="834"/>
    <s v="Diretoria Seminovos"/>
    <x v="9"/>
    <s v="LJSAO - Vendas Varejo Seminovos São Paulo"/>
    <s v="MARCOS ELISEU JAHRMANN"/>
    <s v="POSITIVO"/>
    <d v="1900-01-02T02:21:00"/>
    <d v="1899-12-30T00:00:00"/>
    <d v="1900-01-02T02:21:00"/>
    <s v=" "/>
    <s v=" "/>
    <s v=" "/>
    <s v=" "/>
    <s v=" "/>
    <s v=" "/>
    <s v=" "/>
    <s v=" "/>
    <s v=" "/>
    <s v=" "/>
    <d v="1899-12-31T15:27:00"/>
    <d v="1899-12-30T23:13:00"/>
    <s v="Ativo"/>
    <x v="3"/>
    <x v="9"/>
    <x v="77"/>
  </r>
  <r>
    <n v="124948"/>
    <x v="835"/>
    <s v="Diretoria Seminovos"/>
    <x v="9"/>
    <s v="LJENC - Vendas Varejo Seminovos Nova Eng. Caetano Alvares"/>
    <s v="LUCIANO ANTONIALLI"/>
    <s v="POSITIVO"/>
    <d v="1900-01-01T16:08:00"/>
    <d v="1899-12-30T00:00:00"/>
    <d v="1900-01-01T16:08:00"/>
    <s v=" "/>
    <s v=" "/>
    <s v=" "/>
    <s v=" "/>
    <s v=" "/>
    <s v=" "/>
    <s v=" "/>
    <s v=" "/>
    <s v=" "/>
    <s v=" "/>
    <d v="1899-12-31T12:14:00"/>
    <d v="1899-12-31T01:32:00"/>
    <s v="Ativo"/>
    <x v="3"/>
    <x v="9"/>
    <x v="79"/>
  </r>
  <r>
    <n v="133179"/>
    <x v="836"/>
    <s v="Diretoria Seminovos"/>
    <x v="9"/>
    <s v="LJSAO - Vendas Varejo Seminovos São Paulo"/>
    <s v="MARCOS ELISEU JAHRMANN"/>
    <s v="POSITIVO"/>
    <d v="1900-01-01T14:47:00"/>
    <d v="1899-12-30T00:00:00"/>
    <d v="1900-01-01T14:47:00"/>
    <s v=" "/>
    <s v=" "/>
    <s v=" "/>
    <s v=" "/>
    <s v=" "/>
    <s v=" "/>
    <s v=" "/>
    <s v=" "/>
    <s v=" "/>
    <d v="1899-12-30T10:21:00"/>
    <d v="1899-12-31T14:08:00"/>
    <d v="1899-12-30T04:37:00"/>
    <s v="Ativo"/>
    <x v="3"/>
    <x v="9"/>
    <x v="77"/>
  </r>
  <r>
    <n v="502185"/>
    <x v="837"/>
    <s v="Diretoria Seminovos"/>
    <x v="9"/>
    <s v="LJSAO - Vendas Varejo Seminovos São Paulo"/>
    <s v="MARCOS ELISEU JAHRMANN"/>
    <s v="POSITIVO"/>
    <d v="1900-01-01T01:43:00"/>
    <d v="1899-12-30T00:00:00"/>
    <d v="1900-01-01T01:43:00"/>
    <s v=" "/>
    <s v=" "/>
    <s v=" "/>
    <s v=" "/>
    <s v=" "/>
    <s v=" "/>
    <s v=" "/>
    <s v=" "/>
    <s v=" "/>
    <d v="1899-12-30T08:20:00"/>
    <d v="1899-12-31T17:23:00"/>
    <s v=" "/>
    <s v="Contrato de Trabalho Suspenso"/>
    <x v="3"/>
    <x v="9"/>
    <x v="77"/>
  </r>
  <r>
    <n v="132595"/>
    <x v="838"/>
    <s v="Diretoria Seminovos"/>
    <x v="9"/>
    <s v="LJENC - Vendas Varejo Seminovos Nova Eng. Caetano Alvares"/>
    <s v="LUCIANO ANTONIALLI"/>
    <s v="POSITIVO"/>
    <d v="1899-12-31T12:38:00"/>
    <d v="1899-12-30T00:00:00"/>
    <d v="1899-12-31T12:38:00"/>
    <s v=" "/>
    <s v=" "/>
    <s v=" "/>
    <s v=" "/>
    <s v=" "/>
    <s v=" "/>
    <s v=" "/>
    <s v=" "/>
    <s v=" "/>
    <d v="1899-12-30T16:31:00"/>
    <d v="1899-12-31T05:20:00"/>
    <d v="1899-12-30T01:52:00"/>
    <s v="Ativo"/>
    <x v="3"/>
    <x v="9"/>
    <x v="79"/>
  </r>
  <r>
    <n v="501264"/>
    <x v="839"/>
    <s v="Diretoria Seminovos"/>
    <x v="9"/>
    <s v="LJSAO - Vendas Varejo Seminovos São Paulo"/>
    <s v="MARCOS ELISEU JAHRMANN"/>
    <s v="POSITIVO"/>
    <d v="1899-12-31T21:00:00"/>
    <d v="1899-12-30T00:00:00"/>
    <d v="1899-12-31T21:00:00"/>
    <s v=" "/>
    <s v=" "/>
    <s v=" "/>
    <s v=" "/>
    <s v=" "/>
    <s v=" "/>
    <d v="1899-12-30T12:22:00"/>
    <d v="1899-12-30T04:10:00"/>
    <s v=" "/>
    <s v=" "/>
    <s v=" "/>
    <d v="1899-12-31T03:14:00"/>
    <s v="Ativo"/>
    <x v="3"/>
    <x v="9"/>
    <x v="77"/>
  </r>
  <r>
    <n v="123793"/>
    <x v="840"/>
    <s v="Diretoria Seminovos"/>
    <x v="9"/>
    <s v="LJSAM - Vendas Varejo Seminovos Santo Amaro"/>
    <s v="RENIVALDO GONCALVES DO NASCIMENTO"/>
    <s v="POSITIVO"/>
    <d v="1899-12-31T13:22:00"/>
    <d v="1899-12-30T00:00:00"/>
    <d v="1899-12-31T13:22:00"/>
    <s v=" "/>
    <s v=" "/>
    <s v=" "/>
    <s v=" "/>
    <s v=" "/>
    <s v=" "/>
    <s v=" "/>
    <s v=" "/>
    <s v=" "/>
    <d v="1899-12-30T22:15:00"/>
    <d v="1899-12-30T15:07:00"/>
    <s v=" "/>
    <s v="Ativo"/>
    <x v="3"/>
    <x v="9"/>
    <x v="84"/>
  </r>
  <r>
    <n v="135264"/>
    <x v="841"/>
    <s v="Diretoria Seminovos"/>
    <x v="9"/>
    <s v="LJSPN - Vendas Varejo Seminovos Vila Guilherme"/>
    <s v="ALAN GUARNIERI NUNES"/>
    <s v="POSITIVO"/>
    <d v="1899-12-31T10:45:00"/>
    <d v="1899-12-30T00:00:00"/>
    <d v="1899-12-31T10:45:00"/>
    <s v=" "/>
    <s v=" "/>
    <s v=" "/>
    <s v=" "/>
    <s v=" "/>
    <s v=" "/>
    <s v=" "/>
    <s v=" "/>
    <s v=" "/>
    <s v=" "/>
    <d v="1899-12-30T05:28:00"/>
    <d v="1899-12-31T00:08:00"/>
    <s v="Ativo"/>
    <x v="3"/>
    <x v="9"/>
    <x v="87"/>
  </r>
  <r>
    <n v="132671"/>
    <x v="842"/>
    <s v="Diretoria Seminovos"/>
    <x v="9"/>
    <s v="LJLEP - Vendas Varejo Seminovos Vila Leopoldina"/>
    <s v="RENIVALDO GONCALVES DO NASCIMENTO"/>
    <s v="POSITIVO"/>
    <d v="1899-12-31T05:27:00"/>
    <d v="1899-12-30T00:00:00"/>
    <d v="1899-12-31T05:27:00"/>
    <s v=" "/>
    <s v=" "/>
    <s v=" "/>
    <s v=" "/>
    <s v=" "/>
    <d v="1899-12-30T03:02:00"/>
    <d v="1899-12-30T18:05:00"/>
    <d v="1899-12-30T08:20:00"/>
    <s v=" "/>
    <s v=" "/>
    <s v=" "/>
    <s v=" "/>
    <s v="Contrato de Trabalho Suspenso"/>
    <x v="3"/>
    <x v="9"/>
    <x v="82"/>
  </r>
  <r>
    <n v="503428"/>
    <x v="843"/>
    <s v="Diretoria Seminovos"/>
    <x v="9"/>
    <s v="LJRJF - Administração Seminovos Ricardo Jafet"/>
    <s v="MARCELA ATAIDE MUNIZ"/>
    <s v="POSITIVO"/>
    <d v="1899-12-30T00:53:00"/>
    <d v="1899-12-30T00:00:00"/>
    <d v="1899-12-30T00:53:00"/>
    <s v=" "/>
    <s v=" "/>
    <d v="1899-12-30T00:11:00"/>
    <d v="1899-12-30T00:14:00"/>
    <s v=" "/>
    <s v=" "/>
    <s v=" "/>
    <s v=" "/>
    <s v=" "/>
    <s v=" "/>
    <s v=" "/>
    <s v=" "/>
    <s v="Ativo"/>
    <x v="5"/>
    <x v="9"/>
    <x v="85"/>
  </r>
  <r>
    <n v="130618"/>
    <x v="844"/>
    <s v="Diretoria Seminovos"/>
    <x v="9"/>
    <s v="LJSAM - Vendas Varejo Seminovos Santo Amaro"/>
    <s v="RENIVALDO GONCALVES DO NASCIMENTO"/>
    <s v="POSITIVO"/>
    <d v="1899-12-31T02:58:00"/>
    <d v="1899-12-30T00:00:00"/>
    <d v="1899-12-31T02:58:00"/>
    <s v=" "/>
    <s v=" "/>
    <s v=" "/>
    <s v=" "/>
    <s v=" "/>
    <s v=" "/>
    <s v=" "/>
    <s v=" "/>
    <s v=" "/>
    <s v=" "/>
    <d v="1899-12-30T05:32:00"/>
    <d v="1899-12-30T13:08:00"/>
    <s v="Ativo"/>
    <x v="3"/>
    <x v="9"/>
    <x v="84"/>
  </r>
  <r>
    <n v="131605"/>
    <x v="845"/>
    <s v="Diretoria Seminovos"/>
    <x v="9"/>
    <s v="LJRJF - Vendas Varejo Seminovos Ricardo Jafet"/>
    <s v="GUILHERME COIMBRA GUIMARAES"/>
    <s v="POSITIVO"/>
    <d v="1899-12-30T14:22:00"/>
    <d v="1899-12-30T00:00:00"/>
    <d v="1899-12-30T14:22:00"/>
    <s v=" "/>
    <s v=" "/>
    <s v=" "/>
    <s v=" "/>
    <s v=" "/>
    <s v=" "/>
    <d v="1899-12-30T00:45:00"/>
    <d v="1899-12-30T08:53:00"/>
    <s v=" "/>
    <s v=" "/>
    <d v="1899-12-30T02:27:00"/>
    <d v="1899-12-30T02:17:00"/>
    <s v="Ativo"/>
    <x v="3"/>
    <x v="9"/>
    <x v="85"/>
  </r>
  <r>
    <n v="122800"/>
    <x v="846"/>
    <s v="Diretoria Seminovos"/>
    <x v="9"/>
    <s v="LJSAO - Vendas Varejo Seminovos São Paulo"/>
    <s v="MARCOS ELISEU JAHRMANN"/>
    <s v="POSITIVO"/>
    <d v="1899-12-30T12:17:00"/>
    <d v="1899-12-30T00:00:00"/>
    <d v="1899-12-30T12:17:00"/>
    <s v=" "/>
    <s v=" "/>
    <s v=" "/>
    <s v=" "/>
    <s v=" "/>
    <s v=" "/>
    <s v=" "/>
    <s v=" "/>
    <s v=" "/>
    <s v=" "/>
    <s v=" "/>
    <d v="1899-12-30T13:58:00"/>
    <s v="Ativo"/>
    <x v="3"/>
    <x v="9"/>
    <x v="77"/>
  </r>
  <r>
    <n v="136464"/>
    <x v="847"/>
    <s v="Diretoria Seminovos"/>
    <x v="9"/>
    <s v="LJSPN - Vendas Varejo Seminovos Vila Guilherme"/>
    <s v="ALAN GUARNIERI NUNES"/>
    <s v="POSITIVO"/>
    <d v="1899-12-30T09:51:00"/>
    <d v="1899-12-30T00:00:00"/>
    <d v="1899-12-30T09:51:00"/>
    <s v=" "/>
    <s v=" "/>
    <s v=" "/>
    <s v=" "/>
    <s v=" "/>
    <s v=" "/>
    <s v=" "/>
    <s v=" "/>
    <s v=" "/>
    <s v=" "/>
    <d v="1899-12-30T09:40:00"/>
    <d v="1899-12-30T00:11:00"/>
    <s v="Ativo"/>
    <x v="3"/>
    <x v="9"/>
    <x v="87"/>
  </r>
  <r>
    <n v="135486"/>
    <x v="848"/>
    <s v="Diretoria Seminovos"/>
    <x v="9"/>
    <s v="LJSPN - Vendas Varejo Seminovos Vila Guilherme"/>
    <s v="ALAN GUARNIERI NUNES"/>
    <s v="POSITIVO"/>
    <d v="1899-12-30T08:49:00"/>
    <d v="1899-12-30T00:00:00"/>
    <d v="1899-12-30T08:49:00"/>
    <s v=" "/>
    <s v=" "/>
    <s v=" "/>
    <s v=" "/>
    <s v=" "/>
    <s v=" "/>
    <s v=" "/>
    <s v=" "/>
    <s v=" "/>
    <s v=" "/>
    <d v="1899-12-30T08:49:00"/>
    <s v=" "/>
    <s v="Contrato de Trabalho Suspenso"/>
    <x v="3"/>
    <x v="9"/>
    <x v="87"/>
  </r>
  <r>
    <n v="132823"/>
    <x v="849"/>
    <s v="Diretoria Seminovos"/>
    <x v="9"/>
    <s v="LJSPN - Vendas Varejo Seminovos Vila Guilherme"/>
    <s v="ALAN GUARNIERI NUNES"/>
    <s v="POSITIVO"/>
    <d v="1899-12-30T18:16:00"/>
    <d v="1899-12-30T00:00:00"/>
    <d v="1899-12-30T18:16:00"/>
    <s v=" "/>
    <s v=" "/>
    <s v=" "/>
    <s v=" "/>
    <s v=" "/>
    <s v=" "/>
    <s v=" "/>
    <s v=" "/>
    <s v=" "/>
    <s v=" "/>
    <s v=" "/>
    <d v="1899-12-30T08:44:00"/>
    <s v="Ativo"/>
    <x v="3"/>
    <x v="9"/>
    <x v="87"/>
  </r>
  <r>
    <n v="132452"/>
    <x v="850"/>
    <s v="Diretoria Seminovos"/>
    <x v="9"/>
    <s v="LJSAM - Vendas Varejo Seminovos Santo Amaro"/>
    <s v="RENIVALDO GONCALVES DO NASCIMENTO"/>
    <s v="POSITIVO"/>
    <d v="1899-12-30T08:17:00"/>
    <d v="1899-12-30T00:00:00"/>
    <d v="1899-12-30T08:17:00"/>
    <s v=" "/>
    <s v=" "/>
    <s v=" "/>
    <s v=" "/>
    <s v=" "/>
    <s v=" "/>
    <s v=" "/>
    <s v=" "/>
    <s v=" "/>
    <s v=" "/>
    <s v=" "/>
    <d v="1899-12-30T08:17:00"/>
    <s v="Ativo"/>
    <x v="3"/>
    <x v="9"/>
    <x v="84"/>
  </r>
  <r>
    <n v="502865"/>
    <x v="851"/>
    <s v="Diretoria Seminovos"/>
    <x v="9"/>
    <s v="LJSAM - Vendas Varejo Seminovos Santo Amaro"/>
    <s v="RENIVALDO GONCALVES DO NASCIMENTO"/>
    <s v="POSITIVO"/>
    <d v="1899-12-30T07:08:00"/>
    <d v="1899-12-30T00:00:00"/>
    <d v="1899-12-30T07:08:00"/>
    <s v=" "/>
    <s v=" "/>
    <s v=" "/>
    <s v=" "/>
    <s v=" "/>
    <s v=" "/>
    <s v=" "/>
    <s v=" "/>
    <s v=" "/>
    <d v="1899-12-30T03:56:00"/>
    <d v="1899-12-30T03:12:00"/>
    <s v=" "/>
    <s v="Contrato de Trabalho Suspenso"/>
    <x v="3"/>
    <x v="9"/>
    <x v="84"/>
  </r>
  <r>
    <n v="121494"/>
    <x v="852"/>
    <s v="Diretoria Seminovos"/>
    <x v="9"/>
    <s v="LJSPN - Loja Seminovos Vila Guilherme"/>
    <s v="ALAN GUARNIERI NUNES"/>
    <s v="POSITIVO"/>
    <d v="1899-12-30T08:30:00"/>
    <d v="1899-12-30T00:00:00"/>
    <d v="1899-12-30T08:30:00"/>
    <s v=" "/>
    <s v=" "/>
    <s v=" "/>
    <s v=" "/>
    <s v=" "/>
    <s v=" "/>
    <s v=" "/>
    <d v="1899-12-30T03:39:00"/>
    <d v="1899-12-30T00:20:00"/>
    <s v=" "/>
    <s v=" "/>
    <s v=" "/>
    <s v="Ativo"/>
    <x v="6"/>
    <x v="9"/>
    <x v="87"/>
  </r>
  <r>
    <n v="136376"/>
    <x v="853"/>
    <s v="Diretoria Seminovos"/>
    <x v="9"/>
    <s v="LJNAU - Vendas Varejo Seminovos Nações Unidas"/>
    <s v="DANIEL RODRIGUES CARDOZO DOS SANTOS JUNIOR"/>
    <s v="POSITIVO"/>
    <d v="1899-12-30T05:14:00"/>
    <d v="1899-12-30T00:00:00"/>
    <d v="1899-12-30T05:14:00"/>
    <s v=" "/>
    <s v=" "/>
    <s v=" "/>
    <s v=" "/>
    <s v=" "/>
    <s v=" "/>
    <s v=" "/>
    <s v=" "/>
    <s v=" "/>
    <d v="1899-12-30T05:14:00"/>
    <s v=" "/>
    <s v=" "/>
    <s v="Contrato de Trabalho Suspenso"/>
    <x v="3"/>
    <x v="9"/>
    <x v="80"/>
  </r>
  <r>
    <n v="503601"/>
    <x v="854"/>
    <s v="Diretoria Seminovos"/>
    <x v="9"/>
    <s v="LJSPP - Vendas Varejo Seminovos Penha"/>
    <s v="FERNANDO CARDOSO DA SILVA FILHO"/>
    <s v="POSITIVO"/>
    <d v="1899-12-30T06:23:00"/>
    <d v="1899-12-30T00:00:00"/>
    <d v="1899-12-30T06:23:00"/>
    <s v=" "/>
    <s v=" "/>
    <s v=" "/>
    <s v=" "/>
    <s v=" "/>
    <s v=" "/>
    <s v=" "/>
    <s v=" "/>
    <s v=" "/>
    <s v=" "/>
    <s v=" "/>
    <d v="1899-12-30T01:30:00"/>
    <s v="Ativo"/>
    <x v="3"/>
    <x v="9"/>
    <x v="78"/>
  </r>
  <r>
    <n v="131646"/>
    <x v="855"/>
    <s v="Diretoria Seminovos"/>
    <x v="9"/>
    <s v="LJSCM - Vendas Varejo Seminovos Shopping Cidade Morumbi SP"/>
    <s v="JOAO FELIPE DE BARROS BICUDO"/>
    <s v="POSITIVO"/>
    <d v="1899-12-30T01:09:00"/>
    <d v="1899-12-30T00:00:00"/>
    <d v="1899-12-30T01:09:00"/>
    <s v=" "/>
    <s v=" "/>
    <s v=" "/>
    <s v=" "/>
    <s v=" "/>
    <s v=" "/>
    <s v=" "/>
    <d v="1899-12-30T01:09:00"/>
    <s v=" "/>
    <s v=" "/>
    <s v=" "/>
    <s v=" "/>
    <s v="Ativo"/>
    <x v="3"/>
    <x v="9"/>
    <x v="88"/>
  </r>
  <r>
    <n v="131905"/>
    <x v="856"/>
    <s v="Diretoria Seminovos"/>
    <x v="9"/>
    <s v="LJSPN - Vendas Varejo Seminovos Vila Guilherme"/>
    <s v="ALAN GUARNIERI NUNES"/>
    <s v="POSITIVO"/>
    <d v="1899-12-30T00:58:00"/>
    <d v="1899-12-30T00:00:00"/>
    <d v="1899-12-30T00:58:00"/>
    <s v=" "/>
    <s v=" "/>
    <s v=" "/>
    <s v=" "/>
    <s v=" "/>
    <s v=" "/>
    <s v=" "/>
    <s v=" "/>
    <s v=" "/>
    <d v="1899-12-30T00:58:00"/>
    <s v=" "/>
    <s v=" "/>
    <s v="Af.Ac.Trabalho"/>
    <x v="3"/>
    <x v="9"/>
    <x v="87"/>
  </r>
  <r>
    <n v="132546"/>
    <x v="857"/>
    <s v="Diretoria Seminovos"/>
    <x v="9"/>
    <s v="LJSPN - Vendas Varejo Seminovos Vila Guilherme"/>
    <s v="ALAN GUARNIERI NUNES"/>
    <s v="POSITIVO"/>
    <d v="1899-12-30T11:53:00"/>
    <d v="1899-12-30T00:00:00"/>
    <d v="1899-12-30T11:53:00"/>
    <s v=" "/>
    <s v=" "/>
    <s v=" "/>
    <s v=" "/>
    <s v=" "/>
    <s v=" "/>
    <s v=" "/>
    <s v=" "/>
    <s v=" "/>
    <s v=" "/>
    <s v=" "/>
    <d v="1899-12-30T00:53:00"/>
    <s v="Ativo"/>
    <x v="3"/>
    <x v="9"/>
    <x v="87"/>
  </r>
  <r>
    <n v="502916"/>
    <x v="858"/>
    <s v="Diretoria Seminovos"/>
    <x v="9"/>
    <s v="LJNAU - Vendas Varejo Seminovos Nações Unidas"/>
    <s v="DANIEL RODRIGUES CARDOZO DOS SANTOS JUNIOR"/>
    <s v="POSITIVO"/>
    <d v="1899-12-30T00:30:00"/>
    <d v="1899-12-30T00:00:00"/>
    <d v="1899-12-30T00:30:00"/>
    <s v=" "/>
    <s v=" "/>
    <s v=" "/>
    <s v=" "/>
    <s v=" "/>
    <s v=" "/>
    <d v="1899-12-30T00:30:00"/>
    <s v=" "/>
    <s v=" "/>
    <s v=" "/>
    <s v=" "/>
    <s v=" "/>
    <s v="Ativo"/>
    <x v="3"/>
    <x v="9"/>
    <x v="80"/>
  </r>
  <r>
    <n v="131903"/>
    <x v="859"/>
    <s v="Diretoria Seminovos"/>
    <x v="9"/>
    <s v="LJCTN - Vendas Varejo Seminovos Center Norte"/>
    <s v="MARCOS CAZARIN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9"/>
    <x v="83"/>
  </r>
  <r>
    <n v="133464"/>
    <x v="860"/>
    <s v="Diretoria Seminovos"/>
    <x v="9"/>
    <s v="LJSMT - Vendas Varejo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9"/>
    <x v="89"/>
  </r>
  <r>
    <n v="133465"/>
    <x v="861"/>
    <s v="Diretoria Seminovos"/>
    <x v="9"/>
    <s v="LJSMT - Vendas Varejo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9"/>
    <x v="89"/>
  </r>
  <r>
    <n v="131761"/>
    <x v="862"/>
    <s v="Diretoria Seminovos"/>
    <x v="9"/>
    <s v="LJRJF - Vendas Varejo Seminovos Ricardo Jafet"/>
    <s v="GUILHERME COIMBRA GUIMARA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9"/>
    <x v="85"/>
  </r>
  <r>
    <n v="133895"/>
    <x v="863"/>
    <s v="Diretoria Seminovos"/>
    <x v="9"/>
    <s v="LJSMT - Vendas Varejo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9"/>
    <x v="89"/>
  </r>
  <r>
    <n v="503107"/>
    <x v="864"/>
    <s v="Diretoria Seminovos"/>
    <x v="9"/>
    <s v="LJLPA - Vendas Varejo Seminovos Lapa"/>
    <s v="BRUNO SILVEIRA KAESER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9"/>
    <x v="86"/>
  </r>
  <r>
    <n v="502655"/>
    <x v="865"/>
    <s v="Diretoria Seminovos"/>
    <x v="9"/>
    <s v="LJSPS - Vendas Varejo Seminovos Francisco Morato"/>
    <s v="JOAO FELIPE DE BARROS BICUD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pos. Invalidez"/>
    <x v="3"/>
    <x v="9"/>
    <x v="90"/>
  </r>
  <r>
    <n v="130182"/>
    <x v="866"/>
    <s v="Diretoria Seminovos"/>
    <x v="9"/>
    <s v="LJLPA - Vendas Varejo Seminovos Lapa"/>
    <s v="BRUNO SILVEIRA KAESER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9"/>
    <x v="86"/>
  </r>
  <r>
    <n v="132924"/>
    <x v="867"/>
    <s v="Diretoria Seminovos"/>
    <x v="9"/>
    <s v="LJSPS - Vendas Varejo Seminovos Francisco Morato"/>
    <s v="SAMUEL SATOSHI SANTOS SUZUK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9"/>
    <x v="90"/>
  </r>
  <r>
    <n v="503137"/>
    <x v="868"/>
    <s v="Diretoria Seminovos"/>
    <x v="9"/>
    <s v="LJRJF - Vendas Varejo Seminovos Ricardo Jafet"/>
    <s v="GUILHERME COIMBRA GUIMARA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9"/>
    <x v="85"/>
  </r>
  <r>
    <n v="121590"/>
    <x v="869"/>
    <s v="Diretoria Seminovos"/>
    <x v="9"/>
    <s v="LJLEP - Loja Seminovos Vila Leopoldina"/>
    <s v="RENIVALDO GONCALVES DO NASCIMEN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9"/>
    <x v="82"/>
  </r>
  <r>
    <n v="118505"/>
    <x v="870"/>
    <s v="Diretoria Seminovos"/>
    <x v="9"/>
    <s v="LJENC - Loja Seminovos Nova Engenheiro Caetano Alvares"/>
    <s v="LUCIANO ANTONIALLI"/>
    <s v="POSITIVO"/>
    <d v="1899-12-30T15:05:00"/>
    <d v="1899-12-30T00:00:00"/>
    <d v="1899-12-30T15:05:00"/>
    <s v=" "/>
    <s v=" "/>
    <s v=" "/>
    <s v=" "/>
    <s v=" "/>
    <s v=" "/>
    <s v=" "/>
    <s v=" "/>
    <s v=" "/>
    <d v="1899-12-30T03:55:00"/>
    <d v="1899-12-30T06:11:00"/>
    <d v="1899-12-30T03:28:00"/>
    <s v="Ativo"/>
    <x v="2"/>
    <x v="9"/>
    <x v="79"/>
  </r>
  <r>
    <n v="117948"/>
    <x v="871"/>
    <s v="Diretoria Seminovos"/>
    <x v="9"/>
    <s v="LJSPS - Loja Seminovos Francisco Morato"/>
    <s v="SAMUEL SATOSHI SANTOS SUZUKI"/>
    <s v="POSITIVO"/>
    <d v="1899-12-30T02:00:00"/>
    <d v="1899-12-30T00:00:00"/>
    <d v="1899-12-30T02:00:00"/>
    <s v=" "/>
    <s v=" "/>
    <s v=" "/>
    <s v=" "/>
    <s v=" "/>
    <s v=" "/>
    <s v=" "/>
    <d v="1899-12-30T02:00:00"/>
    <s v=" "/>
    <s v=" "/>
    <s v=" "/>
    <s v=" "/>
    <s v="Ativo"/>
    <x v="6"/>
    <x v="9"/>
    <x v="90"/>
  </r>
  <r>
    <n v="134335"/>
    <x v="872"/>
    <s v="Diretoria Seminovos"/>
    <x v="9"/>
    <s v="LJSAM - Loja Seminovos Santo Amaro"/>
    <s v="RENIVALDO GONCALVES DO NASCIMENTO"/>
    <s v="POSITIVO"/>
    <d v="1899-12-30T09:50:00"/>
    <d v="1899-12-30T00:00:00"/>
    <d v="1899-12-30T09:50:00"/>
    <s v=" "/>
    <s v=" "/>
    <s v=" "/>
    <s v=" "/>
    <s v=" "/>
    <s v=" "/>
    <s v=" "/>
    <s v=" "/>
    <s v=" "/>
    <d v="1899-12-30T09:35:00"/>
    <d v="1899-12-30T00:15:00"/>
    <s v=" "/>
    <s v="Contrato de Trabalho Suspenso"/>
    <x v="2"/>
    <x v="9"/>
    <x v="84"/>
  </r>
  <r>
    <n v="124329"/>
    <x v="873"/>
    <s v="Diretoria Seminovos"/>
    <x v="9"/>
    <s v="LJSPN - Vendas Varejo Seminovos Vila Guilherme"/>
    <s v="ALAN GUARNIERI NUNES"/>
    <s v="POSITIVO"/>
    <d v="1899-12-30T02:23:00"/>
    <d v="1899-12-30T00:00:00"/>
    <d v="1899-12-30T02:23:00"/>
    <s v=" "/>
    <s v=" "/>
    <s v=" "/>
    <s v=" "/>
    <s v=" "/>
    <s v=" "/>
    <s v=" "/>
    <s v=" "/>
    <s v=" "/>
    <s v=" "/>
    <s v=" "/>
    <d v="1899-12-30T00:26:00"/>
    <s v="Ativo"/>
    <x v="3"/>
    <x v="9"/>
    <x v="87"/>
  </r>
  <r>
    <n v="122378"/>
    <x v="874"/>
    <s v="Diretoria Seminovos"/>
    <x v="9"/>
    <s v="LJRJF - Loja Seminovos Ricardo Jafet"/>
    <s v="GUILHERME COIMBRA GUIMARAES"/>
    <s v="POSITIVO"/>
    <d v="1899-12-30T22:58:00"/>
    <d v="1899-12-30T00:00:00"/>
    <d v="1899-12-30T22:58:00"/>
    <s v=" "/>
    <s v=" "/>
    <s v=" "/>
    <s v=" "/>
    <s v=" "/>
    <s v=" "/>
    <s v=" "/>
    <s v=" "/>
    <s v=" "/>
    <d v="1899-12-30T20:33:00"/>
    <s v=" "/>
    <d v="1899-12-30T01:52:00"/>
    <s v="Ativo"/>
    <x v="2"/>
    <x v="9"/>
    <x v="85"/>
  </r>
  <r>
    <n v="500336"/>
    <x v="875"/>
    <s v="Diretoria Seminovos"/>
    <x v="9"/>
    <s v="LJSAO - Loja Seminovos São Paulo"/>
    <s v="MARCOS ELISEU JAHRMANN"/>
    <s v="POSITIVO"/>
    <d v="1899-12-31T16:40:00"/>
    <d v="1899-12-30T00:00:00"/>
    <d v="1899-12-31T16:40:00"/>
    <s v=" "/>
    <s v=" "/>
    <s v=" "/>
    <s v=" "/>
    <s v=" "/>
    <s v=" "/>
    <s v=" "/>
    <s v=" "/>
    <s v=" "/>
    <s v=" "/>
    <s v=" "/>
    <d v="1899-12-31T04:13:00"/>
    <s v="Ativo"/>
    <x v="6"/>
    <x v="9"/>
    <x v="77"/>
  </r>
  <r>
    <n v="502223"/>
    <x v="876"/>
    <s v="Diretoria Seminovos"/>
    <x v="9"/>
    <s v="LJSAM - Loja Seminovos Santo Amaro"/>
    <s v="RENIVALDO GONCALVES DO NASCIMENTO"/>
    <s v="POSITIVO"/>
    <d v="1899-12-31T16:41:00"/>
    <d v="1899-12-30T00:00:00"/>
    <d v="1899-12-31T16:41:00"/>
    <s v=" "/>
    <s v=" "/>
    <s v=" "/>
    <s v=" "/>
    <s v=" "/>
    <s v=" "/>
    <s v=" "/>
    <s v=" "/>
    <s v=" "/>
    <s v=" "/>
    <d v="1899-12-30T02:25:00"/>
    <d v="1899-12-31T01:28:00"/>
    <s v="Ativo"/>
    <x v="6"/>
    <x v="9"/>
    <x v="84"/>
  </r>
  <r>
    <n v="130743"/>
    <x v="877"/>
    <s v="Diretoria Seminovos"/>
    <x v="9"/>
    <s v="LJCTN - Loja Seminovos Center Norte"/>
    <s v="MARCOS CAZARIN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9"/>
    <x v="83"/>
  </r>
  <r>
    <n v="124123"/>
    <x v="878"/>
    <s v="Diretoria Seminovos"/>
    <x v="9"/>
    <s v="LJSPS - Loja Seminovos Francisco Morato"/>
    <s v="SAMUEL SATOSHI SANTOS SUZUKI"/>
    <s v="POSITIVO"/>
    <d v="1899-12-30T01:23:00"/>
    <d v="1899-12-30T00:00:00"/>
    <d v="1899-12-30T01:23:00"/>
    <s v=" "/>
    <s v=" "/>
    <s v=" "/>
    <s v=" "/>
    <s v=" "/>
    <s v=" "/>
    <s v=" "/>
    <d v="1899-12-30T01:23:00"/>
    <s v=" "/>
    <s v=" "/>
    <s v=" "/>
    <s v=" "/>
    <s v="Ativo"/>
    <x v="7"/>
    <x v="9"/>
    <x v="90"/>
  </r>
  <r>
    <n v="503324"/>
    <x v="879"/>
    <s v="Diretoria Seminovos"/>
    <x v="9"/>
    <s v="LJLPA - Administração Seminovos Lapa"/>
    <s v="MARCELA ATAIDE MUNI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x v="7"/>
    <x v="9"/>
    <x v="86"/>
  </r>
  <r>
    <n v="133248"/>
    <x v="880"/>
    <s v="Diretoria Seminovos"/>
    <x v="9"/>
    <s v="LJSMT - Loja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9"/>
    <x v="89"/>
  </r>
  <r>
    <n v="501042"/>
    <x v="881"/>
    <s v="Diretoria Seminovos"/>
    <x v="9"/>
    <s v="LJSMT - Loja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9"/>
    <x v="89"/>
  </r>
  <r>
    <n v="501125"/>
    <x v="882"/>
    <s v="Diretoria Seminovos"/>
    <x v="9"/>
    <s v="LJSPP - Administração Seminovos Penha"/>
    <s v="JOAO FELIPE DE BARROS BICUD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x v="6"/>
    <x v="9"/>
    <x v="78"/>
  </r>
  <r>
    <n v="135365"/>
    <x v="883"/>
    <s v="Diretoria Seminovos"/>
    <x v="9"/>
    <s v="LJCTN - Loja Seminovos Center Norte"/>
    <s v="MARCOS CAZARIN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9"/>
    <x v="83"/>
  </r>
  <r>
    <n v="500335"/>
    <x v="884"/>
    <s v="Diretoria Seminovos"/>
    <x v="9"/>
    <s v="LJSAO - Loja Seminovos São Paulo"/>
    <s v="MARCOS ELISEU JAHRMANN"/>
    <s v="POSITIVO"/>
    <d v="1899-12-30T02:05:00"/>
    <d v="1899-12-30T00:00:00"/>
    <d v="1899-12-30T02:05:00"/>
    <s v=" "/>
    <s v=" "/>
    <s v=" "/>
    <s v=" "/>
    <s v=" "/>
    <s v=" "/>
    <s v=" "/>
    <s v=" "/>
    <s v=" "/>
    <s v=" "/>
    <d v="1899-12-30T00:04:00"/>
    <d v="1899-12-30T01:30:00"/>
    <s v="Ativo"/>
    <x v="6"/>
    <x v="9"/>
    <x v="77"/>
  </r>
  <r>
    <n v="132266"/>
    <x v="885"/>
    <s v="Diretoria Seminovos"/>
    <x v="9"/>
    <s v="LJRJF - Loja Seminovos Ricardo Jafet"/>
    <s v="GUILHERME COIMBRA GUIMARAES"/>
    <s v="POSITIVO"/>
    <d v="1899-12-30T10:59:00"/>
    <d v="1899-12-30T00:00:00"/>
    <d v="1899-12-30T10:59:00"/>
    <s v=" "/>
    <s v=" "/>
    <s v=" "/>
    <s v=" "/>
    <s v=" "/>
    <s v=" "/>
    <s v=" "/>
    <s v=" "/>
    <s v=" "/>
    <s v=" "/>
    <s v=" "/>
    <d v="1899-12-30T09:09:00"/>
    <s v="Ativo"/>
    <x v="2"/>
    <x v="9"/>
    <x v="85"/>
  </r>
  <r>
    <n v="131606"/>
    <x v="886"/>
    <s v="Diretoria Seminovos"/>
    <x v="9"/>
    <s v="LJRJF - Loja Seminovos Ricardo Jafet"/>
    <s v="GUILHERME COIMBRA GUIMARAES"/>
    <s v="POSITIVO"/>
    <d v="1899-12-30T13:39:00"/>
    <d v="1899-12-30T00:00:00"/>
    <d v="1899-12-30T13:39:00"/>
    <s v=" "/>
    <s v=" "/>
    <s v=" "/>
    <s v=" "/>
    <s v=" "/>
    <s v=" "/>
    <s v=" "/>
    <s v=" "/>
    <s v=" "/>
    <s v=" "/>
    <s v=" "/>
    <d v="1899-12-30T12:29:00"/>
    <s v="Ativo"/>
    <x v="6"/>
    <x v="9"/>
    <x v="85"/>
  </r>
  <r>
    <n v="132965"/>
    <x v="887"/>
    <s v="Diretoria Seminovos"/>
    <x v="9"/>
    <s v="LJSPN - Loja Seminovos Vila Guilherme"/>
    <s v="ALAN GUARNIERI NUN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9"/>
    <x v="87"/>
  </r>
  <r>
    <n v="134146"/>
    <x v="888"/>
    <s v="Diretoria Seminovos"/>
    <x v="10"/>
    <s v="LJSJP - Vendas Varejo Seminovos São José do Rio Preto"/>
    <s v="FABIANO GOMES DE CAMPOS"/>
    <s v="POSITIVO"/>
    <d v="1900-01-08T00:16:00"/>
    <d v="1899-12-30T00:00:00"/>
    <d v="1900-01-08T00:16:00"/>
    <s v=" "/>
    <s v=" "/>
    <s v=" "/>
    <d v="1899-12-30T00:19:00"/>
    <d v="1900-01-01T12:44:00"/>
    <d v="1900-01-01T18:20:00"/>
    <d v="1900-01-01T10:12:00"/>
    <s v=" "/>
    <s v=" "/>
    <d v="1899-12-30T07:36:00"/>
    <d v="1899-12-30T10:31:00"/>
    <d v="1899-12-30T10:29:00"/>
    <s v="Ativo"/>
    <x v="3"/>
    <x v="10"/>
    <x v="99"/>
  </r>
  <r>
    <n v="135711"/>
    <x v="889"/>
    <s v="Diretoria Seminovos"/>
    <x v="10"/>
    <s v="LJSJP - Vendas Varejo Seminovos São José do Rio Preto"/>
    <s v="FABIANO GOMES DE CAMPOS"/>
    <s v="POSITIVO"/>
    <d v="1900-01-03T13:30:00"/>
    <d v="1899-12-30T00:00:00"/>
    <d v="1900-01-03T13:30:00"/>
    <s v=" "/>
    <s v=" "/>
    <s v=" "/>
    <s v=" "/>
    <s v=" "/>
    <d v="1899-12-31T09:31:00"/>
    <d v="1900-01-01T21:12:00"/>
    <d v="1899-12-30T01:02:00"/>
    <s v=" "/>
    <d v="1899-12-30T05:00:00"/>
    <d v="1899-12-30T00:45:00"/>
    <s v=" "/>
    <s v="Ativo"/>
    <x v="3"/>
    <x v="10"/>
    <x v="99"/>
  </r>
  <r>
    <n v="134626"/>
    <x v="890"/>
    <s v="Diretoria Seminovos"/>
    <x v="10"/>
    <s v="LJPRC - Vendas Varejo Seminovos Piracicaba"/>
    <s v="LEANDRO LUCIANO BIASINI"/>
    <s v="POSITIVO"/>
    <d v="1900-01-02T10:58:00"/>
    <d v="1899-12-30T00:00:00"/>
    <d v="1900-01-02T10:58:00"/>
    <s v=" "/>
    <s v=" "/>
    <s v=" "/>
    <s v=" "/>
    <s v=" "/>
    <s v=" "/>
    <s v=" "/>
    <s v=" "/>
    <s v=" "/>
    <d v="1900-01-01T18:47:00"/>
    <d v="1899-12-30T16:11:00"/>
    <s v=" "/>
    <s v="Ativo"/>
    <x v="3"/>
    <x v="10"/>
    <x v="96"/>
  </r>
  <r>
    <n v="132797"/>
    <x v="891"/>
    <s v="Diretoria Seminovos"/>
    <x v="10"/>
    <s v="LJIND - Vendas Varejo Seminovos Indaiatuba"/>
    <s v="EDELCIO DE SOUZA SILVA"/>
    <s v="POSITIVO"/>
    <d v="1900-01-02T02:06:00"/>
    <d v="1899-12-30T00:00:00"/>
    <d v="1900-01-02T02:06:00"/>
    <s v=" "/>
    <s v=" "/>
    <s v=" "/>
    <d v="1899-12-30T16:41:00"/>
    <d v="1899-12-30T17:32:00"/>
    <d v="1899-12-30T14:33:00"/>
    <d v="1899-12-31T00:02:00"/>
    <d v="1899-12-30T01:18:00"/>
    <s v=" "/>
    <s v=" "/>
    <s v=" "/>
    <s v=" "/>
    <s v="Ativo"/>
    <x v="3"/>
    <x v="10"/>
    <x v="98"/>
  </r>
  <r>
    <n v="132766"/>
    <x v="892"/>
    <s v="Diretoria Seminovos"/>
    <x v="10"/>
    <s v="LJBAU - Vendas Varejo Seminovos Bauru"/>
    <s v="EDUARDO HARUTOSHI HORIKAWA"/>
    <s v="POSITIVO"/>
    <d v="1900-01-01T02:54:00"/>
    <d v="1899-12-30T00:00:00"/>
    <d v="1900-01-01T02:54:00"/>
    <s v=" "/>
    <s v=" "/>
    <s v=" "/>
    <s v=" "/>
    <d v="1899-12-30T15:43:00"/>
    <d v="1899-12-30T17:32:00"/>
    <d v="1899-12-30T14:53:00"/>
    <d v="1899-12-30T02:46:00"/>
    <s v=" "/>
    <s v=" "/>
    <s v=" "/>
    <s v=" "/>
    <s v="Ativo"/>
    <x v="3"/>
    <x v="10"/>
    <x v="104"/>
  </r>
  <r>
    <n v="131116"/>
    <x v="893"/>
    <s v="Diretoria Seminovos"/>
    <x v="10"/>
    <s v="LJJUN - Vendas Varejo Seminovos Jundiaí"/>
    <s v="EDUARDO DE MELO JAGOBUCCI"/>
    <s v="POSITIVO"/>
    <d v="1899-12-31T23:50:00"/>
    <d v="1899-12-30T00:00:00"/>
    <d v="1899-12-31T23:50:00"/>
    <s v=" "/>
    <s v=" "/>
    <s v=" "/>
    <s v=" "/>
    <s v=" "/>
    <s v=" "/>
    <d v="1899-12-30T03:37:00"/>
    <d v="1899-12-30T11:25:00"/>
    <s v=" "/>
    <s v=" "/>
    <d v="1899-12-31T08:48:00"/>
    <s v=" "/>
    <s v="Ativo"/>
    <x v="3"/>
    <x v="10"/>
    <x v="101"/>
  </r>
  <r>
    <n v="136211"/>
    <x v="894"/>
    <s v="Diretoria Seminovos"/>
    <x v="10"/>
    <s v="LJAMC - Vendas Varejo Seminovos Americana"/>
    <s v="ENIO GRECHI NETO"/>
    <s v="POSITIVO"/>
    <d v="1899-12-31T17:44:00"/>
    <d v="1899-12-30T00:00:00"/>
    <d v="1899-12-31T17:44:00"/>
    <s v=" "/>
    <s v=" "/>
    <s v=" "/>
    <s v=" "/>
    <s v=" "/>
    <s v=" "/>
    <s v=" "/>
    <s v=" "/>
    <s v=" "/>
    <d v="1899-12-30T02:25:00"/>
    <d v="1899-12-31T02:59:00"/>
    <d v="1899-12-30T06:46:00"/>
    <s v="Ativo"/>
    <x v="3"/>
    <x v="10"/>
    <x v="95"/>
  </r>
  <r>
    <n v="135838"/>
    <x v="895"/>
    <s v="Diretoria Seminovos"/>
    <x v="10"/>
    <s v="LJCPN - Vendas Varejo Seminovos Campinas Jardim do Lago"/>
    <s v="JULIO CESAR SEVERINO SOUZA"/>
    <s v="POSITIVO"/>
    <d v="1899-12-31T11:06:00"/>
    <d v="1899-12-30T00:00:00"/>
    <d v="1899-12-31T11:06:00"/>
    <s v=" "/>
    <s v=" "/>
    <s v=" "/>
    <s v=" "/>
    <s v=" "/>
    <s v=" "/>
    <d v="1899-12-30T11:44:00"/>
    <d v="1899-12-30T07:11:00"/>
    <d v="1899-12-30T00:45:00"/>
    <s v=" "/>
    <d v="1899-12-30T15:26:00"/>
    <s v=" "/>
    <s v="Ativo"/>
    <x v="3"/>
    <x v="10"/>
    <x v="133"/>
  </r>
  <r>
    <n v="130040"/>
    <x v="896"/>
    <s v="Diretoria Seminovos"/>
    <x v="10"/>
    <s v="LJAMC - Vendas Varejo Seminovos Americana"/>
    <s v="ENIO GRECHI NETO"/>
    <s v="POSITIVO"/>
    <d v="1900-01-01T06:24:00"/>
    <d v="1899-12-30T00:00:00"/>
    <d v="1900-01-01T06:24:00"/>
    <s v=" "/>
    <s v=" "/>
    <s v=" "/>
    <s v=" "/>
    <s v=" "/>
    <s v=" "/>
    <s v=" "/>
    <s v=" "/>
    <s v=" "/>
    <d v="1899-12-30T04:21:00"/>
    <d v="1899-12-30T17:07:00"/>
    <d v="1899-12-30T10:36:00"/>
    <s v="Ativo"/>
    <x v="3"/>
    <x v="10"/>
    <x v="95"/>
  </r>
  <r>
    <n v="133896"/>
    <x v="897"/>
    <s v="Diretoria Seminovos"/>
    <x v="10"/>
    <s v="LJAMC - Vendas Varejo Seminovos Americana"/>
    <s v="ENIO GRECHI NETO"/>
    <s v="POSITIVO"/>
    <d v="1899-12-31T07:28:00"/>
    <d v="1899-12-30T00:00:00"/>
    <d v="1899-12-31T07:28:00"/>
    <s v=" "/>
    <s v=" "/>
    <s v=" "/>
    <s v=" "/>
    <s v=" "/>
    <s v=" "/>
    <s v=" "/>
    <s v=" "/>
    <s v=" "/>
    <s v=" "/>
    <d v="1899-12-30T14:55:00"/>
    <d v="1899-12-30T16:27:00"/>
    <s v="Ativo"/>
    <x v="3"/>
    <x v="10"/>
    <x v="95"/>
  </r>
  <r>
    <n v="134533"/>
    <x v="898"/>
    <s v="Diretoria Seminovos"/>
    <x v="10"/>
    <s v="LJJUN - Vendas Varejo Seminovos Jundiaí"/>
    <s v="EDUARDO DE MELO JAGOBUCCI"/>
    <s v="POSITIVO"/>
    <d v="1899-12-31T03:22:00"/>
    <d v="1899-12-30T00:00:00"/>
    <d v="1899-12-31T03:22:00"/>
    <s v=" "/>
    <s v=" "/>
    <s v=" "/>
    <s v=" "/>
    <s v=" "/>
    <s v=" "/>
    <s v=" "/>
    <s v=" "/>
    <s v=" "/>
    <s v=" "/>
    <d v="1899-12-31T03:22:00"/>
    <s v=" "/>
    <s v="Ativo"/>
    <x v="3"/>
    <x v="10"/>
    <x v="101"/>
  </r>
  <r>
    <n v="134141"/>
    <x v="899"/>
    <s v="Diretoria Seminovos"/>
    <x v="10"/>
    <s v="LJRBP - Vendas Varejo Seminovos Ribeirão Preto"/>
    <s v="EVARISTO ALVES MATOS"/>
    <s v="POSITIVO"/>
    <d v="1899-12-30T12:09:00"/>
    <d v="1899-12-30T00:00:00"/>
    <d v="1899-12-30T12:09:00"/>
    <s v=" "/>
    <s v=" "/>
    <s v=" "/>
    <s v=" "/>
    <s v=" "/>
    <s v=" "/>
    <s v=" "/>
    <s v=" "/>
    <s v=" "/>
    <s v=" "/>
    <d v="1899-12-30T17:21:00"/>
    <d v="1899-12-30T02:36:00"/>
    <s v="Ativo"/>
    <x v="3"/>
    <x v="10"/>
    <x v="105"/>
  </r>
  <r>
    <n v="136411"/>
    <x v="900"/>
    <s v="Diretoria Seminovos"/>
    <x v="10"/>
    <s v="LJLDB - Vendas Varejo Seminovos Londrina"/>
    <s v="ANA RITA NEVES MOREIRA"/>
    <s v="POSITIVO"/>
    <d v="1899-12-30T19:28:00"/>
    <d v="1899-12-30T00:00:00"/>
    <d v="1899-12-30T19:28:00"/>
    <s v=" "/>
    <s v=" "/>
    <s v=" "/>
    <s v=" "/>
    <s v=" "/>
    <s v=" "/>
    <s v=" "/>
    <s v=" "/>
    <s v=" "/>
    <s v=" "/>
    <d v="1899-12-30T19:28:00"/>
    <s v=" "/>
    <s v="Contrato de Trabalho Suspenso"/>
    <x v="3"/>
    <x v="10"/>
    <x v="100"/>
  </r>
  <r>
    <n v="133267"/>
    <x v="901"/>
    <s v="Diretoria Seminovos"/>
    <x v="10"/>
    <s v="LJAMC - Vendas Varejo Seminovos Americana"/>
    <s v="ENIO GRECHI NETO"/>
    <s v="POSITIVO"/>
    <d v="1899-12-30T19:06:00"/>
    <d v="1899-12-30T00:00:00"/>
    <d v="1899-12-30T19:06:00"/>
    <s v=" "/>
    <s v=" "/>
    <s v=" "/>
    <s v=" "/>
    <s v=" "/>
    <s v=" "/>
    <s v=" "/>
    <s v=" "/>
    <s v=" "/>
    <s v=" "/>
    <d v="1899-12-30T19:06:00"/>
    <s v=" "/>
    <s v="Ativo"/>
    <x v="3"/>
    <x v="10"/>
    <x v="95"/>
  </r>
  <r>
    <n v="135419"/>
    <x v="902"/>
    <s v="Diretoria Seminovos"/>
    <x v="10"/>
    <s v="LJRBP - Vendas Varejo Seminovos Ribeirão Preto"/>
    <s v="EVARISTO ALVES MATOS"/>
    <s v="POSITIVO"/>
    <d v="1899-12-30T10:25:00"/>
    <d v="1899-12-30T00:00:00"/>
    <d v="1899-12-30T10:25:00"/>
    <s v=" "/>
    <s v=" "/>
    <s v=" "/>
    <s v=" "/>
    <s v=" "/>
    <s v=" "/>
    <s v=" "/>
    <s v=" "/>
    <s v=" "/>
    <s v=" "/>
    <d v="1899-12-30T14:41:00"/>
    <d v="1899-12-30T00:20:00"/>
    <s v="Ativo"/>
    <x v="3"/>
    <x v="10"/>
    <x v="105"/>
  </r>
  <r>
    <n v="131169"/>
    <x v="903"/>
    <s v="Diretoria Seminovos"/>
    <x v="10"/>
    <s v="LJBAU - Vendas Varejo Seminovos Bauru"/>
    <s v="EDUARDO HARUTOSHI HORIKAWA"/>
    <s v="POSITIVO"/>
    <d v="1899-12-30T03:37:00"/>
    <d v="1899-12-30T00:00:00"/>
    <d v="1899-12-30T03:37:00"/>
    <s v=" "/>
    <s v=" "/>
    <s v=" "/>
    <s v=" "/>
    <s v=" "/>
    <s v=" "/>
    <s v=" "/>
    <s v=" "/>
    <s v=" "/>
    <d v="1899-12-30T08:33:00"/>
    <d v="1899-12-30T01:33:00"/>
    <d v="1899-12-30T01:16:00"/>
    <s v="Ativo"/>
    <x v="3"/>
    <x v="10"/>
    <x v="104"/>
  </r>
  <r>
    <n v="125539"/>
    <x v="904"/>
    <s v="Diretoria Seminovos"/>
    <x v="10"/>
    <s v="LJPRC - Vendas Varejo Seminovos Piracicaba"/>
    <s v="LEANDRO LUCIANO BIASINI"/>
    <s v="POSITIVO"/>
    <d v="1899-12-30T09:50:00"/>
    <d v="1899-12-30T00:00:00"/>
    <d v="1899-12-30T09:50:00"/>
    <s v=" "/>
    <s v=" "/>
    <s v=" "/>
    <s v=" "/>
    <s v=" "/>
    <d v="1899-12-30T06:12:00"/>
    <d v="1899-12-30T03:14:00"/>
    <d v="1899-12-30T00:24:00"/>
    <s v=" "/>
    <s v=" "/>
    <s v=" "/>
    <s v=" "/>
    <s v="Ativo"/>
    <x v="3"/>
    <x v="10"/>
    <x v="96"/>
  </r>
  <r>
    <n v="136084"/>
    <x v="905"/>
    <s v="Diretoria Seminovos"/>
    <x v="10"/>
    <s v="LJSJP - Vendas Varejo Seminovos São José do Rio Preto"/>
    <s v="FABIANO GOMES DE CAMPOS"/>
    <s v="POSITIVO"/>
    <d v="1899-12-30T09:24:00"/>
    <d v="1899-12-30T00:00:00"/>
    <d v="1899-12-30T09:24:00"/>
    <s v=" "/>
    <s v=" "/>
    <s v=" "/>
    <s v=" "/>
    <s v=" "/>
    <s v=" "/>
    <d v="1899-12-30T04:24:00"/>
    <s v=" "/>
    <s v=" "/>
    <d v="1899-12-30T05:00:00"/>
    <s v=" "/>
    <s v=" "/>
    <s v="Ativo"/>
    <x v="3"/>
    <x v="10"/>
    <x v="99"/>
  </r>
  <r>
    <n v="131009"/>
    <x v="906"/>
    <s v="Diretoria Seminovos"/>
    <x v="10"/>
    <s v="LJARA - Vendas Varejo Seminovos Araraquara"/>
    <s v="PETERSON CRAVEIRO FERNANDES"/>
    <s v="POSITIVO"/>
    <d v="1899-12-30T08:07:00"/>
    <d v="1899-12-30T00:00:00"/>
    <d v="1899-12-30T08:07:00"/>
    <s v=" "/>
    <s v=" "/>
    <s v=" "/>
    <s v=" "/>
    <s v=" "/>
    <s v=" "/>
    <s v=" "/>
    <s v=" "/>
    <s v=" "/>
    <s v=" "/>
    <d v="1899-12-30T05:43:00"/>
    <d v="1899-12-30T02:24:00"/>
    <s v="Ativo"/>
    <x v="3"/>
    <x v="10"/>
    <x v="103"/>
  </r>
  <r>
    <n v="135710"/>
    <x v="907"/>
    <s v="Diretoria Seminovos"/>
    <x v="10"/>
    <s v="LJPRC - Vendas Varejo Seminovos Piracicaba"/>
    <s v="LEANDRO LUCIANO BIASINI"/>
    <s v="POSITIVO"/>
    <d v="1899-12-30T07:24:00"/>
    <d v="1899-12-30T00:00:00"/>
    <d v="1899-12-30T07:24:00"/>
    <s v=" "/>
    <s v=" "/>
    <s v=" "/>
    <s v=" "/>
    <s v=" "/>
    <s v=" "/>
    <s v=" "/>
    <s v=" "/>
    <s v=" "/>
    <d v="1899-12-30T07:24:00"/>
    <s v=" "/>
    <s v=" "/>
    <s v="Ativo"/>
    <x v="3"/>
    <x v="10"/>
    <x v="96"/>
  </r>
  <r>
    <n v="133559"/>
    <x v="908"/>
    <s v="Diretoria Seminovos"/>
    <x v="10"/>
    <s v="LJBAU - Loja Seminovos Bauru"/>
    <s v="EDUARDO HARUTOSHI HORIKAWA"/>
    <s v="POSITIVO"/>
    <d v="1899-12-30T00:08:00"/>
    <d v="1899-12-30T00:00:00"/>
    <d v="1899-12-30T00:08:00"/>
    <s v=" "/>
    <s v=" "/>
    <s v=" "/>
    <s v=" "/>
    <s v=" "/>
    <s v=" "/>
    <s v=" "/>
    <s v=" "/>
    <s v=" "/>
    <s v=" "/>
    <s v=" "/>
    <d v="1899-12-30T01:43:00"/>
    <s v="Ativo"/>
    <x v="2"/>
    <x v="10"/>
    <x v="104"/>
  </r>
  <r>
    <n v="503407"/>
    <x v="909"/>
    <s v="Diretoria Seminovos"/>
    <x v="10"/>
    <s v="LJMGF - Vendas Varejo Seminovos Maringá"/>
    <s v="JOHN LESLIE ROSSONI"/>
    <s v="POSITIVO"/>
    <d v="1899-12-30T07:42:00"/>
    <d v="1899-12-30T00:00:00"/>
    <d v="1899-12-30T07:42:00"/>
    <s v=" "/>
    <s v=" "/>
    <s v=" "/>
    <s v=" "/>
    <s v=" "/>
    <s v=" "/>
    <s v=" "/>
    <s v=" "/>
    <s v=" "/>
    <s v=" "/>
    <s v=" "/>
    <d v="1899-12-30T04:30:00"/>
    <s v="Ativo"/>
    <x v="3"/>
    <x v="10"/>
    <x v="93"/>
  </r>
  <r>
    <n v="136626"/>
    <x v="910"/>
    <s v="Diretoria Seminovos"/>
    <x v="10"/>
    <s v="LJCPN - Vendas Varejo Seminovos Campinas Jardim do Lago"/>
    <s v="JULIO CESAR SEVERINO SOUZA"/>
    <s v="POSITIVO"/>
    <d v="1899-12-30T04:01:00"/>
    <d v="1899-12-30T00:00:00"/>
    <d v="1899-12-30T04:01:00"/>
    <s v=" "/>
    <s v=" "/>
    <s v=" "/>
    <s v=" "/>
    <s v=" "/>
    <s v=" "/>
    <d v="1899-12-30T02:49:00"/>
    <d v="1899-12-30T01:12:00"/>
    <s v=" "/>
    <s v=" "/>
    <s v=" "/>
    <s v=" "/>
    <s v="Ativo"/>
    <x v="3"/>
    <x v="10"/>
    <x v="133"/>
  </r>
  <r>
    <n v="134143"/>
    <x v="911"/>
    <s v="Diretoria Seminovos"/>
    <x v="10"/>
    <s v="LJRBP - Vendas Varejo Seminovos Ribeirão Preto"/>
    <s v="EVARISTO ALVES MATOS"/>
    <s v="POSITIVO"/>
    <d v="1899-12-30T01:24:00"/>
    <d v="1899-12-30T00:00:00"/>
    <d v="1899-12-30T01:24:00"/>
    <s v=" "/>
    <s v=" "/>
    <s v=" "/>
    <s v=" "/>
    <s v=" "/>
    <s v=" "/>
    <s v=" "/>
    <s v=" "/>
    <s v=" "/>
    <s v=" "/>
    <d v="1899-12-30T01:08:00"/>
    <d v="1899-12-30T01:28:00"/>
    <s v="Ativo"/>
    <x v="3"/>
    <x v="10"/>
    <x v="105"/>
  </r>
  <r>
    <n v="129447"/>
    <x v="912"/>
    <s v="Diretoria Seminovos"/>
    <x v="10"/>
    <s v="LJJUN - Vendas Varejo Seminovos Jundiaí"/>
    <s v="EDUARDO DE MELO JAGOBUCCI"/>
    <s v="POSITIVO"/>
    <d v="1899-12-30T01:36:00"/>
    <d v="1899-12-30T00:00:00"/>
    <d v="1899-12-30T01:36:00"/>
    <s v=" "/>
    <s v=" "/>
    <s v=" "/>
    <s v=" "/>
    <s v=" "/>
    <s v=" "/>
    <s v=" "/>
    <s v=" "/>
    <s v=" "/>
    <s v=" "/>
    <d v="1899-12-30T00:48:00"/>
    <d v="1899-12-30T00:48:00"/>
    <s v="Ativo"/>
    <x v="3"/>
    <x v="10"/>
    <x v="101"/>
  </r>
  <r>
    <n v="129813"/>
    <x v="913"/>
    <s v="Diretoria Seminovos"/>
    <x v="10"/>
    <s v="LJMAR - Vendas Varejo Seminovos Marília"/>
    <s v="FABIO DAISUKE DANDOKO"/>
    <s v="POSITIVO"/>
    <d v="1899-12-30T00:31:00"/>
    <d v="1899-12-30T00:00:00"/>
    <d v="1899-12-30T00:31:00"/>
    <s v=" "/>
    <s v=" "/>
    <s v=" "/>
    <s v=" "/>
    <s v=" "/>
    <s v=" "/>
    <s v=" "/>
    <d v="1899-12-30T00:31:00"/>
    <s v=" "/>
    <s v=" "/>
    <s v=" "/>
    <s v=" "/>
    <s v="Ativo"/>
    <x v="3"/>
    <x v="10"/>
    <x v="92"/>
  </r>
  <r>
    <n v="134713"/>
    <x v="914"/>
    <s v="Diretoria Seminovos"/>
    <x v="10"/>
    <s v="LJAMC - Vendas Varejo Seminovos Americana"/>
    <s v="ENIO GRECHI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95"/>
  </r>
  <r>
    <n v="132818"/>
    <x v="915"/>
    <s v="Diretoria Seminovos"/>
    <x v="10"/>
    <s v="LJIND - Vendas Varejo Seminovos Indaiatuba"/>
    <s v="EDELCIO DE SOUZ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98"/>
  </r>
  <r>
    <n v="135839"/>
    <x v="916"/>
    <s v="Diretoria Seminovos"/>
    <x v="10"/>
    <s v="LJCPN - Vendas Varejo Seminovos Campinas Jardim do Lago"/>
    <s v="JULIO CESAR SEVERINO SOUZ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133"/>
  </r>
  <r>
    <n v="135844"/>
    <x v="917"/>
    <s v="Diretoria Seminovos"/>
    <x v="10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10"/>
    <x v="102"/>
  </r>
  <r>
    <n v="129847"/>
    <x v="918"/>
    <s v="Diretoria Seminovos"/>
    <x v="10"/>
    <s v="LJPRC - Vendas Varejo Seminovos Piracicaba"/>
    <s v="LEANDRO LUCIANO BIASIN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96"/>
  </r>
  <r>
    <n v="125622"/>
    <x v="919"/>
    <s v="Diretoria Seminovos"/>
    <x v="10"/>
    <s v="LJARA - Vendas Varejo Seminovos Araraquara"/>
    <s v="PETERSON CRAVEIRO FERNAND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103"/>
  </r>
  <r>
    <n v="133634"/>
    <x v="920"/>
    <s v="Diretoria Seminovos"/>
    <x v="10"/>
    <s v="LJCPK - Vendas Varejo Seminovos Campinas"/>
    <s v="MARCELO RIBEIRO ANTON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10"/>
    <x v="91"/>
  </r>
  <r>
    <n v="131223"/>
    <x v="921"/>
    <s v="Diretoria Seminovos"/>
    <x v="10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Férias"/>
    <x v="3"/>
    <x v="10"/>
    <x v="102"/>
  </r>
  <r>
    <n v="125392"/>
    <x v="922"/>
    <s v="Diretoria Seminovos"/>
    <x v="10"/>
    <s v="LJJUN - Vendas Varejo Seminovos Jundiaí"/>
    <s v="EDUARDO DE MELO JAGOBUCC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101"/>
  </r>
  <r>
    <n v="134739"/>
    <x v="923"/>
    <s v="Diretoria Seminovos"/>
    <x v="10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102"/>
  </r>
  <r>
    <n v="130277"/>
    <x v="924"/>
    <s v="Diretoria Seminovos"/>
    <x v="10"/>
    <s v="LJMAR - Vendas Varejo Seminovos Marília"/>
    <s v="FABIO DAISUKE DANDOK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92"/>
  </r>
  <r>
    <n v="125679"/>
    <x v="925"/>
    <s v="Diretoria Seminovos"/>
    <x v="10"/>
    <s v="LJCPK - Vendas Varejo Seminovos Campinas"/>
    <s v="MARCELO RIBEIRO ANTON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91"/>
  </r>
  <r>
    <n v="131776"/>
    <x v="926"/>
    <s v="Diretoria Seminovos"/>
    <x v="10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10"/>
    <x v="102"/>
  </r>
  <r>
    <n v="132842"/>
    <x v="927"/>
    <s v="Diretoria Seminovos"/>
    <x v="10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102"/>
  </r>
  <r>
    <n v="135432"/>
    <x v="928"/>
    <s v="Diretoria Seminovos"/>
    <x v="10"/>
    <s v="LJSTB - Vendas Varejo Seminovos Santa Bárbara do Oeste"/>
    <s v="PABLO HENRIQUE CAMPOS MIGUEL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0"/>
    <x v="94"/>
  </r>
  <r>
    <n v="119156"/>
    <x v="929"/>
    <s v="Diretoria Seminovos"/>
    <x v="10"/>
    <s v="LJLDB - Loja Seminovos Londrina"/>
    <s v="ANA RITA NEVES MOREIRA"/>
    <s v="POSITIVO"/>
    <d v="1899-12-30T11:51:00"/>
    <d v="1899-12-30T00:00:00"/>
    <d v="1899-12-30T11:51:00"/>
    <s v=" "/>
    <s v=" "/>
    <s v=" "/>
    <s v=" "/>
    <s v=" "/>
    <s v=" "/>
    <s v=" "/>
    <s v=" "/>
    <s v=" "/>
    <s v=" "/>
    <d v="1899-12-30T02:35:00"/>
    <d v="1899-12-30T08:43:00"/>
    <s v="Ativo"/>
    <x v="2"/>
    <x v="10"/>
    <x v="100"/>
  </r>
  <r>
    <n v="118097"/>
    <x v="930"/>
    <s v="Diretoria Seminovos"/>
    <x v="10"/>
    <s v="LJPRC - Loja Seminovos Piracicaba"/>
    <s v="LEANDRO LUCIANO BIASINI"/>
    <s v="POSITIVO"/>
    <d v="1899-12-30T07:59:00"/>
    <d v="1899-12-30T00:00:00"/>
    <d v="1899-12-30T07:59:00"/>
    <s v=" "/>
    <s v=" "/>
    <s v=" "/>
    <s v=" "/>
    <s v=" "/>
    <s v=" "/>
    <s v=" "/>
    <s v=" "/>
    <s v=" "/>
    <d v="1899-12-30T07:59:00"/>
    <s v=" "/>
    <s v=" "/>
    <s v="Ativo"/>
    <x v="2"/>
    <x v="10"/>
    <x v="96"/>
  </r>
  <r>
    <n v="129385"/>
    <x v="931"/>
    <s v="Diretoria Seminovos"/>
    <x v="10"/>
    <s v="LJTAQ - Loja Seminovos Taquaral Campinas"/>
    <s v="ANDRE LUIZ LOPES"/>
    <s v="POSITIVO"/>
    <d v="1899-12-30T07:33:00"/>
    <d v="1899-12-30T00:00:00"/>
    <d v="1899-12-30T07:33:00"/>
    <s v=" "/>
    <s v=" "/>
    <s v=" "/>
    <s v=" "/>
    <s v=" "/>
    <s v=" "/>
    <s v=" "/>
    <s v=" "/>
    <s v=" "/>
    <s v=" "/>
    <d v="1899-12-30T05:55:00"/>
    <d v="1899-12-30T02:05:00"/>
    <s v="Ativo"/>
    <x v="2"/>
    <x v="10"/>
    <x v="102"/>
  </r>
  <r>
    <n v="137217"/>
    <x v="932"/>
    <s v="Diretoria Seminovos"/>
    <x v="10"/>
    <s v="LJLIM - Loja Seminovos Limeira"/>
    <s v="ENIO GRECHI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10"/>
    <x v="106"/>
  </r>
  <r>
    <n v="137211"/>
    <x v="933"/>
    <s v="Diretoria Seminovos"/>
    <x v="10"/>
    <s v="LJARA - Loja Seminovos Araraquara"/>
    <s v="PETERSON CRAVEIRO FERNAND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10"/>
    <x v="103"/>
  </r>
  <r>
    <n v="134165"/>
    <x v="934"/>
    <s v="Diretoria Seminovos"/>
    <x v="10"/>
    <s v="LJSJP - Loja Seminovos São José do Rio Preto"/>
    <s v="FABIANO GOMES DE CAMPOS"/>
    <s v="POSITIVO"/>
    <d v="1899-12-30T05:43:00"/>
    <d v="1899-12-30T00:00:00"/>
    <d v="1899-12-30T05:43:00"/>
    <s v=" "/>
    <s v=" "/>
    <s v=" "/>
    <s v=" "/>
    <s v=" "/>
    <s v=" "/>
    <s v=" "/>
    <s v=" "/>
    <s v=" "/>
    <d v="1899-12-30T05:09:00"/>
    <d v="1899-12-30T00:12:00"/>
    <d v="1899-12-30T00:22:00"/>
    <s v="Ativo"/>
    <x v="2"/>
    <x v="10"/>
    <x v="99"/>
  </r>
  <r>
    <n v="136788"/>
    <x v="935"/>
    <s v="Diretoria Seminovos"/>
    <x v="10"/>
    <s v="LJCPK - Loja Seminovos Campinas"/>
    <s v="MARCELO RIBEIRO ANTON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10"/>
    <x v="91"/>
  </r>
  <r>
    <n v="117966"/>
    <x v="936"/>
    <s v="Diretoria Seminovos"/>
    <x v="10"/>
    <s v="LJTAQ - Loja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10"/>
    <x v="102"/>
  </r>
  <r>
    <n v="119325"/>
    <x v="937"/>
    <s v="Diretoria Seminovos"/>
    <x v="10"/>
    <s v="LJBAU - Loja Seminovos Bauru"/>
    <s v="EDUARDO HARUTOSHI HORIKAW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x v="6"/>
    <x v="10"/>
    <x v="104"/>
  </r>
  <r>
    <n v="502825"/>
    <x v="938"/>
    <s v="Diretoria Seminovos"/>
    <x v="10"/>
    <s v="LJLDB - Loja Seminovos Londrina"/>
    <s v="ANA RITA NEVES MOREIRA"/>
    <s v="POSITIVO"/>
    <d v="1899-12-30T00:30:00"/>
    <d v="1899-12-30T00:00:00"/>
    <d v="1899-12-30T00:30:00"/>
    <s v=" "/>
    <s v=" "/>
    <s v=" "/>
    <s v=" "/>
    <s v=" "/>
    <s v=" "/>
    <s v=" "/>
    <s v=" "/>
    <s v=" "/>
    <s v=" "/>
    <s v=" "/>
    <d v="1899-12-30T00:27:00"/>
    <s v="Ativo"/>
    <x v="6"/>
    <x v="10"/>
    <x v="100"/>
  </r>
  <r>
    <n v="134142"/>
    <x v="939"/>
    <s v="Diretoria Seminovos"/>
    <x v="10"/>
    <s v="LJRBP - Loja Seminovos  Ribeirão Preto"/>
    <s v="EVARISTO ALVES MATOS"/>
    <s v="POSITIVO"/>
    <d v="1900-01-01T21:47:00"/>
    <d v="1899-12-30T00:00:00"/>
    <d v="1900-01-01T21:47:00"/>
    <s v=" "/>
    <s v=" "/>
    <s v=" "/>
    <s v=" "/>
    <s v=" "/>
    <s v=" "/>
    <s v=" "/>
    <s v=" "/>
    <s v=" "/>
    <d v="1899-12-31T08:59:00"/>
    <d v="1899-12-31T00:48:00"/>
    <d v="1899-12-30T04:00:00"/>
    <s v="Ativo"/>
    <x v="2"/>
    <x v="10"/>
    <x v="105"/>
  </r>
  <r>
    <n v="136401"/>
    <x v="940"/>
    <s v="Diretoria Seminovos"/>
    <x v="10"/>
    <s v="LJRBP - Loja Seminovos  Ribeirão Preto"/>
    <s v="EVARISTO ALVES MATOS"/>
    <s v="POSITIVO"/>
    <d v="1900-01-01T16:49:00"/>
    <d v="1899-12-30T00:00:00"/>
    <d v="1900-01-01T16:49:00"/>
    <s v=" "/>
    <s v=" "/>
    <s v=" "/>
    <s v=" "/>
    <s v=" "/>
    <s v=" "/>
    <s v=" "/>
    <s v=" "/>
    <s v=" "/>
    <d v="1899-12-31T04:01:00"/>
    <d v="1899-12-31T00:48:00"/>
    <d v="1899-12-30T04:00:00"/>
    <s v="Ativo"/>
    <x v="2"/>
    <x v="10"/>
    <x v="105"/>
  </r>
  <r>
    <n v="136862"/>
    <x v="941"/>
    <s v="Diretoria Seminovos"/>
    <x v="10"/>
    <s v="LJCPK - Loja Seminovos Campinas"/>
    <s v="MARCELO RIBEIRO ANTON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10"/>
    <x v="91"/>
  </r>
  <r>
    <n v="125764"/>
    <x v="942"/>
    <s v="Diretoria Seminovos"/>
    <x v="11"/>
    <s v="LJGUI - Vendas Varejo Seminovos Barigui"/>
    <s v="FABIO VLADIMIR JARDIM MADRUGA"/>
    <s v="POSITIVO"/>
    <d v="1900-01-01T16:21:00"/>
    <d v="1899-12-30T00:00:00"/>
    <d v="1900-01-01T16:21:00"/>
    <s v=" "/>
    <s v=" "/>
    <s v=" "/>
    <s v=" "/>
    <s v=" "/>
    <s v=" "/>
    <s v=" "/>
    <s v=" "/>
    <s v=" "/>
    <d v="1899-12-30T15:31:00"/>
    <d v="1899-12-31T04:18:00"/>
    <d v="1899-12-30T12:12:00"/>
    <s v="Ativo"/>
    <x v="3"/>
    <x v="11"/>
    <x v="120"/>
  </r>
  <r>
    <n v="136207"/>
    <x v="943"/>
    <s v="Diretoria Seminovos"/>
    <x v="11"/>
    <s v="LJCNO - Vendas Varejo Seminovos Canoas"/>
    <s v="MARCIO SILVA DOS SANTOS"/>
    <s v="POSITIVO"/>
    <d v="1899-12-31T05:02:00"/>
    <d v="1899-12-30T00:00:00"/>
    <d v="1899-12-31T05:02:00"/>
    <s v=" "/>
    <s v=" "/>
    <s v=" "/>
    <s v=" "/>
    <d v="1899-12-31T02:32:00"/>
    <d v="1899-12-30T21:26:00"/>
    <s v=" "/>
    <s v=" "/>
    <s v=" "/>
    <s v=" "/>
    <s v=" "/>
    <s v=" "/>
    <s v="Ativo"/>
    <x v="3"/>
    <x v="11"/>
    <x v="118"/>
  </r>
  <r>
    <n v="135491"/>
    <x v="944"/>
    <s v="Diretoria Seminovos"/>
    <x v="11"/>
    <s v="LJFLI - Vendas Varejo Seminovos Florianópolis Ilha"/>
    <s v="DORLI DAVID MACHADO"/>
    <s v="POSITIVO"/>
    <d v="1899-12-31T18:29:00"/>
    <d v="1899-12-30T00:00:00"/>
    <d v="1899-12-31T18:29:00"/>
    <s v=" "/>
    <s v=" "/>
    <s v=" "/>
    <s v=" "/>
    <d v="1899-12-30T06:10:00"/>
    <d v="1899-12-31T12:19:00"/>
    <s v=" "/>
    <s v=" "/>
    <s v=" "/>
    <s v=" "/>
    <s v=" "/>
    <s v=" "/>
    <s v="Ativo"/>
    <x v="3"/>
    <x v="11"/>
    <x v="112"/>
  </r>
  <r>
    <n v="135528"/>
    <x v="945"/>
    <s v="Diretoria Seminovos"/>
    <x v="11"/>
    <s v="LJFLN - Vendas Varejo Seminovos Florianópolis"/>
    <s v="JOAO MARCELO VARGAS"/>
    <s v="POSITIVO"/>
    <d v="1899-12-31T17:38:00"/>
    <d v="1899-12-30T00:00:00"/>
    <d v="1899-12-31T17:38:00"/>
    <s v=" "/>
    <s v=" "/>
    <s v=" "/>
    <s v=" "/>
    <d v="1899-12-30T13:29:00"/>
    <d v="1899-12-31T03:19:00"/>
    <d v="1899-12-30T00:50:00"/>
    <s v=" "/>
    <s v=" "/>
    <s v=" "/>
    <s v=" "/>
    <s v=" "/>
    <s v="Contrato de Trabalho Suspenso"/>
    <x v="3"/>
    <x v="11"/>
    <x v="113"/>
  </r>
  <r>
    <n v="125154"/>
    <x v="946"/>
    <s v="Diretoria Seminovos"/>
    <x v="11"/>
    <s v="LJFLN - Vendas Varejo Seminovos Florianópolis"/>
    <s v="JOAO MARCELO VARGAS"/>
    <s v="POSITIVO"/>
    <d v="1899-12-31T15:47:00"/>
    <d v="1899-12-30T00:00:00"/>
    <d v="1899-12-31T15:47:00"/>
    <s v=" "/>
    <s v=" "/>
    <s v=" "/>
    <s v=" "/>
    <d v="1899-12-30T22:04:00"/>
    <d v="1899-12-30T17:43:00"/>
    <s v=" "/>
    <s v=" "/>
    <s v=" "/>
    <s v=" "/>
    <s v=" "/>
    <s v=" "/>
    <s v="Contrato de Trabalho Suspenso"/>
    <x v="3"/>
    <x v="11"/>
    <x v="113"/>
  </r>
  <r>
    <n v="503638"/>
    <x v="947"/>
    <s v="Diretoria Seminovos"/>
    <x v="11"/>
    <s v="LJITJ - Vendas Varejo Seminovos Itajaí"/>
    <s v="PAULO SERGIO APARECIDO DE CARVALHO"/>
    <s v="POSITIVO"/>
    <d v="1899-12-30T19:09:00"/>
    <d v="1899-12-30T00:00:00"/>
    <d v="1899-12-30T19:09:00"/>
    <d v="1899-12-30T17:48:00"/>
    <d v="1899-12-30T01:21:00"/>
    <s v=" "/>
    <s v=" "/>
    <s v=" "/>
    <s v=" "/>
    <s v=" "/>
    <s v=" "/>
    <s v=" "/>
    <s v=" "/>
    <s v=" "/>
    <s v=" "/>
    <s v="Af.Previdência"/>
    <x v="3"/>
    <x v="11"/>
    <x v="109"/>
  </r>
  <r>
    <n v="133436"/>
    <x v="948"/>
    <s v="Diretoria Seminovos"/>
    <x v="11"/>
    <s v="LJCNO - Vendas Varejo Seminovos Canoas"/>
    <s v="MARCIO SILVA DOS SANTOS"/>
    <s v="POSITIVO"/>
    <d v="1899-12-30T17:17:00"/>
    <d v="1899-12-30T00:00:00"/>
    <d v="1899-12-30T17:17:00"/>
    <s v=" "/>
    <s v=" "/>
    <s v=" "/>
    <s v=" "/>
    <s v=" "/>
    <d v="1899-12-30T17:17:00"/>
    <s v=" "/>
    <s v=" "/>
    <s v=" "/>
    <s v=" "/>
    <s v=" "/>
    <s v=" "/>
    <s v="Férias"/>
    <x v="3"/>
    <x v="11"/>
    <x v="118"/>
  </r>
  <r>
    <n v="135490"/>
    <x v="949"/>
    <s v="Diretoria Seminovos"/>
    <x v="11"/>
    <s v="LJPOA - Vendas Varejo Seminovos Porto Alegre"/>
    <s v="FABIO MACHADO PAIXAO"/>
    <s v="POSITIVO"/>
    <d v="1899-12-30T18:25:00"/>
    <d v="1899-12-30T00:00:00"/>
    <d v="1899-12-30T18:25:00"/>
    <s v=" "/>
    <d v="1899-12-30T04:34:00"/>
    <d v="1899-12-30T07:42:00"/>
    <s v=" "/>
    <s v=" "/>
    <s v=" "/>
    <d v="1899-12-30T04:15:00"/>
    <s v=" "/>
    <s v=" "/>
    <s v=" "/>
    <s v=" "/>
    <s v=" "/>
    <s v="Ativo"/>
    <x v="3"/>
    <x v="11"/>
    <x v="107"/>
  </r>
  <r>
    <n v="136042"/>
    <x v="950"/>
    <s v="Diretoria Seminovos"/>
    <x v="11"/>
    <s v="LJGUI - Vendas Varejo Seminovos Barigui"/>
    <s v="FABIO VLADIMIR JARDIM MADRUGA"/>
    <s v="POSITIVO"/>
    <d v="1899-12-30T02:15:00"/>
    <d v="1899-12-30T00:00:00"/>
    <d v="1899-12-30T02:15:00"/>
    <s v=" "/>
    <s v=" "/>
    <s v=" "/>
    <s v=" "/>
    <s v=" "/>
    <s v=" "/>
    <s v=" "/>
    <s v=" "/>
    <s v=" "/>
    <s v=" "/>
    <d v="1899-12-30T13:45:00"/>
    <d v="1899-12-30T02:08:00"/>
    <s v="Ativo"/>
    <x v="3"/>
    <x v="11"/>
    <x v="120"/>
  </r>
  <r>
    <n v="123207"/>
    <x v="951"/>
    <s v="Diretoria Seminovos"/>
    <x v="11"/>
    <s v="LJCNO - Vendas Varejo Seminovos Canoas"/>
    <s v="MARCIO SILVA DOS SANTOS"/>
    <s v="POSITIVO"/>
    <d v="1899-12-30T09:58:00"/>
    <d v="1899-12-30T00:00:00"/>
    <d v="1899-12-30T09:58:00"/>
    <s v=" "/>
    <s v=" "/>
    <s v=" "/>
    <s v=" "/>
    <s v=" "/>
    <d v="1899-12-30T15:27:00"/>
    <s v=" "/>
    <s v=" "/>
    <s v=" "/>
    <s v=" "/>
    <s v=" "/>
    <s v=" "/>
    <s v="Ativo"/>
    <x v="3"/>
    <x v="11"/>
    <x v="118"/>
  </r>
  <r>
    <n v="123219"/>
    <x v="952"/>
    <s v="Diretoria Seminovos"/>
    <x v="11"/>
    <s v="LJCNO - Vendas Varejo Seminovos Canoas"/>
    <s v="MARCIO SILVA DOS SANTOS"/>
    <s v="POSITIVO"/>
    <d v="1899-12-30T20:47:00"/>
    <d v="1899-12-30T00:00:00"/>
    <d v="1899-12-30T20:47:00"/>
    <s v=" "/>
    <s v=" "/>
    <s v=" "/>
    <s v=" "/>
    <d v="1899-12-30T11:36:00"/>
    <s v=" "/>
    <d v="1899-12-30T02:54:00"/>
    <s v=" "/>
    <s v=" "/>
    <s v=" "/>
    <s v=" "/>
    <s v=" "/>
    <s v="Ativo"/>
    <x v="3"/>
    <x v="11"/>
    <x v="118"/>
  </r>
  <r>
    <n v="125547"/>
    <x v="953"/>
    <s v="Diretoria Seminovos"/>
    <x v="11"/>
    <s v="LJBNU - Vendas Varejo Seminovos Blumenau"/>
    <s v="JOAO MARCELO VARGAS"/>
    <s v="POSITIVO"/>
    <d v="1899-12-30T14:24:00"/>
    <d v="1899-12-30T00:00:00"/>
    <d v="1899-12-30T14:24:00"/>
    <s v=" "/>
    <s v=" "/>
    <s v=" "/>
    <s v=" "/>
    <d v="1899-12-30T06:36:00"/>
    <d v="1899-12-30T07:48:00"/>
    <s v=" "/>
    <s v=" "/>
    <s v=" "/>
    <s v=" "/>
    <s v=" "/>
    <s v=" "/>
    <s v="Ativo"/>
    <x v="3"/>
    <x v="11"/>
    <x v="111"/>
  </r>
  <r>
    <n v="134530"/>
    <x v="954"/>
    <s v="Diretoria Seminovos"/>
    <x v="11"/>
    <s v="LJGUI - Vendas Varejo Seminovos Barigui"/>
    <s v="FABIO VLADIMIR JARDIM MADRUGA"/>
    <s v="POSITIVO"/>
    <d v="1899-12-30T11:14:00"/>
    <d v="1899-12-30T00:00:00"/>
    <d v="1899-12-30T11:14:00"/>
    <s v=" "/>
    <s v=" "/>
    <s v=" "/>
    <s v=" "/>
    <s v=" "/>
    <s v=" "/>
    <s v=" "/>
    <s v=" "/>
    <s v=" "/>
    <s v=" "/>
    <d v="1899-12-30T11:14:00"/>
    <s v=" "/>
    <s v="Contrato de Trabalho Suspenso"/>
    <x v="3"/>
    <x v="11"/>
    <x v="120"/>
  </r>
  <r>
    <n v="132411"/>
    <x v="955"/>
    <s v="Diretoria Seminovos"/>
    <x v="11"/>
    <s v="LJCNO - Vendas Varejo Seminovos Canoas"/>
    <s v="MARCIO SILVA DOS SANTOS"/>
    <s v="POSITIVO"/>
    <d v="1899-12-30T11:06:00"/>
    <d v="1899-12-30T00:00:00"/>
    <d v="1899-12-30T11:06:00"/>
    <s v=" "/>
    <s v=" "/>
    <s v=" "/>
    <s v=" "/>
    <d v="1899-12-30T11:06:00"/>
    <s v=" "/>
    <s v=" "/>
    <s v=" "/>
    <s v=" "/>
    <s v=" "/>
    <s v=" "/>
    <s v=" "/>
    <s v="Contrato de Trabalho Suspenso"/>
    <x v="3"/>
    <x v="11"/>
    <x v="118"/>
  </r>
  <r>
    <n v="130403"/>
    <x v="956"/>
    <s v="Diretoria Seminovos"/>
    <x v="11"/>
    <s v="LJCWB - Vendas Varejo Seminovos Curitiba"/>
    <s v="ADRIANO LINS"/>
    <s v="POSITIVO"/>
    <d v="1899-12-30T10:09:00"/>
    <d v="1899-12-30T00:00:00"/>
    <d v="1899-12-30T10:09:00"/>
    <s v=" "/>
    <s v=" "/>
    <s v=" "/>
    <s v=" "/>
    <s v=" "/>
    <s v=" "/>
    <s v=" "/>
    <s v=" "/>
    <s v=" "/>
    <s v=" "/>
    <d v="1899-12-30T10:09:00"/>
    <s v=" "/>
    <s v="Contrato de Trabalho Suspenso"/>
    <x v="3"/>
    <x v="11"/>
    <x v="110"/>
  </r>
  <r>
    <n v="123356"/>
    <x v="957"/>
    <s v="Diretoria Seminovos"/>
    <x v="11"/>
    <s v="LJSET - Vendas Varejo Seminovos Sertório"/>
    <s v="LEONARDO HENRIQUE TREMEA MANCIO"/>
    <s v="POSITIVO"/>
    <d v="1899-12-30T09:16:00"/>
    <d v="1899-12-30T00:00:00"/>
    <d v="1899-12-30T09:16:00"/>
    <s v=" "/>
    <s v=" "/>
    <s v=" "/>
    <s v=" "/>
    <d v="1899-12-30T03:16:00"/>
    <d v="1899-12-30T06:00:00"/>
    <s v=" "/>
    <s v=" "/>
    <s v=" "/>
    <s v=" "/>
    <s v=" "/>
    <s v=" "/>
    <s v="Contrato de Trabalho Suspenso"/>
    <x v="3"/>
    <x v="11"/>
    <x v="116"/>
  </r>
  <r>
    <n v="503488"/>
    <x v="958"/>
    <s v="Diretoria Seminovos"/>
    <x v="11"/>
    <s v="LJITJ - Vendas Varejo Seminovos Itajaí"/>
    <s v="PAULO SERGIO APARECIDO DE CARVALHO"/>
    <s v="POSITIVO"/>
    <d v="1899-12-30T07:48:00"/>
    <d v="1899-12-30T00:00:00"/>
    <d v="1899-12-30T07:48:00"/>
    <s v=" "/>
    <s v=" "/>
    <s v=" "/>
    <s v=" "/>
    <s v=" "/>
    <d v="1899-12-30T07:48:00"/>
    <s v=" "/>
    <s v=" "/>
    <s v=" "/>
    <s v=" "/>
    <s v=" "/>
    <s v=" "/>
    <s v="Ativo"/>
    <x v="3"/>
    <x v="11"/>
    <x v="109"/>
  </r>
  <r>
    <n v="123959"/>
    <x v="959"/>
    <s v="Diretoria Seminovos"/>
    <x v="11"/>
    <s v="LJCWB - Vendas Varejo Seminovos Curitiba"/>
    <s v="ADRIANO LINS"/>
    <s v="POSITIVO"/>
    <d v="1899-12-30T07:32:00"/>
    <d v="1899-12-30T00:00:00"/>
    <d v="1899-12-30T07:32:00"/>
    <s v=" "/>
    <s v=" "/>
    <s v=" "/>
    <s v=" "/>
    <s v=" "/>
    <s v=" "/>
    <s v=" "/>
    <s v=" "/>
    <s v=" "/>
    <s v=" "/>
    <d v="1899-12-30T01:35:00"/>
    <d v="1899-12-30T04:38:00"/>
    <s v="Ativo"/>
    <x v="3"/>
    <x v="11"/>
    <x v="110"/>
  </r>
  <r>
    <n v="133380"/>
    <x v="960"/>
    <s v="Diretoria Seminovos"/>
    <x v="11"/>
    <s v="LJGUI - Vendas Varejo Seminovos Barigui"/>
    <s v="FABIO VLADIMIR JARDIM MADRUGA"/>
    <s v="POSITIVO"/>
    <d v="1899-12-30T09:27:00"/>
    <d v="1899-12-30T00:00:00"/>
    <d v="1899-12-30T09:27:00"/>
    <s v=" "/>
    <s v=" "/>
    <s v=" "/>
    <s v=" "/>
    <s v=" "/>
    <s v=" "/>
    <s v=" "/>
    <s v=" "/>
    <s v=" "/>
    <s v=" "/>
    <d v="1899-12-30T00:14:00"/>
    <d v="1899-12-30T05:53:00"/>
    <s v="Ativo"/>
    <x v="3"/>
    <x v="11"/>
    <x v="120"/>
  </r>
  <r>
    <n v="503231"/>
    <x v="961"/>
    <s v="Diretoria Seminovos"/>
    <x v="11"/>
    <s v="LJBNU - Vendas Varejo Seminovos Blumenau"/>
    <s v="JOAO MARCELO VARGAS"/>
    <s v="POSITIVO"/>
    <d v="1899-12-30T05:48:00"/>
    <d v="1899-12-30T00:00:00"/>
    <d v="1899-12-30T05:48:00"/>
    <s v=" "/>
    <s v=" "/>
    <s v=" "/>
    <s v=" "/>
    <s v=" "/>
    <d v="1899-12-30T05:48:00"/>
    <s v=" "/>
    <s v=" "/>
    <s v=" "/>
    <s v=" "/>
    <s v=" "/>
    <s v=" "/>
    <s v="Ativo"/>
    <x v="3"/>
    <x v="11"/>
    <x v="111"/>
  </r>
  <r>
    <n v="134328"/>
    <x v="962"/>
    <s v="Diretoria Seminovos"/>
    <x v="11"/>
    <s v="LJPET - Vendas Varejo Seminovos Pelotas"/>
    <s v="ANDERSON SILVEIRA LOPES"/>
    <s v="POSITIVO"/>
    <d v="1899-12-30T05:36:00"/>
    <d v="1899-12-30T00:00:00"/>
    <d v="1899-12-30T05:36:00"/>
    <s v=" "/>
    <s v=" "/>
    <s v=" "/>
    <s v=" "/>
    <s v=" "/>
    <d v="1899-12-30T05:36:00"/>
    <s v=" "/>
    <s v=" "/>
    <s v=" "/>
    <s v=" "/>
    <s v=" "/>
    <s v=" "/>
    <s v="Contrato de Trabalho Suspenso"/>
    <x v="3"/>
    <x v="11"/>
    <x v="114"/>
  </r>
  <r>
    <n v="135499"/>
    <x v="963"/>
    <s v="Diretoria Seminovos"/>
    <x v="11"/>
    <s v="LJCWB - Vendas Varejo Seminovos Curitiba"/>
    <s v="ADRIANO LINS"/>
    <s v="POSITIVO"/>
    <d v="1899-12-30T06:25:00"/>
    <d v="1899-12-30T00:00:00"/>
    <d v="1899-12-30T06:25:00"/>
    <s v=" "/>
    <s v=" "/>
    <s v=" "/>
    <s v=" "/>
    <s v=" "/>
    <s v=" "/>
    <s v=" "/>
    <s v=" "/>
    <s v=" "/>
    <s v=" "/>
    <d v="1899-12-30T00:10:00"/>
    <d v="1899-12-30T04:24:00"/>
    <s v="Ativo"/>
    <x v="3"/>
    <x v="11"/>
    <x v="110"/>
  </r>
  <r>
    <n v="136484"/>
    <x v="964"/>
    <s v="Diretoria Seminovos"/>
    <x v="11"/>
    <s v="LJCXS - Vendas Varejo Seminovos Caxias do Sul"/>
    <s v="JOAO MARCELO VARGAS"/>
    <s v="POSITIVO"/>
    <d v="1899-12-30T03:55:00"/>
    <d v="1899-12-30T00:00:00"/>
    <d v="1899-12-30T03:55:00"/>
    <s v=" "/>
    <s v=" "/>
    <s v=" "/>
    <s v=" "/>
    <s v=" "/>
    <s v=" "/>
    <d v="1899-12-30T03:55:00"/>
    <s v=" "/>
    <s v=" "/>
    <s v=" "/>
    <s v=" "/>
    <s v=" "/>
    <s v="Ativo"/>
    <x v="3"/>
    <x v="11"/>
    <x v="134"/>
  </r>
  <r>
    <n v="131420"/>
    <x v="965"/>
    <s v="Diretoria Seminovos"/>
    <x v="11"/>
    <s v="LJSJE - Vendas Varejo Seminovos São José"/>
    <s v="EDISON RAPHAEL ESAIER SETTIN"/>
    <s v="POSITIVO"/>
    <d v="1899-12-30T03:01:00"/>
    <d v="1899-12-30T00:00:00"/>
    <d v="1899-12-30T03:01:00"/>
    <s v=" "/>
    <d v="1899-12-30T00:39:00"/>
    <d v="1899-12-30T02:22:00"/>
    <s v=" "/>
    <s v=" "/>
    <s v=" "/>
    <s v=" "/>
    <s v=" "/>
    <s v=" "/>
    <s v=" "/>
    <s v=" "/>
    <s v=" "/>
    <s v="Licença Mater."/>
    <x v="3"/>
    <x v="11"/>
    <x v="108"/>
  </r>
  <r>
    <n v="501292"/>
    <x v="966"/>
    <s v="Diretoria Seminovos"/>
    <x v="11"/>
    <s v="LJFLN - Vendas Varejo Seminovos Florianópolis"/>
    <s v="JOAO MARCELO VARGAS"/>
    <s v="POSITIVO"/>
    <d v="1899-12-30T02:32:00"/>
    <d v="1899-12-30T00:00:00"/>
    <d v="1899-12-30T02:32:00"/>
    <s v=" "/>
    <s v=" "/>
    <d v="1899-12-30T02:32:00"/>
    <s v=" "/>
    <s v=" "/>
    <s v=" "/>
    <s v=" "/>
    <s v=" "/>
    <s v=" "/>
    <s v=" "/>
    <s v=" "/>
    <s v=" "/>
    <s v="Ativo"/>
    <x v="3"/>
    <x v="11"/>
    <x v="113"/>
  </r>
  <r>
    <n v="129745"/>
    <x v="967"/>
    <s v="Diretoria Seminovos"/>
    <x v="11"/>
    <s v="LJSLP - Vendas Varejo Seminovos São Leopoldo"/>
    <s v="MARCONCINE DE MATOS"/>
    <s v="POSITIVO"/>
    <d v="1899-12-30T01:47:00"/>
    <d v="1899-12-30T00:00:00"/>
    <d v="1899-12-30T01:47:00"/>
    <s v=" "/>
    <s v=" "/>
    <d v="1899-12-30T01:47:00"/>
    <s v=" "/>
    <s v=" "/>
    <s v=" "/>
    <s v=" "/>
    <s v=" "/>
    <s v=" "/>
    <s v=" "/>
    <s v=" "/>
    <s v=" "/>
    <s v="Contrato de Trabalho Suspenso"/>
    <x v="3"/>
    <x v="11"/>
    <x v="121"/>
  </r>
  <r>
    <n v="132506"/>
    <x v="968"/>
    <s v="Diretoria Seminovos"/>
    <x v="11"/>
    <s v="LJCWB - Vendas Varejo Seminovos Curitiba"/>
    <s v="ADRIANO LINS"/>
    <s v="POSITIVO"/>
    <d v="1899-12-30T01:22:00"/>
    <d v="1899-12-30T00:00:00"/>
    <d v="1899-12-30T01:22:00"/>
    <s v=" "/>
    <s v=" "/>
    <s v=" "/>
    <s v=" "/>
    <s v=" "/>
    <d v="1899-12-30T00:01:00"/>
    <d v="1899-12-30T01:21:00"/>
    <s v=" "/>
    <s v=" "/>
    <s v=" "/>
    <s v=" "/>
    <s v=" "/>
    <s v="Ativo"/>
    <x v="3"/>
    <x v="11"/>
    <x v="110"/>
  </r>
  <r>
    <n v="125196"/>
    <x v="969"/>
    <s v="Diretoria Seminovos"/>
    <x v="11"/>
    <s v="LJITJ - Vendas Varejo Seminovos Itajaí"/>
    <s v="PAULO SERGIO APARECIDO DE CARVALHO"/>
    <s v="POSITIVO"/>
    <d v="1899-12-30T01:06:00"/>
    <d v="1899-12-30T00:00:00"/>
    <d v="1899-12-30T01:06:00"/>
    <s v=" "/>
    <s v=" "/>
    <s v=" "/>
    <s v=" "/>
    <s v=" "/>
    <d v="1899-12-30T01:06:00"/>
    <s v=" "/>
    <s v=" "/>
    <s v=" "/>
    <s v=" "/>
    <s v=" "/>
    <s v=" "/>
    <s v="Ativo"/>
    <x v="3"/>
    <x v="11"/>
    <x v="109"/>
  </r>
  <r>
    <n v="125494"/>
    <x v="970"/>
    <s v="Diretoria Seminovos"/>
    <x v="11"/>
    <s v="LJSET - Vendas Varejo Seminovos Sertório"/>
    <s v="LEONARDO HENRIQUE TREMEA MANCIO"/>
    <s v="POSITIVO"/>
    <d v="1899-12-30T00:06:00"/>
    <d v="1899-12-30T00:00:00"/>
    <d v="1899-12-30T00:06:00"/>
    <s v=" "/>
    <s v=" "/>
    <s v=" "/>
    <d v="1899-12-30T00:06:00"/>
    <s v=" "/>
    <s v=" "/>
    <s v=" "/>
    <s v=" "/>
    <s v=" "/>
    <s v=" "/>
    <s v=" "/>
    <s v=" "/>
    <s v="Ativo"/>
    <x v="3"/>
    <x v="11"/>
    <x v="116"/>
  </r>
  <r>
    <n v="133635"/>
    <x v="971"/>
    <s v="Diretoria Seminovos"/>
    <x v="11"/>
    <s v="LJPET - Vendas Varejo Seminovos Pelotas"/>
    <s v="ANDERSON SILVEIRA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1"/>
    <x v="114"/>
  </r>
  <r>
    <n v="135178"/>
    <x v="972"/>
    <s v="Diretoria Seminovos"/>
    <x v="11"/>
    <s v="LJBNU - Vendas Varejo Seminovos Blumenau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1"/>
    <x v="111"/>
  </r>
  <r>
    <n v="134743"/>
    <x v="973"/>
    <s v="Diretoria Seminovos"/>
    <x v="11"/>
    <s v="LJCXS - Vendas Varejo Seminovos Caxias do Sul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1"/>
    <x v="134"/>
  </r>
  <r>
    <n v="136246"/>
    <x v="974"/>
    <s v="Diretoria Seminovos"/>
    <x v="11"/>
    <s v="LJPOA - Vendas Varejo Seminovos Porto Alegre"/>
    <s v="FABIO MACHADO PAIXA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x v="3"/>
    <x v="11"/>
    <x v="107"/>
  </r>
  <r>
    <n v="135366"/>
    <x v="975"/>
    <s v="Diretoria Seminovos"/>
    <x v="11"/>
    <s v="LJSJE - Vendas Varejo Seminovos São José"/>
    <s v="EDISON RAPHAEL ESAIER SETTIN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1"/>
    <x v="108"/>
  </r>
  <r>
    <n v="137163"/>
    <x v="976"/>
    <s v="Diretoria Seminovos"/>
    <x v="11"/>
    <s v="LJCCM - Loja Seminovos Criciúma"/>
    <s v="RICARDO ROSA PACHECO"/>
    <s v="POSITIVO"/>
    <d v="1899-12-30T00:17:00"/>
    <d v="1899-12-30T00:00:00"/>
    <d v="1899-12-30T00:17:00"/>
    <s v=" "/>
    <s v=" "/>
    <s v=" "/>
    <s v=" "/>
    <s v=" "/>
    <s v=" "/>
    <d v="1899-12-30T00:11:00"/>
    <s v=" "/>
    <s v=" "/>
    <s v=" "/>
    <s v=" "/>
    <s v=" "/>
    <s v="Ativo"/>
    <x v="2"/>
    <x v="11"/>
    <x v="124"/>
  </r>
  <r>
    <n v="131797"/>
    <x v="977"/>
    <s v="Diretoria Seminovos"/>
    <x v="11"/>
    <s v="LJCXS - Vendas Varejo Seminovos Caxias do Sul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1"/>
    <x v="134"/>
  </r>
  <r>
    <n v="136248"/>
    <x v="978"/>
    <s v="Diretoria Seminovos"/>
    <x v="11"/>
    <s v="LJSMR - Vendas Varejo Seminovos Santa Maria"/>
    <s v="CHARLES FRIEDHEIN MARCHESAN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1"/>
    <x v="115"/>
  </r>
  <r>
    <n v="134262"/>
    <x v="979"/>
    <s v="Diretoria Seminovos"/>
    <x v="11"/>
    <s v="LJITJ - Vendas Varejo Seminovos Itajaí"/>
    <s v="PAULO SERGIO APARECIDO DE CARVALH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3"/>
    <x v="11"/>
    <x v="109"/>
  </r>
  <r>
    <n v="131568"/>
    <x v="980"/>
    <s v="Diretoria Seminovos"/>
    <x v="11"/>
    <s v="LJBNU - Vendas Varejo Seminovos Blumenau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x v="3"/>
    <x v="11"/>
    <x v="111"/>
  </r>
  <r>
    <n v="129924"/>
    <x v="981"/>
    <s v="Diretoria Seminovos"/>
    <x v="11"/>
    <s v="LJSLP - Loja Seminovos São Leopoldo"/>
    <s v="MARCONCINE DE MA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11"/>
    <x v="121"/>
  </r>
  <r>
    <n v="135471"/>
    <x v="982"/>
    <s v="Diretoria Seminovos"/>
    <x v="11"/>
    <s v="LJFLI - Loja Seminovos Florianópolis Ilha"/>
    <s v="DORLI DAVID MACHADO"/>
    <s v="POSITIVO"/>
    <d v="1899-12-31T01:01:00"/>
    <d v="1899-12-30T00:00:00"/>
    <d v="1899-12-31T01:01:00"/>
    <s v=" "/>
    <s v=" "/>
    <s v=" "/>
    <s v=" "/>
    <d v="1899-12-30T03:00:00"/>
    <d v="1899-12-31T01:01:00"/>
    <s v=" "/>
    <s v=" "/>
    <s v=" "/>
    <s v=" "/>
    <s v=" "/>
    <s v=" "/>
    <s v="Ativo"/>
    <x v="6"/>
    <x v="11"/>
    <x v="112"/>
  </r>
  <r>
    <n v="132036"/>
    <x v="983"/>
    <s v="Diretoria Seminovos"/>
    <x v="11"/>
    <s v="LJGUI - Loja Seminovos Barigui"/>
    <s v="FABIO VLADIMIR JARDIM MADRUGA"/>
    <s v="POSITIVO"/>
    <d v="1899-12-30T23:16:00"/>
    <d v="1899-12-30T00:00:00"/>
    <d v="1899-12-30T23:16:00"/>
    <s v=" "/>
    <s v=" "/>
    <s v=" "/>
    <s v=" "/>
    <s v=" "/>
    <s v=" "/>
    <s v=" "/>
    <s v=" "/>
    <s v=" "/>
    <s v=" "/>
    <s v=" "/>
    <d v="1899-12-30T07:59:00"/>
    <s v="Ativo"/>
    <x v="6"/>
    <x v="11"/>
    <x v="120"/>
  </r>
  <r>
    <n v="123364"/>
    <x v="984"/>
    <s v="Diretoria Seminovos"/>
    <x v="11"/>
    <s v="LJCNO - Loja Seminovos Canoas"/>
    <s v="MARCIO SILVA DOS SANTOS"/>
    <s v="POSITIVO"/>
    <d v="1899-12-30T03:17:00"/>
    <d v="1899-12-30T00:00:00"/>
    <d v="1899-12-30T03:17:00"/>
    <s v=" "/>
    <s v=" "/>
    <s v=" "/>
    <s v=" "/>
    <s v=" "/>
    <s v=" "/>
    <d v="1899-12-30T06:01:00"/>
    <s v=" "/>
    <s v=" "/>
    <s v=" "/>
    <s v=" "/>
    <s v=" "/>
    <s v="Ativo"/>
    <x v="2"/>
    <x v="11"/>
    <x v="118"/>
  </r>
  <r>
    <n v="137157"/>
    <x v="985"/>
    <s v="Diretoria Seminovos"/>
    <x v="11"/>
    <s v="LJJOI - Loja Seminovos Joinville"/>
    <s v="ALEXANDRE PORTO DE CAMARGO"/>
    <s v="POSITIVO"/>
    <d v="1899-12-30T05:25:00"/>
    <d v="1899-12-30T00:00:00"/>
    <d v="1899-12-30T05:25:00"/>
    <s v=" "/>
    <s v=" "/>
    <s v=" "/>
    <s v=" "/>
    <s v=" "/>
    <s v=" "/>
    <d v="1899-12-30T04:20:00"/>
    <s v=" "/>
    <s v=" "/>
    <s v=" "/>
    <s v=" "/>
    <s v=" "/>
    <s v="Ativo"/>
    <x v="2"/>
    <x v="11"/>
    <x v="117"/>
  </r>
  <r>
    <n v="125892"/>
    <x v="986"/>
    <s v="Diretoria Seminovos"/>
    <x v="11"/>
    <s v="LJJOI - Loja Seminovos Joinville"/>
    <s v="ALEXANDRE PORTO DE CAMARGO"/>
    <s v="POSITIVO"/>
    <d v="1899-12-30T09:43:00"/>
    <d v="1899-12-30T00:00:00"/>
    <d v="1899-12-30T09:43:00"/>
    <s v=" "/>
    <s v=" "/>
    <s v=" "/>
    <s v=" "/>
    <s v=" "/>
    <s v=" "/>
    <d v="1899-12-30T09:04:00"/>
    <s v=" "/>
    <s v=" "/>
    <s v=" "/>
    <s v=" "/>
    <s v=" "/>
    <s v="Ativo"/>
    <x v="2"/>
    <x v="11"/>
    <x v="117"/>
  </r>
  <r>
    <n v="121647"/>
    <x v="987"/>
    <s v="Diretoria Seminovos"/>
    <x v="11"/>
    <s v="LJPOA - Loja Seminovos Porto Alegre"/>
    <s v="FABIO MACHADO PAIXAO"/>
    <s v="POSITIVO"/>
    <d v="1899-12-30T03:18:00"/>
    <d v="1899-12-30T00:00:00"/>
    <d v="1899-12-30T03:18:00"/>
    <s v=" "/>
    <s v=" "/>
    <s v=" "/>
    <s v=" "/>
    <d v="1899-12-30T00:58:00"/>
    <d v="1899-12-30T02:20:00"/>
    <s v=" "/>
    <s v=" "/>
    <s v=" "/>
    <s v=" "/>
    <s v=" "/>
    <s v=" "/>
    <s v="Af.Previdência"/>
    <x v="6"/>
    <x v="11"/>
    <x v="107"/>
  </r>
  <r>
    <n v="134270"/>
    <x v="988"/>
    <s v="Diretoria Seminovos"/>
    <x v="11"/>
    <s v="LJGRA - Loja Seminovos Gravataí"/>
    <s v="DANIEL DA SILVA CARDOSO"/>
    <s v="POSITIVO"/>
    <d v="1899-12-30T06:29:00"/>
    <d v="1899-12-30T00:00:00"/>
    <d v="1899-12-30T06:29:00"/>
    <s v=" "/>
    <s v=" "/>
    <s v=" "/>
    <s v=" "/>
    <s v=" "/>
    <s v=" "/>
    <d v="1899-12-30T03:23:00"/>
    <s v=" "/>
    <s v=" "/>
    <s v=" "/>
    <s v=" "/>
    <s v=" "/>
    <s v="Ativo"/>
    <x v="6"/>
    <x v="11"/>
    <x v="123"/>
  </r>
  <r>
    <n v="125122"/>
    <x v="989"/>
    <s v="Diretoria Seminovos"/>
    <x v="11"/>
    <s v="LJCCM - Loja Seminovos Criciúma"/>
    <s v="RICARDO ROSA PACHECO"/>
    <s v="POSITIVO"/>
    <d v="1899-12-30T03:16:00"/>
    <d v="1899-12-30T00:00:00"/>
    <d v="1899-12-30T03:16:00"/>
    <s v=" "/>
    <s v=" "/>
    <s v=" "/>
    <s v=" "/>
    <d v="1899-12-30T01:11:00"/>
    <d v="1899-12-30T01:02:00"/>
    <d v="1899-12-30T00:40:00"/>
    <s v=" "/>
    <s v=" "/>
    <s v=" "/>
    <s v=" "/>
    <s v=" "/>
    <s v="Ativo"/>
    <x v="9"/>
    <x v="11"/>
    <x v="124"/>
  </r>
  <r>
    <n v="135966"/>
    <x v="990"/>
    <s v="Diretoria Seminovos"/>
    <x v="11"/>
    <s v="LJPGS - Loja Seminovos Ponta Grossa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11"/>
    <x v="119"/>
  </r>
  <r>
    <n v="129844"/>
    <x v="991"/>
    <s v="Diretoria Seminovos"/>
    <x v="11"/>
    <s v="LJCXS - Loja Seminovos Caxias do Sul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6"/>
    <x v="11"/>
    <x v="134"/>
  </r>
  <r>
    <n v="136316"/>
    <x v="992"/>
    <s v="Diretoria Seminovos"/>
    <x v="11"/>
    <s v="LJGRA - Vendas Varejo Seminovos Gravataí"/>
    <s v="DANIEL DA SILVA CARDOSO"/>
    <s v="POSITIVO"/>
    <d v="1899-12-30T01:26:00"/>
    <d v="1899-12-30T00:00:00"/>
    <d v="1899-12-30T01:26:00"/>
    <s v=" "/>
    <s v=" "/>
    <s v=" "/>
    <s v=" "/>
    <s v=" "/>
    <s v=" "/>
    <d v="1899-12-30T02:45:00"/>
    <s v=" "/>
    <s v=" "/>
    <s v=" "/>
    <s v=" "/>
    <s v=" "/>
    <s v="Ativo"/>
    <x v="3"/>
    <x v="11"/>
    <x v="123"/>
  </r>
  <r>
    <n v="133576"/>
    <x v="993"/>
    <s v="Diretoria Seminovos"/>
    <x v="11"/>
    <s v="LJFLN - Loja Seminovos Florianopolis"/>
    <s v="JOAO MARCELO VARGAS"/>
    <s v="POSITIVO"/>
    <d v="1899-12-30T02:22:00"/>
    <d v="1899-12-30T00:00:00"/>
    <d v="1899-12-30T02:22:00"/>
    <s v=" "/>
    <s v=" "/>
    <s v=" "/>
    <s v=" "/>
    <s v=" "/>
    <d v="1899-12-30T02:22:00"/>
    <s v=" "/>
    <s v=" "/>
    <s v=" "/>
    <s v=" "/>
    <s v=" "/>
    <s v=" "/>
    <s v="Contrato de Trabalho Suspenso"/>
    <x v="2"/>
    <x v="11"/>
    <x v="113"/>
  </r>
  <r>
    <n v="137191"/>
    <x v="994"/>
    <s v="Diretoria Seminovos"/>
    <x v="11"/>
    <s v="LJLGS -  Loja Seminovos Lages"/>
    <s v="JOAO MARCELO VARGAS"/>
    <s v="POSITIVO"/>
    <d v="1899-12-30T06:45:00"/>
    <d v="1899-12-30T00:00:00"/>
    <d v="1899-12-30T06:45:00"/>
    <s v=" "/>
    <s v=" "/>
    <s v=" "/>
    <s v=" "/>
    <s v=" "/>
    <s v=" "/>
    <s v=" "/>
    <s v=" "/>
    <s v=" "/>
    <s v=" "/>
    <s v=" "/>
    <s v=" "/>
    <s v="Ativo"/>
    <x v="6"/>
    <x v="11"/>
    <x v="122"/>
  </r>
  <r>
    <n v="501004"/>
    <x v="995"/>
    <s v="Diretoria Seminovos"/>
    <x v="11"/>
    <s v="LJCWB - Loja Seminovos Curitiba"/>
    <s v="ADRIANO LINS"/>
    <s v="POSITIVO"/>
    <d v="1899-12-30T19:19:00"/>
    <d v="1899-12-30T00:00:00"/>
    <d v="1899-12-30T19:19:00"/>
    <s v=" "/>
    <s v=" "/>
    <s v=" "/>
    <s v=" "/>
    <s v=" "/>
    <s v=" "/>
    <s v=" "/>
    <s v=" "/>
    <s v=" "/>
    <s v=" "/>
    <d v="1899-12-30T04:05:00"/>
    <d v="1899-12-30T08:00:00"/>
    <s v="Ativo"/>
    <x v="6"/>
    <x v="11"/>
    <x v="110"/>
  </r>
  <r>
    <n v="137031"/>
    <x v="996"/>
    <s v="Diretoria Seminovos"/>
    <x v="11"/>
    <s v="LJCXS - Loja Seminovos Caxias do Sul"/>
    <s v="JOAO MARCELO VARGAS"/>
    <s v="POSITIVO"/>
    <d v="1899-12-30T00:32:00"/>
    <d v="1899-12-30T00:00:00"/>
    <d v="1899-12-30T00:32:00"/>
    <s v=" "/>
    <s v=" "/>
    <s v=" "/>
    <d v="1899-12-30T00:32:00"/>
    <s v=" "/>
    <s v=" "/>
    <s v=" "/>
    <s v=" "/>
    <s v=" "/>
    <s v=" "/>
    <s v=" "/>
    <s v=" "/>
    <s v="Ativo"/>
    <x v="6"/>
    <x v="11"/>
    <x v="134"/>
  </r>
  <r>
    <n v="131545"/>
    <x v="997"/>
    <s v="Diretoria Seminovos"/>
    <x v="11"/>
    <s v="LJCXS - Loja Seminovos Caxias do Sul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x v="2"/>
    <x v="11"/>
    <x v="134"/>
  </r>
  <r>
    <n v="125266"/>
    <x v="998"/>
    <s v="Diretoria Seminovos"/>
    <x v="11"/>
    <s v="LJFLN - Loja Seminovos Florianopolis"/>
    <s v="JOAO MARCELO VARGAS"/>
    <s v="POSITIVO"/>
    <d v="1899-12-30T07:49:00"/>
    <d v="1899-12-30T00:00:00"/>
    <d v="1899-12-30T07:49:00"/>
    <s v=" "/>
    <s v=" "/>
    <s v=" "/>
    <s v=" "/>
    <d v="1899-12-30T00:48:00"/>
    <d v="1899-12-30T05:35:00"/>
    <d v="1899-12-30T01:06:00"/>
    <s v=" "/>
    <s v=" "/>
    <s v=" "/>
    <s v=" "/>
    <s v=" "/>
    <s v="Ativo"/>
    <x v="2"/>
    <x v="11"/>
    <x v="113"/>
  </r>
  <r>
    <n v="137161"/>
    <x v="999"/>
    <s v="Diretoria Seminovos"/>
    <x v="11"/>
    <s v="LJJOI - Loja Seminovos Joinville"/>
    <s v="ALEXANDRE PORTO DE CAMARGO"/>
    <s v="POSITIVO"/>
    <d v="1899-12-30T02:01:00"/>
    <d v="1899-12-30T00:00:00"/>
    <d v="1899-12-30T02:01:00"/>
    <s v=" "/>
    <s v=" "/>
    <s v=" "/>
    <s v=" "/>
    <s v=" "/>
    <s v=" "/>
    <d v="1899-12-30T01:59:00"/>
    <s v=" "/>
    <s v=" "/>
    <s v=" "/>
    <s v=" "/>
    <s v=" "/>
    <s v="Ativo"/>
    <x v="6"/>
    <x v="11"/>
    <x v="117"/>
  </r>
  <r>
    <n v="124556"/>
    <x v="1000"/>
    <s v="Diretoria Seminovos"/>
    <x v="11"/>
    <s v="LJSET - Vendas Varejo Seminovos Sertório"/>
    <s v="LEONARDO HENRIQUE TREMEA MANCIO"/>
    <s v="POSITIVO"/>
    <d v="1899-12-30T08:43:00"/>
    <d v="1899-12-30T00:00:00"/>
    <d v="1899-12-30T08:43:00"/>
    <s v=" "/>
    <s v=" "/>
    <s v=" "/>
    <s v=" "/>
    <s v=" "/>
    <s v=" "/>
    <d v="1899-12-30T02:19:00"/>
    <s v=" "/>
    <s v=" "/>
    <s v=" "/>
    <s v=" "/>
    <s v=" "/>
    <s v="Ativo"/>
    <x v="3"/>
    <x v="11"/>
    <x v="1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136988"/>
    <s v="DANIEL CHIELE PEREIRA"/>
    <s v="Diretoria Seminovos"/>
    <s v="LJASO - Regional Seminovos São Paulo Oeste"/>
    <s v="LJASO/MAR - Seminovos Atacado Marília"/>
    <s v="EMERSON LOPES DE MEDEIROS"/>
    <s v="NEGATIVO"/>
    <d v="1900-01-11T11:12:00"/>
    <d v="1900-01-11T11:12:00"/>
    <d v="1899-12-30T00:00:00"/>
    <s v=" "/>
    <s v=" "/>
    <s v=" "/>
    <s v=" "/>
    <s v=" "/>
    <s v=" "/>
    <s v=" "/>
    <d v="1900-01-04T20:48:00"/>
    <d v="1900-01-05T14:24:00"/>
    <s v=" "/>
    <s v=" "/>
    <s v=" "/>
    <s v="Ativo"/>
    <s v="EXECUTIVO DE VENDAS I"/>
    <x v="0"/>
    <s v="LJASO"/>
  </r>
  <r>
    <n v="136985"/>
    <s v="EMERSON FERNANDO DE MAURA"/>
    <s v="Diretoria Seminovos"/>
    <s v="LJASO - Regional Seminovos São Paulo Oeste"/>
    <s v="LJASO/SJP - Seminovos Atacado São José do Rio Preto"/>
    <s v="EMERSON LOPES DE MEDEIROS"/>
    <s v="NEGATIVO"/>
    <d v="1900-01-10T17:36:00"/>
    <d v="1900-01-10T17:36:00"/>
    <d v="1899-12-30T00:00:00"/>
    <s v=" "/>
    <s v=" "/>
    <s v=" "/>
    <s v=" "/>
    <s v=" "/>
    <s v=" "/>
    <s v=" "/>
    <d v="1900-01-05T05:36:00"/>
    <d v="1900-01-04T12:00:00"/>
    <s v=" "/>
    <s v=" "/>
    <s v=" "/>
    <s v="Ativo"/>
    <s v="EXECUTIVO DE VENDAS I"/>
    <x v="0"/>
    <s v="LJASO"/>
  </r>
  <r>
    <n v="502943"/>
    <s v="ROBSON BRUNO SANTOS"/>
    <s v="Diretoria Seminovos"/>
    <s v="LJGRJ - Regional Seminovos Atacado Rio de Janeiro"/>
    <s v="LJGRJ/RIO - Seminovos Atacado Rio de Janeiro"/>
    <s v="LUCIANO JOSE GOMES DE SENA"/>
    <s v="NEGATIVO"/>
    <d v="1900-01-09T04:07:00"/>
    <d v="1900-01-09T04:07:00"/>
    <d v="1899-12-30T00:00:00"/>
    <d v="1899-12-31T10:58:00"/>
    <d v="1900-01-02T11:46:00"/>
    <d v="1900-01-04T05:17:00"/>
    <s v=" "/>
    <s v=" "/>
    <s v=" "/>
    <s v=" "/>
    <s v=" "/>
    <s v=" "/>
    <s v=" "/>
    <s v=" "/>
    <s v=" "/>
    <s v="Ativo"/>
    <s v="AUX. MOVIMENTACAO DE FROTA"/>
    <x v="1"/>
    <s v="LJGRJ"/>
  </r>
  <r>
    <n v="133513"/>
    <s v="CESAR RENATO DE MELO"/>
    <s v="Diretoria Seminovos"/>
    <s v="LJSPA - Regional Seminovos Atacado São Paulo"/>
    <s v="LJSPA/SAO - Seminovos Atacado São Paulo Capital"/>
    <s v="RONALDO SANTOS LIMA"/>
    <s v="NEGATIVO"/>
    <d v="1900-01-04T15:41:00"/>
    <d v="1900-01-04T15:41:00"/>
    <d v="1899-12-30T00:00:00"/>
    <s v=" "/>
    <s v=" "/>
    <s v=" "/>
    <s v=" "/>
    <s v=" "/>
    <s v=" "/>
    <s v=" "/>
    <d v="1899-12-31T03:30:00"/>
    <d v="1899-12-31T20:00:00"/>
    <d v="1899-12-30T21:00:00"/>
    <d v="1899-12-31T19:11:00"/>
    <s v=" "/>
    <s v="Ativo"/>
    <s v="AUX. MOVIMENTACAO DE FROTA"/>
    <x v="2"/>
    <s v="LJSPA"/>
  </r>
  <r>
    <n v="136351"/>
    <s v="CAIRO DANIEL CARVALHO"/>
    <s v="Diretoria Seminovos"/>
    <s v="RSCEN  - Regional Seminovos Varejo Centro"/>
    <s v="LJBHZ - Loja Seminovos Belo Horizonte"/>
    <s v="GUSTAVO LUIZ DO NASCIMENTO"/>
    <s v="NEGATIVO"/>
    <d v="1899-12-31T07:32:00"/>
    <d v="1899-12-31T07:32:00"/>
    <d v="1899-12-30T00:00:00"/>
    <s v=" "/>
    <s v=" "/>
    <s v=" "/>
    <s v=" "/>
    <d v="1899-12-30T03:59:00"/>
    <d v="1899-12-30T14:47:00"/>
    <d v="1899-12-30T08:48:00"/>
    <s v=" "/>
    <s v=" "/>
    <s v=" "/>
    <s v=" "/>
    <s v=" "/>
    <s v="Ativo"/>
    <s v="HIGIENIZADOR DE CARROS"/>
    <x v="3"/>
    <s v="LJBHZ"/>
  </r>
  <r>
    <n v="120870"/>
    <s v="ENES GONCALVES DOS REIS"/>
    <s v="Diretoria Seminovos"/>
    <s v="RSCEN  - Regional Seminovos Varejo Centro"/>
    <s v="LJVNO - Loja Seminovos Venda Nova"/>
    <s v="LILIANE FARIA DE ANDRADE"/>
    <s v="NEGATIVO"/>
    <d v="1900-01-01T04:54:00"/>
    <d v="1900-01-01T04:54:00"/>
    <d v="1899-12-30T00:00:00"/>
    <s v=" "/>
    <s v=" "/>
    <s v=" "/>
    <s v=" "/>
    <d v="1899-12-31T02:01:00"/>
    <d v="1899-12-30T14:41:00"/>
    <d v="1899-12-30T10:56:00"/>
    <s v=" "/>
    <s v=" "/>
    <s v=" "/>
    <s v=" "/>
    <s v=" "/>
    <s v="Ativo"/>
    <s v="HIGIENIZADOR DE CARROS"/>
    <x v="3"/>
    <s v="LJVNO"/>
  </r>
  <r>
    <n v="135678"/>
    <s v="DANIEL WILSON GOMES NASCIMENTO"/>
    <s v="Diretoria Seminovos"/>
    <s v="RSCEN  - Regional Seminovos Varejo Centro"/>
    <s v="LJRAG - Vendas Varejo Seminovos Raja Gabaglia"/>
    <s v="FELIPE RIGHI MOREIRA VEIGA"/>
    <s v="NEGATIVO"/>
    <d v="1900-01-01T03:11:00"/>
    <d v="1900-01-01T03:11:00"/>
    <d v="1899-12-30T00:00:00"/>
    <s v=" "/>
    <s v=" "/>
    <s v=" "/>
    <s v=" "/>
    <s v=" "/>
    <d v="1899-12-30T00:17:00"/>
    <d v="1899-12-30T17:51:00"/>
    <s v=" "/>
    <s v=" "/>
    <s v=" "/>
    <s v=" "/>
    <s v=" "/>
    <s v="Ativo"/>
    <s v="CONSULTOR DE VENDAS"/>
    <x v="3"/>
    <s v="LJRAG"/>
  </r>
  <r>
    <n v="121010"/>
    <s v="GILBERTO SEBASTIAO DE MATOZINHO CARDOSO"/>
    <s v="Diretoria Seminovos"/>
    <s v="RSCEN  - Regional Seminovos Varejo Centro"/>
    <s v="LJANT - Loja Seminovos Antônio Carlos"/>
    <s v="ANDERSON AFFONSO DE PAULA"/>
    <s v="NEGATIVO"/>
    <d v="1900-01-05T12:00:00"/>
    <d v="1900-01-05T12:00:00"/>
    <d v="1899-12-30T00:00:00"/>
    <s v=" "/>
    <s v=" "/>
    <s v=" "/>
    <s v=" "/>
    <d v="1900-01-05T12:00:00"/>
    <s v=" "/>
    <s v=" "/>
    <s v=" "/>
    <s v=" "/>
    <s v=" "/>
    <s v=" "/>
    <s v=" "/>
    <s v="Af.Previdência"/>
    <s v="HIGIENIZADOR DE CARROS"/>
    <x v="3"/>
    <s v="LJANT"/>
  </r>
  <r>
    <n v="136263"/>
    <s v="JOAO VITOR FIGUEIREDO VIANA"/>
    <s v="Diretoria Seminovos"/>
    <s v="RSCEN  - Regional Seminovos Varejo Centro"/>
    <s v="LJRAG - Loja Seminovos Raja Gabaglia"/>
    <s v="FELIPE RIGHI MOREIRA VEIGA"/>
    <s v="NEGATIVO"/>
    <d v="1899-12-30T09:09:00"/>
    <d v="1899-12-30T09:09:00"/>
    <d v="1899-12-30T00:00:00"/>
    <s v=" "/>
    <s v=" "/>
    <s v=" "/>
    <s v=" "/>
    <s v=" "/>
    <d v="1899-12-30T04:34:00"/>
    <d v="1899-12-30T02:26:00"/>
    <s v=" "/>
    <s v=" "/>
    <s v=" "/>
    <s v=" "/>
    <s v=" "/>
    <s v="Ativo"/>
    <s v="HIGIENIZADOR DE CARROS"/>
    <x v="3"/>
    <s v="LJRAG"/>
  </r>
  <r>
    <n v="129823"/>
    <s v="KEVIN NATAN GOMES DE OLIVEIRA"/>
    <s v="Diretoria Seminovos"/>
    <s v="RSCEN  - Regional Seminovos Varejo Centro"/>
    <s v="LJBHZ - Loja Seminovos Belo Horizonte"/>
    <s v="GUSTAVO LUIZ DO NASCIMENTO"/>
    <s v="NEGATIVO"/>
    <d v="1899-12-31T00:18:00"/>
    <d v="1899-12-31T00:18:00"/>
    <d v="1899-12-30T00:00:00"/>
    <s v=" "/>
    <s v=" "/>
    <s v=" "/>
    <s v=" "/>
    <d v="1899-12-30T07:38:00"/>
    <d v="1899-12-30T16:40:00"/>
    <s v=" "/>
    <s v=" "/>
    <s v=" "/>
    <s v=" "/>
    <s v=" "/>
    <s v=" "/>
    <s v="Ativo"/>
    <s v="HIGIENIZADOR DE CARROS"/>
    <x v="3"/>
    <s v="LJBHZ"/>
  </r>
  <r>
    <n v="136087"/>
    <s v="LEIDIANA ALVES REIS"/>
    <s v="Diretoria Seminovos"/>
    <s v="RSCEN  - Regional Seminovos Varejo Centro"/>
    <s v="LJBHZ - Vendas Varejo Seminovos Belo Horizonte"/>
    <s v="GUSTAVO LUIZ DO NASCIMENTO"/>
    <s v="NEGATIVO"/>
    <d v="1899-12-30T18:35:00"/>
    <d v="1899-12-30T18:35:00"/>
    <d v="1899-12-30T00:00:00"/>
    <s v=" "/>
    <s v=" "/>
    <d v="1899-12-30T19:08:00"/>
    <s v=" "/>
    <s v=" "/>
    <s v=" "/>
    <s v=" "/>
    <s v=" "/>
    <s v=" "/>
    <s v=" "/>
    <s v=" "/>
    <s v=" "/>
    <s v="Ativo"/>
    <s v="ADMINISTRATIVO I"/>
    <x v="3"/>
    <s v="LJBHZ"/>
  </r>
  <r>
    <n v="134574"/>
    <s v="MARCELO APARECIDO DA CRUZ SOARES"/>
    <s v="Diretoria Seminovos"/>
    <s v="RSCEN  - Regional Seminovos Varejo Centro"/>
    <s v="LJVEX - Loja Seminovos Via Expressa Contagem"/>
    <s v="FABIO GONCALVES BOSQUE"/>
    <s v="NEGATIVO"/>
    <d v="1899-12-30T08:04:00"/>
    <d v="1899-12-30T08:04:00"/>
    <d v="1899-12-30T00:00:00"/>
    <s v=" "/>
    <s v=" "/>
    <d v="1899-12-30T08:04:00"/>
    <s v=" "/>
    <s v=" "/>
    <s v=" "/>
    <s v=" "/>
    <s v=" "/>
    <s v=" "/>
    <s v=" "/>
    <s v=" "/>
    <s v=" "/>
    <s v="Contrato de Trabalho Suspenso"/>
    <s v="HIGIENIZADOR DE CARROS"/>
    <x v="3"/>
    <s v="LJVEX"/>
  </r>
  <r>
    <n v="503298"/>
    <s v="MIRELE FERREIRA DE MOURA"/>
    <s v="Diretoria Seminovos"/>
    <s v="RSCEN  - Regional Seminovos Varejo Centro"/>
    <s v="LJBET - Loja Seminovos Betim"/>
    <s v="THIAGO MAURICIO GOMES DOS SANTOS"/>
    <s v="NEGATIVO"/>
    <d v="1899-12-30T12:25:00"/>
    <d v="1899-12-30T12:25:00"/>
    <d v="1899-12-30T00:00:00"/>
    <s v=" "/>
    <s v=" "/>
    <d v="1899-12-30T10:13:00"/>
    <d v="1899-12-30T14:15:00"/>
    <s v=" "/>
    <s v=" "/>
    <s v=" "/>
    <s v=" "/>
    <s v=" "/>
    <s v=" "/>
    <s v=" "/>
    <s v=" "/>
    <s v="Ativo"/>
    <s v="APOIO ADMINISTRATIVO - 6H"/>
    <x v="3"/>
    <s v="LJBET"/>
  </r>
  <r>
    <n v="131507"/>
    <s v="PAULO ADRIANO MOREIRA PINTO"/>
    <s v="Diretoria Seminovos"/>
    <s v="RSCEN  - Regional Seminovos Varejo Centro"/>
    <s v="LJBET - Loja Seminovos Betim"/>
    <s v="THIAGO MAURICIO GOMES DOS SANTOS"/>
    <s v="NEGATIVO"/>
    <d v="1899-12-30T16:01:00"/>
    <d v="1899-12-30T16:01:00"/>
    <d v="1899-12-30T00:00:00"/>
    <s v=" "/>
    <s v=" "/>
    <s v=" "/>
    <s v=" "/>
    <s v=" "/>
    <d v="1899-12-30T14:31:00"/>
    <d v="1899-12-30T01:00:00"/>
    <s v=" "/>
    <s v=" "/>
    <s v=" "/>
    <s v=" "/>
    <s v=" "/>
    <s v="Ativo"/>
    <s v="HIGIENIZADOR DE CARROS"/>
    <x v="3"/>
    <s v="LJBET"/>
  </r>
  <r>
    <n v="136141"/>
    <s v="PHILIPPE RUIZ GANDRA"/>
    <s v="Diretoria Seminovos"/>
    <s v="RSCEN  - Regional Seminovos Varejo Centro"/>
    <s v="LJANT - Loja Seminovos Antônio Carlos"/>
    <s v="ANDERSON AFFONSO DE PAULA"/>
    <s v="NEGATIVO"/>
    <d v="1900-01-03T12:09:00"/>
    <d v="1900-01-03T12:09:00"/>
    <d v="1899-12-30T00:00:00"/>
    <s v=" "/>
    <s v=" "/>
    <s v=" "/>
    <s v=" "/>
    <d v="1900-01-03T21:37:00"/>
    <s v=" "/>
    <s v=" "/>
    <s v=" "/>
    <s v=" "/>
    <s v=" "/>
    <s v=" "/>
    <s v=" "/>
    <s v="Ativo"/>
    <s v="HIGIENIZADOR DE CARROS"/>
    <x v="3"/>
    <s v="LJANT"/>
  </r>
  <r>
    <n v="117725"/>
    <s v="REGINA MARGARETH DE LIMA MENDES"/>
    <s v="Diretoria Seminovos"/>
    <s v="RSCEN  - Regional Seminovos Varejo Centro"/>
    <s v="LJBHZ - Loja Seminovos Belo Horizonte"/>
    <s v="GUSTAVO LUIZ DO NASCIMENTO"/>
    <s v="NEGATIVO"/>
    <d v="1900-01-07T08:00:00"/>
    <d v="1900-01-07T08:00:00"/>
    <d v="1899-12-30T00:00:00"/>
    <s v=" "/>
    <s v=" "/>
    <s v=" "/>
    <s v=" "/>
    <s v=" "/>
    <d v="1900-01-07T08:00:00"/>
    <s v=" "/>
    <s v=" "/>
    <s v=" "/>
    <s v=" "/>
    <s v=" "/>
    <s v=" "/>
    <s v="Ativo"/>
    <s v="AUX. DE SERVICOS GERAIS - DIRCS"/>
    <x v="3"/>
    <s v="LJBHZ"/>
  </r>
  <r>
    <n v="131651"/>
    <s v="RODRIGO ALVES VIANA"/>
    <s v="Diretoria Seminovos"/>
    <s v="RSCEN  - Regional Seminovos Varejo Centro"/>
    <s v="LJBHZ - Loja Seminovos Belo Horizonte"/>
    <s v="GUSTAVO LUIZ DO NASCIMENTO"/>
    <s v="NEGATIVO"/>
    <d v="1899-12-30T08:16:00"/>
    <d v="1899-12-30T08:16:00"/>
    <d v="1899-12-30T00:00:00"/>
    <s v=" "/>
    <s v=" "/>
    <s v=" "/>
    <s v=" "/>
    <s v=" "/>
    <d v="1899-12-30T06:26:00"/>
    <d v="1899-12-30T02:16:00"/>
    <s v=" "/>
    <s v=" "/>
    <s v=" "/>
    <s v=" "/>
    <s v=" "/>
    <s v="Ativo"/>
    <s v="HIGIENIZADOR DE CARROS"/>
    <x v="3"/>
    <s v="LJBHZ"/>
  </r>
  <r>
    <n v="124166"/>
    <s v="TIAGO FONSECA QUINTINO"/>
    <s v="Diretoria Seminovos"/>
    <s v="RSCEN  - Regional Seminovos Varejo Centro"/>
    <s v="SNLOG/BHZ - Gerência de Logística"/>
    <s v="BERNARDO DIAS GOMIDE"/>
    <s v="NEGATIVO"/>
    <d v="1900-01-24T23:16:00"/>
    <d v="1900-01-24T23:16:00"/>
    <d v="1899-12-30T00:00:00"/>
    <d v="1900-01-01T05:16:00"/>
    <d v="1900-01-05T10:00:00"/>
    <d v="1900-01-05T03:00:00"/>
    <d v="1900-01-06T01:00:00"/>
    <d v="1900-01-01T04:00:00"/>
    <d v="1900-01-01T00:00:00"/>
    <s v=" "/>
    <s v=" "/>
    <s v=" "/>
    <s v=" "/>
    <s v=" "/>
    <s v=" "/>
    <s v="Ativo"/>
    <s v="AUX. MOVIMENTACAO DE FROTA"/>
    <x v="3"/>
    <s v="SNLOG"/>
  </r>
  <r>
    <n v="132949"/>
    <s v="VICTOR HENRIQUE DE OLIVEIRA"/>
    <s v="Diretoria Seminovos"/>
    <s v="RSCEN  - Regional Seminovos Varejo Centro"/>
    <s v="LJANT - Loja Seminovos Antônio Carlos"/>
    <s v="ANDERSON AFFONSO DE PAULA"/>
    <s v="NEGATIVO"/>
    <d v="1900-01-04T20:05:00"/>
    <d v="1900-01-04T20:05:00"/>
    <d v="1899-12-30T00:00:00"/>
    <s v=" "/>
    <s v=" "/>
    <s v=" "/>
    <s v=" "/>
    <d v="1900-01-05T00:41:00"/>
    <s v=" "/>
    <s v=" "/>
    <s v=" "/>
    <s v=" "/>
    <s v=" "/>
    <s v=" "/>
    <s v=" "/>
    <s v="Ativo"/>
    <s v="HIGIENIZADOR DE CARROS"/>
    <x v="3"/>
    <s v="LJANT"/>
  </r>
  <r>
    <n v="122408"/>
    <s v="WESLEY EUCLIDES DE SOUZA"/>
    <s v="Diretoria Seminovos"/>
    <s v="RSCEN  - Regional Seminovos Varejo Centro"/>
    <s v="LJPAS - Loja Seminovos Portal Belo Horizonte"/>
    <s v="EUDENIR MARES DE SOUSA"/>
    <s v="NEGATIVO"/>
    <d v="1900-01-02T02:02:00"/>
    <d v="1900-01-02T02:02:00"/>
    <d v="1899-12-30T00:00:00"/>
    <s v=" "/>
    <s v=" "/>
    <d v="1899-12-30T21:14:00"/>
    <s v=" "/>
    <s v=" "/>
    <d v="1900-01-01T04:48:00"/>
    <s v=" "/>
    <s v=" "/>
    <s v=" "/>
    <s v=" "/>
    <s v=" "/>
    <s v=" "/>
    <s v="Contrato de Trabalho Suspenso"/>
    <s v="HIGIENIZADOR DE CARROS"/>
    <x v="3"/>
    <s v="LJPAS"/>
  </r>
  <r>
    <n v="129679"/>
    <s v="ARETUSA DA COSTA SILVA"/>
    <s v="Diretoria Seminovos"/>
    <s v="RSCEN  - Regional Seminovos Varejo Centro"/>
    <s v="LJCON - Vendas Varejo Seminovos Contagem"/>
    <s v="LEANDRO AUGUSTO DA SILVA CAMILLOZZI"/>
    <s v="NEGATIVO"/>
    <d v="1899-12-31T07:53:00"/>
    <d v="1899-12-31T07:53:00"/>
    <d v="1899-12-30T00:00:00"/>
    <s v=" "/>
    <s v=" "/>
    <s v=" "/>
    <s v=" "/>
    <d v="1899-12-31T07:53:00"/>
    <s v=" "/>
    <s v=" "/>
    <s v=" "/>
    <s v=" "/>
    <s v=" "/>
    <s v=" "/>
    <s v=" "/>
    <s v="Af.Previdência"/>
    <s v="CONSULTOR DE VENDAS"/>
    <x v="3"/>
    <s v="LJCON"/>
  </r>
  <r>
    <n v="133202"/>
    <s v="BRENO DA PENHA DA SILVA BUSTAMANTE"/>
    <s v="Diretoria Seminovos"/>
    <s v="RSCEN  - Regional Seminovos Varejo Centro"/>
    <s v="LJCMA - Vendas Varejo Seminovos Cristiano Machado"/>
    <s v="ELISIA RAMOS FERNANDES"/>
    <s v="NEGATIVO"/>
    <d v="1899-12-30T02:43:00"/>
    <d v="1899-12-30T02:43:00"/>
    <d v="1899-12-30T00:00:00"/>
    <s v=" "/>
    <s v=" "/>
    <s v=" "/>
    <d v="1899-12-30T07:21:00"/>
    <s v=" "/>
    <s v=" "/>
    <d v="1899-12-30T02:14:00"/>
    <s v=" "/>
    <s v=" "/>
    <s v=" "/>
    <s v=" "/>
    <s v=" "/>
    <s v="Ativo"/>
    <s v="CONSULTOR DE VENDAS"/>
    <x v="3"/>
    <s v="LJCMA"/>
  </r>
  <r>
    <n v="135748"/>
    <s v="CLAUDIA COLLE DE ALMEIDA"/>
    <s v="Diretoria Seminovos"/>
    <s v="RSCEN  - Regional Seminovos Varejo Centro"/>
    <s v="LJANT - Vendas Varejo Seminovos Antônio Carlos"/>
    <s v="ANDERSON AFFONSO DE PAULA"/>
    <s v="NEGATIVO"/>
    <d v="1900-01-06T23:52:00"/>
    <d v="1900-01-06T23:52:00"/>
    <d v="1899-12-30T00:00:00"/>
    <s v=" "/>
    <s v=" "/>
    <s v=" "/>
    <s v=" "/>
    <d v="1900-01-06T22:22:00"/>
    <d v="1899-12-30T01:30:00"/>
    <s v=" "/>
    <s v=" "/>
    <s v=" "/>
    <s v=" "/>
    <s v=" "/>
    <s v=" "/>
    <s v="Contrato de Trabalho Suspenso"/>
    <s v="CONSULTOR DE VENDAS"/>
    <x v="3"/>
    <s v="LJANT"/>
  </r>
  <r>
    <n v="125027"/>
    <s v="EDUARDO COSTA DA SILVA BARRA"/>
    <s v="Diretoria Seminovos"/>
    <s v="RSCEN  - Regional Seminovos Varejo Centro"/>
    <s v="LJANT - Vendas Varejo Seminovos Antônio Carlos"/>
    <s v="ANDERSON AFFONSO DE PAULA"/>
    <s v="NEGATIVO"/>
    <d v="1900-01-14T20:48:00"/>
    <d v="1900-01-14T20:48:00"/>
    <d v="1899-12-30T00:00:00"/>
    <s v=" "/>
    <s v=" "/>
    <s v=" "/>
    <s v=" "/>
    <d v="1900-01-07T08:48:00"/>
    <d v="1900-01-06T12:00:00"/>
    <s v=" "/>
    <s v=" "/>
    <s v=" "/>
    <s v=" "/>
    <s v=" "/>
    <s v=" "/>
    <s v="Contrato de Trabalho Suspenso"/>
    <s v="CONSULTOR DE VENDAS"/>
    <x v="3"/>
    <s v="LJANT"/>
  </r>
  <r>
    <n v="134407"/>
    <s v="EMERSON PEREIRA BARBOSA"/>
    <s v="Diretoria Seminovos"/>
    <s v="RSCEN  - Regional Seminovos Varejo Centro"/>
    <s v="LJVNO - Vendas Varejo Seminovos Venda Nova"/>
    <s v="LILIANE FARIA DE ANDRADE"/>
    <s v="NEGATIVO"/>
    <d v="1900-01-07T02:36:00"/>
    <d v="1900-01-07T02:36:00"/>
    <d v="1899-12-30T00:00:00"/>
    <s v=" "/>
    <s v=" "/>
    <s v=" "/>
    <s v=" "/>
    <d v="1900-01-05T21:24:00"/>
    <d v="1899-12-31T04:03:00"/>
    <d v="1899-12-30T02:52:00"/>
    <s v=" "/>
    <s v=" "/>
    <s v=" "/>
    <s v=" "/>
    <s v=" "/>
    <s v="Ativo"/>
    <s v="CONSULTOR DE VENDAS"/>
    <x v="3"/>
    <s v="LJVNO"/>
  </r>
  <r>
    <n v="502156"/>
    <s v="GLEISON BATISTA DA SILVA"/>
    <s v="Diretoria Seminovos"/>
    <s v="RSCEN  - Regional Seminovos Varejo Centro"/>
    <s v="LJBET - Vendas Varejo Seminovos Betim"/>
    <s v="THIAGO MAURICIO GOMES DOS SANTOS"/>
    <s v="NEGATIVO"/>
    <d v="1899-12-31T19:23:00"/>
    <d v="1899-12-31T19:23:00"/>
    <d v="1899-12-30T00:00:00"/>
    <s v=" "/>
    <s v=" "/>
    <s v=" "/>
    <s v=" "/>
    <s v=" "/>
    <d v="1899-12-31T09:05:00"/>
    <d v="1899-12-30T12:05:00"/>
    <s v=" "/>
    <s v=" "/>
    <s v=" "/>
    <s v=" "/>
    <s v=" "/>
    <s v="Ativo"/>
    <s v="CONSULTOR DE VENDAS"/>
    <x v="3"/>
    <s v="LJBET"/>
  </r>
  <r>
    <n v="136884"/>
    <s v="GUSTAVO PEREIRA DE OLIVEIRA"/>
    <s v="Diretoria Seminovos"/>
    <s v="RSCEN  - Regional Seminovos Varejo Centro"/>
    <s v="LJBET - Vendas Varejo Seminovos Betim"/>
    <s v="THIAGO MAURICIO GOMES DOS SANTOS"/>
    <s v="NEGATIVO"/>
    <d v="1900-01-01T04:48:00"/>
    <d v="1900-01-01T04:48:00"/>
    <d v="1899-12-30T00:00:00"/>
    <s v=" "/>
    <s v=" "/>
    <s v=" "/>
    <s v=" "/>
    <s v=" "/>
    <d v="1900-01-01T04:48:00"/>
    <s v=" "/>
    <s v=" "/>
    <s v=" "/>
    <s v=" "/>
    <s v=" "/>
    <s v=" "/>
    <s v="Ativo"/>
    <s v="CONSULTOR DE VENDAS"/>
    <x v="3"/>
    <s v="LJBET"/>
  </r>
  <r>
    <n v="135001"/>
    <s v="GUSTAVO RAMOS PEREIRA"/>
    <s v="Diretoria Seminovos"/>
    <s v="RSCEN  - Regional Seminovos Varejo Centro"/>
    <s v="LJRAG - Vendas Varejo Seminovos Raja Gabaglia"/>
    <s v="FELIPE RIGHI MOREIRA VEIGA"/>
    <s v="NEGATIVO"/>
    <d v="1900-01-01T02:08:00"/>
    <d v="1900-01-01T02:08:00"/>
    <d v="1899-12-30T00:00:00"/>
    <s v=" "/>
    <s v=" "/>
    <s v=" "/>
    <s v=" "/>
    <s v=" "/>
    <d v="1900-01-01T02:08:00"/>
    <s v=" "/>
    <s v=" "/>
    <s v=" "/>
    <s v=" "/>
    <s v=" "/>
    <s v=" "/>
    <s v="Contrato de Trabalho Suspenso"/>
    <s v="CONSULTOR DE VENDAS"/>
    <x v="3"/>
    <s v="LJRAG"/>
  </r>
  <r>
    <n v="134802"/>
    <s v="HENRIQUE EDUARDO DA SILVA FARIA"/>
    <s v="Diretoria Seminovos"/>
    <s v="RSCEN  - Regional Seminovos Varejo Centro"/>
    <s v="LJANT - Vendas Varejo Seminovos Antônio Carlos"/>
    <s v="ANDERSON AFFONSO DE PAULA"/>
    <s v="NEGATIVO"/>
    <d v="1900-01-07T18:47:00"/>
    <d v="1900-01-07T18:47:00"/>
    <d v="1899-12-30T00:00:00"/>
    <s v=" "/>
    <s v=" "/>
    <s v=" "/>
    <s v=" "/>
    <d v="1900-01-06T02:16:00"/>
    <d v="1899-12-31T16:31:00"/>
    <s v=" "/>
    <s v=" "/>
    <s v=" "/>
    <s v=" "/>
    <s v=" "/>
    <s v=" "/>
    <s v="Contrato de Trabalho Suspenso"/>
    <s v="CONSULTOR DE VENDAS"/>
    <x v="3"/>
    <s v="LJANT"/>
  </r>
  <r>
    <n v="132961"/>
    <s v="ICARO LUIZ PORTELA LOPES"/>
    <s v="Diretoria Seminovos"/>
    <s v="RSCEN  - Regional Seminovos Varejo Centro"/>
    <s v="LJANT - Vendas Varejo Seminovos Antônio Carlos"/>
    <s v="ANDERSON AFFONSO DE PAULA"/>
    <s v="NEGATIVO"/>
    <d v="1899-12-30T02:48:00"/>
    <d v="1899-12-30T02:48:00"/>
    <d v="1899-12-30T00:00:00"/>
    <s v=" "/>
    <s v=" "/>
    <s v=" "/>
    <d v="1899-12-30T02:48:00"/>
    <s v=" "/>
    <s v=" "/>
    <s v=" "/>
    <s v=" "/>
    <s v=" "/>
    <s v=" "/>
    <s v=" "/>
    <s v=" "/>
    <s v="Ativo"/>
    <s v="CONSULTOR DE VENDAS"/>
    <x v="3"/>
    <s v="LJANT"/>
  </r>
  <r>
    <n v="133546"/>
    <s v="LUCAS MOREIRA GONTIJO"/>
    <s v="Diretoria Seminovos"/>
    <s v="RSCEN  - Regional Seminovos Varejo Centro"/>
    <s v="LJPAS - Vendas Varejo Seminovos Portal Belo Horizonte"/>
    <s v="EUDENIR MARES DE SOUSA"/>
    <s v="NEGATIVO"/>
    <d v="1900-01-06T06:45:00"/>
    <d v="1900-01-06T06:45:00"/>
    <d v="1899-12-30T00:00:00"/>
    <s v=" "/>
    <s v=" "/>
    <s v=" "/>
    <s v=" "/>
    <s v=" "/>
    <d v="1900-01-06T06:45:00"/>
    <s v=" "/>
    <s v=" "/>
    <s v=" "/>
    <s v=" "/>
    <s v=" "/>
    <s v=" "/>
    <s v="Ativo"/>
    <s v="CONSULTOR DE VENDAS"/>
    <x v="3"/>
    <s v="LJPAS"/>
  </r>
  <r>
    <n v="131924"/>
    <s v="LUCAS TORRES PINHEIRO MAIA"/>
    <s v="Diretoria Seminovos"/>
    <s v="RSCEN  - Regional Seminovos Varejo Centro"/>
    <s v="LJANT - Vendas Varejo Seminovos Antônio Carlos"/>
    <s v="ANDERSON AFFONSO DE PAULA"/>
    <s v="NEGATIVO"/>
    <d v="1899-12-30T02:36:00"/>
    <d v="1899-12-30T02:36:00"/>
    <d v="1899-12-30T00:00:00"/>
    <s v=" "/>
    <s v=" "/>
    <d v="1899-12-30T10:48:00"/>
    <s v=" "/>
    <s v=" "/>
    <s v=" "/>
    <s v=" "/>
    <s v=" "/>
    <s v=" "/>
    <s v=" "/>
    <s v=" "/>
    <s v=" "/>
    <s v="Ativo"/>
    <s v="CONSULTOR DE VENDAS"/>
    <x v="3"/>
    <s v="LJANT"/>
  </r>
  <r>
    <n v="129753"/>
    <s v="MARCELO EDGARD OLIVEIRA MENDONCA"/>
    <s v="Diretoria Seminovos"/>
    <s v="RSCEN  - Regional Seminovos Varejo Centro"/>
    <s v="LJVNO - Vendas Varejo Seminovos Venda Nova"/>
    <s v="LILIANE FARIA DE ANDRADE"/>
    <s v="NEGATIVO"/>
    <d v="1900-01-08T14:17:00"/>
    <d v="1900-01-08T14:17:00"/>
    <d v="1899-12-30T00:00:00"/>
    <s v=" "/>
    <s v=" "/>
    <s v=" "/>
    <s v=" "/>
    <d v="1900-01-06T00:59:00"/>
    <d v="1900-01-01T09:36:00"/>
    <d v="1899-12-30T03:42:00"/>
    <s v=" "/>
    <s v=" "/>
    <s v=" "/>
    <s v=" "/>
    <s v=" "/>
    <s v="Ativo"/>
    <s v="CONSULTOR DE VENDAS"/>
    <x v="3"/>
    <s v="LJVNO"/>
  </r>
  <r>
    <n v="131029"/>
    <s v="MATHEUS CHRISTIAN TEIXEIRA"/>
    <s v="Diretoria Seminovos"/>
    <s v="RSCEN  - Regional Seminovos Varejo Centro"/>
    <s v="LJCON - Vendas Varejo Seminovos Contagem"/>
    <s v="LEANDRO AUGUSTO DA SILVA CAMILLOZZI"/>
    <s v="NEGATIVO"/>
    <d v="1899-12-30T14:44:00"/>
    <d v="1899-12-30T14:44:00"/>
    <d v="1899-12-30T00:00:00"/>
    <s v=" "/>
    <s v=" "/>
    <s v=" "/>
    <s v=" "/>
    <s v=" "/>
    <d v="1899-12-30T16:27:00"/>
    <d v="1899-12-30T00:31:00"/>
    <s v=" "/>
    <s v=" "/>
    <s v=" "/>
    <s v=" "/>
    <s v=" "/>
    <s v="Ativo"/>
    <s v="CONSULTOR DE VENDAS"/>
    <x v="3"/>
    <s v="LJCON"/>
  </r>
  <r>
    <n v="134813"/>
    <s v="NALLU SOARES DE OLIVEIRA"/>
    <s v="Diretoria Seminovos"/>
    <s v="RSCEN  - Regional Seminovos Varejo Centro"/>
    <s v="LJJFO - Vendas Varejo Seminovos Juiz de Fora"/>
    <s v="THIAGO DE SOUZA FREIRE"/>
    <s v="NEGATIVO"/>
    <d v="1900-01-07T16:48:00"/>
    <d v="1900-01-07T16:48:00"/>
    <d v="1899-12-30T00:00:00"/>
    <s v=" "/>
    <s v=" "/>
    <s v=" "/>
    <s v=" "/>
    <d v="1900-01-01T16:48:00"/>
    <d v="1900-01-05T00:00:00"/>
    <s v=" "/>
    <s v=" "/>
    <s v=" "/>
    <s v=" "/>
    <s v=" "/>
    <s v=" "/>
    <s v="Contrato de Trabalho Suspenso"/>
    <s v="CONSULTOR DE VENDAS"/>
    <x v="3"/>
    <s v="LJJFO"/>
  </r>
  <r>
    <n v="136405"/>
    <s v="PAULO ROBERTO JUNIOR MIRANDA"/>
    <s v="Diretoria Seminovos"/>
    <s v="RSCEN  - Regional Seminovos Varejo Centro"/>
    <s v="LJANT - Vendas Varejo Seminovos Antônio Carlos"/>
    <s v="ANDERSON AFFONSO DE PAULA"/>
    <s v="NEGATIVO"/>
    <d v="1900-01-03T08:53:00"/>
    <d v="1900-01-03T08:53:00"/>
    <d v="1899-12-30T00:00:00"/>
    <s v=" "/>
    <s v=" "/>
    <s v=" "/>
    <s v=" "/>
    <d v="1900-01-03T08:53:00"/>
    <s v=" "/>
    <s v=" "/>
    <s v=" "/>
    <s v=" "/>
    <s v=" "/>
    <s v=" "/>
    <s v=" "/>
    <s v="Ativo"/>
    <s v="CONSULTOR DE VENDAS"/>
    <x v="3"/>
    <s v="LJANT"/>
  </r>
  <r>
    <n v="132701"/>
    <s v="RICHARD ELIZARIO TEIXEIRA CHAVES AGUIAR"/>
    <s v="Diretoria Seminovos"/>
    <s v="RSCEN  - Regional Seminovos Varejo Centro"/>
    <s v="LJANT - Vendas Varejo Seminovos Antônio Carlos"/>
    <s v="ANDERSON AFFONSO DE PAULA"/>
    <s v="NEGATIVO"/>
    <d v="1900-01-01T04:48:00"/>
    <d v="1900-01-01T04:48:00"/>
    <d v="1899-12-30T00:00:00"/>
    <s v=" "/>
    <s v=" "/>
    <s v=" "/>
    <s v=" "/>
    <s v=" "/>
    <d v="1900-01-01T04:48:00"/>
    <s v=" "/>
    <s v=" "/>
    <s v=" "/>
    <s v=" "/>
    <s v=" "/>
    <s v=" "/>
    <s v="Ativo"/>
    <s v="CONSULTOR DE VENDAS"/>
    <x v="3"/>
    <s v="LJANT"/>
  </r>
  <r>
    <n v="135978"/>
    <s v="RODRIGO DE OLIVEIRA SILVA"/>
    <s v="Diretoria Seminovos"/>
    <s v="RSCEN  - Regional Seminovos Varejo Centro"/>
    <s v="LJPAS - Vendas Varejo Seminovos Portal Belo Horizonte"/>
    <s v="EUDENIR MARES DE SOUSA"/>
    <s v="NEGATIVO"/>
    <d v="1899-12-30T13:36:00"/>
    <d v="1899-12-30T13:36:00"/>
    <d v="1899-12-30T00:00:00"/>
    <s v=" "/>
    <s v=" "/>
    <s v=" "/>
    <s v=" "/>
    <d v="1899-12-30T13:36:00"/>
    <s v=" "/>
    <s v=" "/>
    <s v=" "/>
    <s v=" "/>
    <s v=" "/>
    <s v=" "/>
    <s v=" "/>
    <s v="Ativo"/>
    <s v="CONSULTOR DE VENDAS"/>
    <x v="3"/>
    <s v="LJPAS"/>
  </r>
  <r>
    <n v="125046"/>
    <s v="ROGERES RIBEIRO LOPES"/>
    <s v="Diretoria Seminovos"/>
    <s v="RSCEN  - Regional Seminovos Varejo Centro"/>
    <s v="LJVEX - Vendas Varejo Seminovos Via Expressa Contagem"/>
    <s v="FABIO GONCALVES BOSQUE"/>
    <s v="NEGATIVO"/>
    <d v="1899-12-30T03:11:00"/>
    <d v="1899-12-30T03:11:00"/>
    <d v="1899-12-30T00:00:00"/>
    <s v=" "/>
    <s v=" "/>
    <d v="1899-12-30T03:11:00"/>
    <s v=" "/>
    <s v=" "/>
    <s v=" "/>
    <s v=" "/>
    <s v=" "/>
    <s v=" "/>
    <s v=" "/>
    <s v=" "/>
    <s v=" "/>
    <s v="Contrato de Trabalho Suspenso"/>
    <s v="CONSULTOR DE VENDAS"/>
    <x v="3"/>
    <s v="LJVEX"/>
  </r>
  <r>
    <n v="132983"/>
    <s v="RONAN FRANCA"/>
    <s v="Diretoria Seminovos"/>
    <s v="RSCEN  - Regional Seminovos Varejo Centro"/>
    <s v="LJBHZ - Vendas Varejo Seminovos Belo Horizonte"/>
    <s v="GUSTAVO LUIZ DO NASCIMENTO"/>
    <s v="NEGATIVO"/>
    <d v="1899-12-30T03:05:00"/>
    <d v="1899-12-30T03:05:00"/>
    <d v="1899-12-30T00:00:00"/>
    <s v=" "/>
    <s v=" "/>
    <s v=" "/>
    <d v="1899-12-30T05:55:00"/>
    <s v=" "/>
    <s v=" "/>
    <d v="1899-12-30T01:46:00"/>
    <s v=" "/>
    <s v=" "/>
    <s v=" "/>
    <s v=" "/>
    <s v=" "/>
    <s v="Ativo"/>
    <s v="CONSULTOR DE VENDAS"/>
    <x v="3"/>
    <s v="LJBHZ"/>
  </r>
  <r>
    <n v="122848"/>
    <s v="THAIS SUELEM DA SILVA GONCALVES"/>
    <s v="Diretoria Seminovos"/>
    <s v="RSCEN  - Regional Seminovos Varejo Centro"/>
    <s v="LJCON - Vendas Varejo Seminovos Contagem"/>
    <s v="LEANDRO AUGUSTO DA SILVA CAMILLOZZI"/>
    <s v="NEGATIVO"/>
    <d v="1899-12-30T18:56:00"/>
    <d v="1899-12-30T18:56:00"/>
    <d v="1899-12-30T00:00:00"/>
    <s v=" "/>
    <s v=" "/>
    <s v=" "/>
    <s v=" "/>
    <s v=" "/>
    <d v="1899-12-30T21:34:00"/>
    <d v="1899-12-30T04:33:00"/>
    <s v=" "/>
    <s v=" "/>
    <s v=" "/>
    <s v=" "/>
    <s v=" "/>
    <s v="Ativo"/>
    <s v="CONSULTOR DE VENDAS"/>
    <x v="3"/>
    <s v="LJCON"/>
  </r>
  <r>
    <n v="132699"/>
    <s v="THIAGO DE PAULA SANTOS"/>
    <s v="Diretoria Seminovos"/>
    <s v="RSCEN  - Regional Seminovos Varejo Centro"/>
    <s v="LJPAS - Vendas Varejo Seminovos Portal Belo Horizonte"/>
    <s v="EUDENIR MARES DE SOUSA"/>
    <s v="NEGATIVO"/>
    <d v="1899-12-30T16:00:00"/>
    <d v="1899-12-30T16:00:00"/>
    <d v="1899-12-30T00:00:00"/>
    <s v=" "/>
    <s v=" "/>
    <s v=" "/>
    <s v=" "/>
    <s v=" "/>
    <d v="1899-12-30T16:00:00"/>
    <s v=" "/>
    <s v=" "/>
    <s v=" "/>
    <s v=" "/>
    <s v=" "/>
    <s v=" "/>
    <s v="Ativo"/>
    <s v="CONSULTOR DE VENDAS"/>
    <x v="3"/>
    <s v="LJPAS"/>
  </r>
  <r>
    <n v="123302"/>
    <s v="VIVIANE GUEDES DE ALMEIDA"/>
    <s v="Diretoria Seminovos"/>
    <s v="RSCEN  - Regional Seminovos Varejo Centro"/>
    <s v="LJJFO - Vendas Varejo Seminovos Juiz de Fora"/>
    <s v="THIAGO DE SOUZA FREIRE"/>
    <s v="NEGATIVO"/>
    <d v="1900-01-03T18:37:00"/>
    <d v="1900-01-03T18:37:00"/>
    <d v="1899-12-30T00:00:00"/>
    <s v=" "/>
    <s v=" "/>
    <s v=" "/>
    <s v=" "/>
    <d v="1900-01-01T23:25:00"/>
    <d v="1899-12-31T19:12:00"/>
    <s v=" "/>
    <s v=" "/>
    <s v=" "/>
    <s v=" "/>
    <s v=" "/>
    <s v=" "/>
    <s v="Ativo"/>
    <s v="CONSULTOR DE VENDAS"/>
    <x v="3"/>
    <s v="LJJFO"/>
  </r>
  <r>
    <n v="121686"/>
    <s v="ADIEL DA SILVA FRANCO"/>
    <s v="Diretoria Seminovos"/>
    <s v="RSCOE - Regional Seminovos Varejo Centro Oeste"/>
    <s v="LJCGR - Loja Seminovos Campo Grande"/>
    <s v="DOUGLAS PEREIRA SANDIM"/>
    <s v="NEGATIVO"/>
    <d v="1899-12-30T04:38:00"/>
    <d v="1899-12-30T04:38:00"/>
    <d v="1899-12-30T00:00:00"/>
    <s v=" "/>
    <s v=" "/>
    <s v=" "/>
    <s v=" "/>
    <s v=" "/>
    <d v="1899-12-30T03:52:00"/>
    <d v="1899-12-30T00:46:00"/>
    <s v=" "/>
    <s v=" "/>
    <s v=" "/>
    <s v=" "/>
    <s v=" "/>
    <s v="Contrato de Trabalho Suspenso"/>
    <s v="HIGIENIZADOR DE CARROS"/>
    <x v="4"/>
    <s v="LJCGR"/>
  </r>
  <r>
    <n v="121913"/>
    <s v="ALEXSANDRA PEREIRA DE JESUS AMARAL"/>
    <s v="Diretoria Seminovos"/>
    <s v="RSCOE - Regional Seminovos Varejo Centro Oeste"/>
    <s v="LJVIS - Loja Seminovos Vitória Serra"/>
    <s v="EUGENIO OLIVEIRA DAMASCENO DE JESUS"/>
    <s v="NEGATIVO"/>
    <d v="1900-01-03T13:10:00"/>
    <d v="1900-01-03T13:10:00"/>
    <d v="1899-12-30T00:00:00"/>
    <s v=" "/>
    <s v=" "/>
    <s v=" "/>
    <s v=" "/>
    <d v="1900-01-02T00:00:00"/>
    <d v="1899-12-31T13:10:00"/>
    <s v=" "/>
    <s v=" "/>
    <s v=" "/>
    <s v=" "/>
    <s v=" "/>
    <s v=" "/>
    <s v="Férias"/>
    <s v="AUX. DE SERVICOS GERAIS - DIRCS"/>
    <x v="4"/>
    <s v="LJVIS"/>
  </r>
  <r>
    <n v="500557"/>
    <s v="APARECIDA CLAUDIA PINHEIRO DA SILVA"/>
    <s v="Diretoria Seminovos"/>
    <s v="RSCOE - Regional Seminovos Varejo Centro Oeste"/>
    <s v="LJGOI - Loja Seminovos Goiania"/>
    <s v="PAULO ROBERTO PEREIRA DE ARAUJO"/>
    <s v="NEGATIVO"/>
    <d v="1900-01-03T00:35:00"/>
    <d v="1900-01-03T00:35:00"/>
    <d v="1899-12-30T00:00:00"/>
    <s v=" "/>
    <s v=" "/>
    <s v=" "/>
    <s v=" "/>
    <s v=" "/>
    <s v=" "/>
    <s v=" "/>
    <s v=" "/>
    <s v=" "/>
    <s v=" "/>
    <d v="1900-01-02T02:19:00"/>
    <d v="1899-12-30T08:20:00"/>
    <s v="Ativo"/>
    <s v="AUX. DE SERVICOS GERAIS - DIRCS"/>
    <x v="4"/>
    <s v="LJGOI"/>
  </r>
  <r>
    <n v="136623"/>
    <s v="ARIADNE RODRIGUES DA SILVA"/>
    <s v="Diretoria Seminovos"/>
    <s v="RSCOE - Regional Seminovos Varejo Centro Oeste"/>
    <s v="LJVIX - Loja Seminovos Vitória"/>
    <s v="EUGENIO OLIVEIRA DAMASCENO DE JESUS"/>
    <s v="NEGATIVO"/>
    <d v="1900-01-03T18:24:00"/>
    <d v="1900-01-03T18:24:00"/>
    <d v="1899-12-30T00:00:00"/>
    <s v=" "/>
    <s v=" "/>
    <s v=" "/>
    <s v=" "/>
    <d v="1900-01-03T05:12:00"/>
    <d v="1899-12-30T13:12:00"/>
    <s v=" "/>
    <s v=" "/>
    <s v=" "/>
    <s v=" "/>
    <s v=" "/>
    <s v=" "/>
    <s v="Ativo"/>
    <s v="AUX. DE SERVICOS GERAIS - DIRCS"/>
    <x v="4"/>
    <s v="LJVIX"/>
  </r>
  <r>
    <n v="118528"/>
    <s v="CHAYLLON MONTIJO PACHECO"/>
    <s v="Diretoria Seminovos"/>
    <s v="RSCOE - Regional Seminovos Varejo Centro Oeste"/>
    <s v="LJGYG - Loja Seminovos Goiânia"/>
    <s v="LIDYANE GUIMARAES DO NASCIMENTO SANTOS"/>
    <s v="NEGATIVO"/>
    <d v="1900-01-02T03:23:00"/>
    <d v="1900-01-02T03:23:00"/>
    <d v="1899-12-30T00:00:00"/>
    <s v=" "/>
    <s v=" "/>
    <s v=" "/>
    <s v=" "/>
    <s v=" "/>
    <s v=" "/>
    <s v=" "/>
    <s v=" "/>
    <s v=" "/>
    <d v="1899-12-30T01:39:00"/>
    <d v="1900-01-01T17:49:00"/>
    <d v="1899-12-30T08:11:00"/>
    <s v="Ativo"/>
    <s v="HIGIENIZADOR DE CARROS"/>
    <x v="4"/>
    <s v="LJGYG"/>
  </r>
  <r>
    <n v="501881"/>
    <s v="ELIZABETH SILVA"/>
    <s v="Diretoria Seminovos"/>
    <s v="RSCOE - Regional Seminovos Varejo Centro Oeste"/>
    <s v="LJUDI - Loja Seminovos Uberlândia"/>
    <s v="CARLOS ALBERTO GONCALVES"/>
    <s v="NEGATIVO"/>
    <d v="1899-12-30T06:35:00"/>
    <d v="1899-12-30T06:35:00"/>
    <d v="1899-12-30T00:00:00"/>
    <s v=" "/>
    <s v=" "/>
    <s v=" "/>
    <s v=" "/>
    <s v=" "/>
    <d v="1899-12-30T07:53:00"/>
    <d v="1899-12-30T08:00:00"/>
    <s v=" "/>
    <s v=" "/>
    <s v=" "/>
    <s v=" "/>
    <s v=" "/>
    <s v="Ativo"/>
    <s v="AUX. DE SERVICOS GERAIS - DIRCS"/>
    <x v="4"/>
    <s v="LJUDI"/>
  </r>
  <r>
    <n v="133181"/>
    <s v="JEVERSON DA SILVA SANTOS"/>
    <s v="Diretoria Seminovos"/>
    <s v="RSCOE - Regional Seminovos Varejo Centro Oeste"/>
    <s v="LJUDI - Loja Seminovos Uberlândia"/>
    <s v="CARLOS ALBERTO GONCALVES"/>
    <s v="NEGATIVO"/>
    <d v="1899-12-30T18:44:00"/>
    <d v="1899-12-30T18:44:00"/>
    <d v="1899-12-30T00:00:00"/>
    <s v=" "/>
    <s v=" "/>
    <s v=" "/>
    <s v=" "/>
    <s v=" "/>
    <d v="1899-12-30T12:43:00"/>
    <d v="1899-12-30T04:45:00"/>
    <s v=" "/>
    <s v=" "/>
    <s v=" "/>
    <s v=" "/>
    <s v=" "/>
    <s v="Ativo"/>
    <s v="HIGIENIZADOR DE CARROS"/>
    <x v="4"/>
    <s v="LJUDI"/>
  </r>
  <r>
    <n v="129668"/>
    <s v="JOSE ALAIR RODRIGUES DE FREITAS JUNIOR"/>
    <s v="Diretoria Seminovos"/>
    <s v="RSCOE - Regional Seminovos Varejo Centro Oeste"/>
    <s v="LJGYG - Loja Seminovos Goiânia"/>
    <s v="LIDYANE GUIMARAES DO NASCIMENTO SANTOS"/>
    <s v="NEGATIVO"/>
    <d v="1900-01-02T11:47:00"/>
    <d v="1900-01-02T11:47:00"/>
    <d v="1899-12-30T00:00:00"/>
    <s v=" "/>
    <s v=" "/>
    <s v=" "/>
    <s v=" "/>
    <s v=" "/>
    <s v=" "/>
    <s v=" "/>
    <s v=" "/>
    <s v=" "/>
    <d v="1899-12-30T16:13:00"/>
    <d v="1900-01-01T10:59:00"/>
    <d v="1899-12-30T08:35:00"/>
    <s v="Ativo"/>
    <s v="HIGIENIZADOR DE CARROS"/>
    <x v="4"/>
    <s v="LJGYG"/>
  </r>
  <r>
    <n v="501736"/>
    <s v="MACIEL RODRIGUES DA SILVA"/>
    <s v="Diretoria Seminovos"/>
    <s v="RSCOE - Regional Seminovos Varejo Centro Oeste"/>
    <s v="LJGOI - Loja Seminovos Goiania"/>
    <s v="PAULO ROBERTO PEREIRA DE ARAUJO"/>
    <s v="NEGATIVO"/>
    <d v="1899-12-30T16:31:00"/>
    <d v="1899-12-30T16:31:00"/>
    <d v="1899-12-30T00:00:00"/>
    <s v=" "/>
    <s v=" "/>
    <s v=" "/>
    <s v=" "/>
    <s v=" "/>
    <s v=" "/>
    <s v=" "/>
    <s v=" "/>
    <s v=" "/>
    <d v="1899-12-30T01:34:00"/>
    <d v="1899-12-30T18:35:00"/>
    <s v=" "/>
    <s v="Ativo"/>
    <s v="HIGIENIZADOR DE CARROS"/>
    <x v="4"/>
    <s v="LJGOI"/>
  </r>
  <r>
    <n v="130433"/>
    <s v="MARCUS VINICIUS GOMES LIMA"/>
    <s v="Diretoria Seminovos"/>
    <s v="RSCOE - Regional Seminovos Varejo Centro Oeste"/>
    <s v="LJAPS - Loja Seminovos Anapolis"/>
    <s v="RODRIGO REIS FIALHO"/>
    <s v="NEGATIVO"/>
    <d v="1899-12-30T10:24:00"/>
    <d v="1899-12-30T10:24:00"/>
    <d v="1899-12-30T00:00:00"/>
    <s v=" "/>
    <s v=" "/>
    <s v=" "/>
    <s v=" "/>
    <s v=" "/>
    <s v=" "/>
    <s v=" "/>
    <s v=" "/>
    <s v=" "/>
    <s v=" "/>
    <d v="1899-12-30T04:37:00"/>
    <d v="1899-12-30T09:47:00"/>
    <s v="Ativo"/>
    <s v="HIGIENIZADOR DE CARROS"/>
    <x v="4"/>
    <s v="LJAPS"/>
  </r>
  <r>
    <n v="119966"/>
    <s v="MARINA PEREIRA DA SILVA"/>
    <s v="Diretoria Seminovos"/>
    <s v="RSCOE - Regional Seminovos Varejo Centro Oeste"/>
    <s v="LJAPS - Loja Seminovos Anapolis"/>
    <s v="RODRIGO REIS FIALHO"/>
    <s v="NEGATIVO"/>
    <d v="1899-12-30T08:58:00"/>
    <d v="1899-12-30T08:58:00"/>
    <d v="1899-12-30T00:00:00"/>
    <s v=" "/>
    <s v=" "/>
    <s v=" "/>
    <s v=" "/>
    <s v=" "/>
    <s v=" "/>
    <s v=" "/>
    <d v="1899-12-30T09:30:00"/>
    <d v="1899-12-30T01:24:00"/>
    <s v=" "/>
    <s v=" "/>
    <d v="1899-12-30T00:08:00"/>
    <s v="Ativo"/>
    <s v="AUX. DE SERVICOS GERAIS - DIRCS"/>
    <x v="4"/>
    <s v="LJAPS"/>
  </r>
  <r>
    <n v="124559"/>
    <s v="NAIR LEAL DOS SANTOS"/>
    <s v="Diretoria Seminovos"/>
    <s v="RSCOE - Regional Seminovos Varejo Centro Oeste"/>
    <s v="LJBSB - Loja Seminovos Brasília"/>
    <s v="RODRIGO REIS FIALHO"/>
    <s v="NEGATIVO"/>
    <d v="1899-12-30T07:17:00"/>
    <d v="1899-12-30T07:17:00"/>
    <d v="1899-12-30T00:00:00"/>
    <s v=" "/>
    <s v=" "/>
    <s v=" "/>
    <s v=" "/>
    <s v=" "/>
    <d v="1899-12-30T06:12:00"/>
    <d v="1899-12-30T01:05:00"/>
    <s v=" "/>
    <s v=" "/>
    <s v=" "/>
    <s v=" "/>
    <s v=" "/>
    <s v="Ativo"/>
    <s v="AUX. DE SERVICOS GERAIS - DIRCS"/>
    <x v="4"/>
    <s v="LJBSB"/>
  </r>
  <r>
    <n v="133299"/>
    <s v="RENAN SILVA GOMES"/>
    <s v="Diretoria Seminovos"/>
    <s v="RSCOE - Regional Seminovos Varejo Centro Oeste"/>
    <s v="LJVIX - Loja Seminovos Vitória"/>
    <s v="EUGENIO OLIVEIRA DAMASCENO DE JESUS"/>
    <s v="NEGATIVO"/>
    <d v="1899-12-30T03:11:00"/>
    <d v="1899-12-30T03:11:00"/>
    <d v="1899-12-30T00:00:00"/>
    <s v=" "/>
    <s v=" "/>
    <s v=" "/>
    <s v=" "/>
    <s v=" "/>
    <d v="1899-12-30T03:11:00"/>
    <s v=" "/>
    <s v=" "/>
    <s v=" "/>
    <s v=" "/>
    <s v=" "/>
    <s v=" "/>
    <s v="Ativo"/>
    <s v="HIGIENIZADOR DE CARROS"/>
    <x v="4"/>
    <s v="LJVIX"/>
  </r>
  <r>
    <n v="131222"/>
    <s v="SONHELI TELLES DA SILVA"/>
    <s v="Diretoria Seminovos"/>
    <s v="RSCOE - Regional Seminovos Varejo Centro Oeste"/>
    <s v="LJPLM - Loja Seminovos Palmas"/>
    <s v="THIAGO MELO DE FREITAS"/>
    <s v="NEGATIVO"/>
    <d v="1899-12-31T17:30:00"/>
    <d v="1899-12-31T17:30:00"/>
    <d v="1899-12-30T00:00:00"/>
    <s v=" "/>
    <s v=" "/>
    <s v=" "/>
    <s v=" "/>
    <d v="1900-01-01T03:58:00"/>
    <d v="1899-12-30T00:16:00"/>
    <s v=" "/>
    <s v=" "/>
    <s v=" "/>
    <s v=" "/>
    <s v=" "/>
    <s v=" "/>
    <s v="Ativo"/>
    <s v="AUX. DE SERVICOS GERAIS - DIRCS"/>
    <x v="4"/>
    <s v="LJPLM"/>
  </r>
  <r>
    <n v="133322"/>
    <s v="THIAGO SANTANA RIBEIRO FERNANDES"/>
    <s v="Diretoria Seminovos"/>
    <s v="RSCOE - Regional Seminovos Varejo Centro Oeste"/>
    <s v="LJCGB - Loja Seminovos Cuiabá"/>
    <s v="FERNANDO CESAR CAPATO"/>
    <s v="NEGATIVO"/>
    <d v="1899-12-30T18:26:00"/>
    <d v="1899-12-30T18:26:00"/>
    <d v="1899-12-30T00:00:00"/>
    <s v=" "/>
    <s v=" "/>
    <s v=" "/>
    <s v=" "/>
    <s v=" "/>
    <d v="1899-12-30T18:26:00"/>
    <s v=" "/>
    <s v=" "/>
    <s v=" "/>
    <s v=" "/>
    <s v=" "/>
    <s v=" "/>
    <s v="Contrato de Trabalho Suspenso"/>
    <s v="HIGIENIZADOR DE CARROS"/>
    <x v="4"/>
    <s v="LJCGB"/>
  </r>
  <r>
    <n v="132824"/>
    <s v="TULIO CESAR GOMES CRUZ"/>
    <s v="Diretoria Seminovos"/>
    <s v="RSCOE - Regional Seminovos Varejo Centro Oeste"/>
    <s v="LJAPS - Loja Seminovos Anapolis"/>
    <s v="RODRIGO REIS FIALHO"/>
    <s v="NEGATIVO"/>
    <d v="1899-12-31T07:29:00"/>
    <d v="1899-12-31T07:29:00"/>
    <d v="1899-12-30T00:00:00"/>
    <s v=" "/>
    <s v=" "/>
    <s v=" "/>
    <s v=" "/>
    <s v=" "/>
    <s v=" "/>
    <s v=" "/>
    <s v=" "/>
    <s v=" "/>
    <s v=" "/>
    <d v="1899-12-30T23:29:00"/>
    <d v="1899-12-30T08:00:00"/>
    <s v="Contrato de Trabalho Suspenso"/>
    <s v="HIGIENIZADOR DE CARROS"/>
    <x v="4"/>
    <s v="LJAPS"/>
  </r>
  <r>
    <n v="502844"/>
    <s v="VALERIA MARTINS DE SOUZA RIBEIRO"/>
    <s v="Diretoria Seminovos"/>
    <s v="RSCOE - Regional Seminovos Varejo Centro Oeste"/>
    <s v="LJGYG - Loja Seminovos Goiânia"/>
    <s v="LIDYANE GUIMARAES DO NASCIMENTO SANTOS"/>
    <s v="NEGATIVO"/>
    <d v="1899-12-31T22:45:00"/>
    <d v="1899-12-31T22:45:00"/>
    <d v="1899-12-30T00:00:00"/>
    <s v=" "/>
    <s v=" "/>
    <s v=" "/>
    <s v=" "/>
    <s v=" "/>
    <s v=" "/>
    <s v=" "/>
    <s v=" "/>
    <s v=" "/>
    <s v=" "/>
    <d v="1899-12-31T16:46:00"/>
    <d v="1899-12-30T08:00:00"/>
    <s v="Ativo"/>
    <s v="AUX. DE SERVICOS GERAIS - DIRCS"/>
    <x v="4"/>
    <s v="LJGYG"/>
  </r>
  <r>
    <n v="133797"/>
    <s v="WEBERT GOMES BARROS"/>
    <s v="Diretoria Seminovos"/>
    <s v="RSCOE - Regional Seminovos Varejo Centro Oeste"/>
    <s v="LJBSB - Loja Seminovos Brasília"/>
    <s v="RODRIGO REIS FIALHO"/>
    <s v="NEGATIVO"/>
    <d v="1899-12-31T07:27:00"/>
    <d v="1899-12-31T07:27:00"/>
    <d v="1899-12-30T00:00:00"/>
    <s v=" "/>
    <s v=" "/>
    <s v=" "/>
    <s v=" "/>
    <s v=" "/>
    <d v="1899-12-31T07:58:00"/>
    <s v=" "/>
    <s v=" "/>
    <s v=" "/>
    <s v=" "/>
    <s v=" "/>
    <s v=" "/>
    <s v="Ativo"/>
    <s v="HIGIENIZADOR DE CARROS"/>
    <x v="4"/>
    <s v="LJBSB"/>
  </r>
  <r>
    <n v="129602"/>
    <s v="ALEXANDRE DE OLIVEIRA DOS SANTOS"/>
    <s v="Diretoria Seminovos"/>
    <s v="RSCOE - Regional Seminovos Varejo Centro Oeste"/>
    <s v="LJUBA - Vendas Varejo Seminovos Uberaba"/>
    <s v="FILIPE CORTEZ DE FREITAS"/>
    <s v="NEGATIVO"/>
    <d v="1899-12-30T12:00:00"/>
    <d v="1899-12-30T12:00:00"/>
    <d v="1899-12-30T00:00:00"/>
    <s v=" "/>
    <s v=" "/>
    <s v=" "/>
    <s v=" "/>
    <s v=" "/>
    <s v=" "/>
    <d v="1899-12-30T12:00:00"/>
    <s v=" "/>
    <s v=" "/>
    <s v=" "/>
    <s v=" "/>
    <s v=" "/>
    <s v="Ativo"/>
    <s v="CONSULTOR DE VENDAS"/>
    <x v="4"/>
    <s v="LJUBA"/>
  </r>
  <r>
    <n v="125540"/>
    <s v="ANTONIO ADELINO COSTA DE QUEIROGA"/>
    <s v="Diretoria Seminovos"/>
    <s v="RSCOE - Regional Seminovos Varejo Centro Oeste"/>
    <s v="LJBSB - Vendas Varejo Seminovos Brasília"/>
    <s v="RODRIGO REIS FIALHO"/>
    <s v="NEGATIVO"/>
    <d v="1900-01-01T12:19:00"/>
    <d v="1900-01-01T12:19:00"/>
    <d v="1899-12-30T00:00:00"/>
    <s v=" "/>
    <s v=" "/>
    <s v=" "/>
    <s v=" "/>
    <d v="1899-12-30T14:44:00"/>
    <d v="1899-12-31T18:26:00"/>
    <d v="1899-12-30T03:09:00"/>
    <s v=" "/>
    <s v=" "/>
    <s v=" "/>
    <s v=" "/>
    <s v=" "/>
    <s v="Contrato de Trabalho Suspenso"/>
    <s v="CONSULTOR DE VENDAS"/>
    <x v="4"/>
    <s v="LJBSB"/>
  </r>
  <r>
    <n v="135902"/>
    <s v="BRUNO PRADO ALVES"/>
    <s v="Diretoria Seminovos"/>
    <s v="RSCOE - Regional Seminovos Varejo Centro Oeste"/>
    <s v="LJUBA - Vendas Varejo Seminovos Uberaba"/>
    <s v="FILIPE CORTEZ DE FREITAS"/>
    <s v="NEGATIVO"/>
    <d v="1900-01-05T05:48:00"/>
    <d v="1900-01-05T05:48:00"/>
    <d v="1899-12-30T00:00:00"/>
    <s v=" "/>
    <s v=" "/>
    <s v=" "/>
    <s v=" "/>
    <d v="1900-01-01T03:36:00"/>
    <d v="1900-01-01T07:24:00"/>
    <d v="1899-12-31T07:48:00"/>
    <s v=" "/>
    <s v=" "/>
    <s v=" "/>
    <s v=" "/>
    <s v=" "/>
    <s v="Ativo"/>
    <s v="CONSULTOR DE VENDAS"/>
    <x v="4"/>
    <s v="LJUBA"/>
  </r>
  <r>
    <n v="134732"/>
    <s v="CAROLINE RANGEL TRAD"/>
    <s v="Diretoria Seminovos"/>
    <s v="RSCOE - Regional Seminovos Varejo Centro Oeste"/>
    <s v="LJVIX - Vendas Varejo Seminovos Vitória"/>
    <s v="EUGENIO OLIVEIRA DAMASCENO DE JESUS"/>
    <s v="NEGATIVO"/>
    <d v="1900-01-05T02:47:00"/>
    <d v="1900-01-05T02:47:00"/>
    <d v="1899-12-30T00:00:00"/>
    <s v=" "/>
    <s v=" "/>
    <s v=" "/>
    <s v=" "/>
    <d v="1900-01-03T15:21:00"/>
    <d v="1899-12-31T11:26:00"/>
    <s v=" "/>
    <s v=" "/>
    <s v=" "/>
    <s v=" "/>
    <s v=" "/>
    <s v=" "/>
    <s v="Ativo"/>
    <s v="CONSULTOR DE VENDAS"/>
    <x v="4"/>
    <s v="LJVIX"/>
  </r>
  <r>
    <n v="135498"/>
    <s v="DANIEL AVEIRO AGUIAR"/>
    <s v="Diretoria Seminovos"/>
    <s v="RSCOE - Regional Seminovos Varejo Centro Oeste"/>
    <s v="LJUBA - Vendas Varejo Seminovos Uberaba"/>
    <s v="FILIPE CORTEZ DE FREITAS"/>
    <s v="NEGATIVO"/>
    <d v="1900-01-05T09:27:00"/>
    <d v="1900-01-05T09:27:00"/>
    <d v="1899-12-30T00:00:00"/>
    <s v=" "/>
    <s v=" "/>
    <s v=" "/>
    <s v=" "/>
    <d v="1900-01-01T03:51:00"/>
    <d v="1900-01-01T10:24:00"/>
    <d v="1899-12-31T07:12:00"/>
    <s v=" "/>
    <s v=" "/>
    <s v=" "/>
    <s v=" "/>
    <s v=" "/>
    <s v="Ativo"/>
    <s v="CONSULTOR DE VENDAS"/>
    <x v="4"/>
    <s v="LJUBA"/>
  </r>
  <r>
    <n v="134605"/>
    <s v="EDINEY NEVES"/>
    <s v="Diretoria Seminovos"/>
    <s v="RSCOE - Regional Seminovos Varejo Centro Oeste"/>
    <s v="LJCGB - Vendas Varejo Seminovos Cuiabá"/>
    <s v="FERNANDO CESAR CAPATO"/>
    <s v="NEGATIVO"/>
    <d v="1899-12-30T20:32:00"/>
    <d v="1899-12-30T20:32:00"/>
    <d v="1899-12-30T00:00:00"/>
    <s v=" "/>
    <s v=" "/>
    <s v=" "/>
    <d v="1899-12-30T13:20:00"/>
    <s v=" "/>
    <d v="1899-12-30T07:12:00"/>
    <s v=" "/>
    <s v=" "/>
    <s v=" "/>
    <s v=" "/>
    <s v=" "/>
    <s v=" "/>
    <s v="Contrato de Trabalho Suspenso"/>
    <s v="CONSULTOR DE VENDAS"/>
    <x v="4"/>
    <s v="LJCGB"/>
  </r>
  <r>
    <n v="134527"/>
    <s v="FERNANDO LUIZ CAMILO"/>
    <s v="Diretoria Seminovos"/>
    <s v="RSCOE - Regional Seminovos Varejo Centro Oeste"/>
    <s v="LJCGB - Vendas Varejo Seminovos Cuiabá"/>
    <s v="FERNANDO CESAR CAPATO"/>
    <s v="NEGATIVO"/>
    <d v="1899-12-30T04:35:00"/>
    <d v="1899-12-30T04:35:00"/>
    <d v="1899-12-30T00:00:00"/>
    <s v=" "/>
    <s v=" "/>
    <d v="1899-12-30T04:35:00"/>
    <s v=" "/>
    <s v=" "/>
    <s v=" "/>
    <s v=" "/>
    <s v=" "/>
    <s v=" "/>
    <s v=" "/>
    <s v=" "/>
    <s v=" "/>
    <s v="Ativo"/>
    <s v="CONSULTOR DE VENDAS"/>
    <x v="4"/>
    <s v="LJCGB"/>
  </r>
  <r>
    <n v="124507"/>
    <s v="FLAVIO ADRIANO ROSA"/>
    <s v="Diretoria Seminovos"/>
    <s v="RSCOE - Regional Seminovos Varejo Centro Oeste"/>
    <s v="LJUBA - Vendas Varejo Seminovos Uberaba"/>
    <s v="FILIPE CORTEZ DE FREITAS"/>
    <s v="NEGATIVO"/>
    <d v="1899-12-30T21:48:00"/>
    <d v="1899-12-30T21:48:00"/>
    <d v="1899-12-30T00:00:00"/>
    <s v=" "/>
    <s v=" "/>
    <s v=" "/>
    <s v=" "/>
    <d v="1899-12-30T00:12:00"/>
    <d v="1899-12-30T11:36:00"/>
    <d v="1899-12-30T10:00:00"/>
    <s v=" "/>
    <s v=" "/>
    <s v=" "/>
    <s v=" "/>
    <s v=" "/>
    <s v="Ativo"/>
    <s v="CONSULTOR DE VENDAS"/>
    <x v="4"/>
    <s v="LJUBA"/>
  </r>
  <r>
    <n v="130181"/>
    <s v="FRANCIELLY MOREIRA DA SILVA"/>
    <s v="Diretoria Seminovos"/>
    <s v="RSCOE - Regional Seminovos Varejo Centro Oeste"/>
    <s v="LJGYG - Vendas Varejo Seminovos Goiânia"/>
    <s v="LIDYANE GUIMARAES DO NASCIMENTO SANTOS"/>
    <s v="NEGATIVO"/>
    <d v="1900-01-01T01:19:00"/>
    <d v="1900-01-01T01:19:00"/>
    <d v="1899-12-30T00:00:00"/>
    <s v=" "/>
    <s v=" "/>
    <s v=" "/>
    <s v=" "/>
    <s v=" "/>
    <s v=" "/>
    <s v=" "/>
    <s v=" "/>
    <s v=" "/>
    <d v="1899-12-31T06:20:00"/>
    <d v="1899-12-30T18:36:00"/>
    <d v="1899-12-30T00:23:00"/>
    <s v="Ativo"/>
    <s v="CONSULTOR DE VENDAS"/>
    <x v="4"/>
    <s v="LJGYG"/>
  </r>
  <r>
    <n v="130516"/>
    <s v="HEMERSON DE SOUZA GONCALVES"/>
    <s v="Diretoria Seminovos"/>
    <s v="RSCOE - Regional Seminovos Varejo Centro Oeste"/>
    <s v="LJCGR - Vendas Varejo Seminovos Campo Grande"/>
    <s v="DOUGLAS PEREIRA SANDIM"/>
    <s v="NEGATIVO"/>
    <d v="1899-12-30T03:15:00"/>
    <d v="1899-12-30T03:15:00"/>
    <d v="1899-12-30T00:00:00"/>
    <s v=" "/>
    <s v=" "/>
    <s v=" "/>
    <s v=" "/>
    <s v=" "/>
    <s v=" "/>
    <d v="1899-12-30T04:17:00"/>
    <s v=" "/>
    <s v=" "/>
    <s v=" "/>
    <s v=" "/>
    <s v=" "/>
    <s v="Ativo"/>
    <s v="CONSULTOR DE VENDAS"/>
    <x v="4"/>
    <s v="LJCGR"/>
  </r>
  <r>
    <n v="125158"/>
    <s v="JACQUELINE DE PAULA MOREIRA SOUZA"/>
    <s v="Diretoria Seminovos"/>
    <s v="RSCOE - Regional Seminovos Varejo Centro Oeste"/>
    <s v="LJGYG - Vendas Varejo Seminovos Goiânia"/>
    <s v="LIDYANE GUIMARAES DO NASCIMENTO SANTOS"/>
    <s v="NEGATIVO"/>
    <d v="1899-12-30T06:03:00"/>
    <d v="1899-12-30T06:03:00"/>
    <d v="1899-12-30T00:00:00"/>
    <s v=" "/>
    <s v=" "/>
    <s v=" "/>
    <s v=" "/>
    <s v=" "/>
    <s v=" "/>
    <s v=" "/>
    <s v=" "/>
    <s v=" "/>
    <s v=" "/>
    <d v="1899-12-30T06:03:00"/>
    <s v=" "/>
    <s v="Ativo"/>
    <s v="CONSULTOR DE VENDAS"/>
    <x v="4"/>
    <s v="LJGYG"/>
  </r>
  <r>
    <n v="130613"/>
    <s v="KAIO GUIMARAES CARNEIRO"/>
    <s v="Diretoria Seminovos"/>
    <s v="RSCOE - Regional Seminovos Varejo Centro Oeste"/>
    <s v="LJBSB - Vendas Varejo Seminovos Brasília"/>
    <s v="RODRIGO REIS FIALHO"/>
    <s v="NEGATIVO"/>
    <d v="1900-01-01T21:01:00"/>
    <d v="1900-01-01T21:01:00"/>
    <d v="1899-12-30T00:00:00"/>
    <s v=" "/>
    <s v=" "/>
    <s v=" "/>
    <s v=" "/>
    <d v="1899-12-31T02:31:00"/>
    <d v="1899-12-31T14:38:00"/>
    <d v="1899-12-30T04:58:00"/>
    <s v=" "/>
    <s v=" "/>
    <s v=" "/>
    <s v=" "/>
    <s v=" "/>
    <s v="Ativo"/>
    <s v="CONSULTOR DE VENDAS"/>
    <x v="4"/>
    <s v="LJBSB"/>
  </r>
  <r>
    <n v="136234"/>
    <s v="LEANDRO MONTIEL MARTINS"/>
    <s v="Diretoria Seminovos"/>
    <s v="RSCOE - Regional Seminovos Varejo Centro Oeste"/>
    <s v="LJBSB - Vendas Varejo Seminovos Brasília"/>
    <s v="RODRIGO REIS FIALHO"/>
    <s v="NEGATIVO"/>
    <d v="1899-12-30T12:10:00"/>
    <d v="1899-12-30T12:10:00"/>
    <d v="1899-12-30T00:00:00"/>
    <s v=" "/>
    <s v=" "/>
    <s v=" "/>
    <s v=" "/>
    <s v=" "/>
    <s v=" "/>
    <d v="1899-12-30T10:07:00"/>
    <s v=" "/>
    <s v=" "/>
    <s v=" "/>
    <s v=" "/>
    <s v=" "/>
    <s v="Ativo"/>
    <s v="CONSULTOR DE VENDAS"/>
    <x v="4"/>
    <s v="LJBSB"/>
  </r>
  <r>
    <n v="131747"/>
    <s v="MARCELO COSTA NOGUEIRA"/>
    <s v="Diretoria Seminovos"/>
    <s v="RSCOE - Regional Seminovos Varejo Centro Oeste"/>
    <s v="LJGOI - Vendas Varejo Seminovos Goiania"/>
    <s v="PAULO ROBERTO PEREIRA DE ARAUJO"/>
    <s v="NEGATIVO"/>
    <d v="1899-12-31T17:50:00"/>
    <d v="1899-12-31T17:50:00"/>
    <d v="1899-12-30T00:00:00"/>
    <s v=" "/>
    <s v=" "/>
    <s v=" "/>
    <s v=" "/>
    <s v=" "/>
    <s v=" "/>
    <s v=" "/>
    <s v=" "/>
    <s v=" "/>
    <s v=" "/>
    <d v="1899-12-31T17:50:00"/>
    <s v=" "/>
    <s v="Contrato de Trabalho Suspenso"/>
    <s v="CONSULTOR DE VENDAS"/>
    <x v="4"/>
    <s v="LJGOI"/>
  </r>
  <r>
    <n v="133740"/>
    <s v="MATHILDE DA SILVA PINTO"/>
    <s v="Diretoria Seminovos"/>
    <s v="RSCOE - Regional Seminovos Varejo Centro Oeste"/>
    <s v="LJGOI - Vendas Varejo Seminovos Goiania"/>
    <s v="PAULO ROBERTO PEREIRA DE ARAUJO"/>
    <s v="NEGATIVO"/>
    <d v="1900-01-02T00:39:00"/>
    <d v="1900-01-02T00:39:00"/>
    <d v="1899-12-30T00:00:00"/>
    <s v=" "/>
    <s v=" "/>
    <s v=" "/>
    <s v=" "/>
    <s v=" "/>
    <s v=" "/>
    <s v=" "/>
    <s v=" "/>
    <s v=" "/>
    <d v="1899-12-30T02:45:00"/>
    <d v="1900-01-02T04:37:00"/>
    <s v=" "/>
    <s v="Ativo"/>
    <s v="CONSULTOR DE VENDAS"/>
    <x v="4"/>
    <s v="LJGOI"/>
  </r>
  <r>
    <n v="501568"/>
    <s v="MONICA DE SOUZA MARTINS"/>
    <s v="Diretoria Seminovos"/>
    <s v="RSCOE - Regional Seminovos Varejo Centro Oeste"/>
    <s v="LJBSB - Vendas Varejo Seminovos Brasília"/>
    <s v="RODRIGO REIS FIALHO"/>
    <s v="NEGATIVO"/>
    <d v="1900-01-02T08:14:00"/>
    <d v="1900-01-02T08:14:00"/>
    <d v="1899-12-30T00:00:00"/>
    <s v=" "/>
    <s v=" "/>
    <s v=" "/>
    <s v=" "/>
    <d v="1899-12-31T00:40:00"/>
    <d v="1899-12-31T19:37:00"/>
    <d v="1899-12-30T10:14:00"/>
    <s v=" "/>
    <s v=" "/>
    <s v=" "/>
    <s v=" "/>
    <s v=" "/>
    <s v="Ativo"/>
    <s v="CONSULTOR DE VENDAS"/>
    <x v="4"/>
    <s v="LJBSB"/>
  </r>
  <r>
    <n v="136819"/>
    <s v="ROSANGELA GOMES LEITE"/>
    <s v="Diretoria Seminovos"/>
    <s v="RSCOE - Regional Seminovos Varejo Centro Oeste"/>
    <s v="LJAPS - Vendas Varejo Seminovos Anapolis"/>
    <s v="RODRIGO REIS FIALHO"/>
    <s v="NEGATIVO"/>
    <d v="1900-01-03T20:46:00"/>
    <d v="1900-01-03T20:46:00"/>
    <d v="1899-12-30T00:00:00"/>
    <s v=" "/>
    <s v=" "/>
    <s v=" "/>
    <s v=" "/>
    <d v="1900-01-02T06:29:00"/>
    <d v="1899-12-31T14:53:00"/>
    <d v="1899-12-30T03:57:00"/>
    <s v=" "/>
    <s v=" "/>
    <s v=" "/>
    <s v=" "/>
    <s v=" "/>
    <s v="Ativo"/>
    <s v="CONSULTOR DE VENDAS"/>
    <x v="4"/>
    <s v="LJAPS"/>
  </r>
  <r>
    <n v="134859"/>
    <s v="TAMYLA GUEDES DE SOUZA"/>
    <s v="Diretoria Seminovos"/>
    <s v="RSCOE - Regional Seminovos Varejo Centro Oeste"/>
    <s v="LJBSB - Vendas Varejo Seminovos Brasília"/>
    <s v="RODRIGO REIS FIALHO"/>
    <s v="NEGATIVO"/>
    <d v="1900-01-06T13:13:00"/>
    <d v="1900-01-06T13:13:00"/>
    <d v="1899-12-30T00:00:00"/>
    <s v=" "/>
    <s v=" "/>
    <s v=" "/>
    <s v=" "/>
    <d v="1899-12-31T18:27:00"/>
    <d v="1900-01-04T18:46:00"/>
    <s v=" "/>
    <s v=" "/>
    <s v=" "/>
    <s v=" "/>
    <s v=" "/>
    <s v=" "/>
    <s v="Contrato de Trabalho Suspenso"/>
    <s v="CONSULTOR DE VENDAS"/>
    <x v="4"/>
    <s v="LJBSB"/>
  </r>
  <r>
    <n v="125048"/>
    <s v="TIAGO MOURA DE MEDEIROS"/>
    <s v="Diretoria Seminovos"/>
    <s v="RSCOE - Regional Seminovos Varejo Centro Oeste"/>
    <s v="LJUDI - Vendas Varejo Seminovos Uberlândia"/>
    <s v="CARLOS ALBERTO GONCALVES"/>
    <s v="NEGATIVO"/>
    <d v="1899-12-30T21:07:00"/>
    <d v="1899-12-30T21:07:00"/>
    <d v="1899-12-30T00:00:00"/>
    <s v=" "/>
    <s v=" "/>
    <s v=" "/>
    <s v=" "/>
    <d v="1899-12-30T12:26:00"/>
    <d v="1899-12-30T08:41:00"/>
    <s v=" "/>
    <s v=" "/>
    <s v=" "/>
    <s v=" "/>
    <s v=" "/>
    <s v=" "/>
    <s v="Contrato de Trabalho Suspenso"/>
    <s v="CONSULTOR DE VENDAS"/>
    <x v="4"/>
    <s v="LJUDI"/>
  </r>
  <r>
    <n v="132810"/>
    <s v="VICENTE DE PAULO DE ALMEIDA CARDOSO"/>
    <s v="Diretoria Seminovos"/>
    <s v="RSCOE - Regional Seminovos Varejo Centro Oeste"/>
    <s v="LJBSB - Vendas Varejo Seminovos Brasília"/>
    <s v="RODRIGO REIS FIALHO"/>
    <s v="NEGATIVO"/>
    <d v="1899-12-30T06:00:00"/>
    <d v="1899-12-30T06:00:00"/>
    <d v="1899-12-30T00:00:00"/>
    <s v=" "/>
    <s v=" "/>
    <s v=" "/>
    <s v=" "/>
    <s v=" "/>
    <s v=" "/>
    <d v="1899-12-30T01:25:00"/>
    <s v=" "/>
    <s v=" "/>
    <s v=" "/>
    <s v=" "/>
    <s v=" "/>
    <s v="Ativo"/>
    <s v="CONSULTOR DE VENDAS"/>
    <x v="4"/>
    <s v="LJBSB"/>
  </r>
  <r>
    <n v="129805"/>
    <s v="WILLIAN VENTURA HOFFMONN"/>
    <s v="Diretoria Seminovos"/>
    <s v="RSCOE - Regional Seminovos Varejo Centro Oeste"/>
    <s v="LJCGR - Vendas Varejo Seminovos Campo Grande"/>
    <s v="DOUGLAS PEREIRA SANDIM"/>
    <s v="NEGATIVO"/>
    <d v="1899-12-30T07:04:00"/>
    <d v="1899-12-30T07:04:00"/>
    <d v="1899-12-30T00:00:00"/>
    <s v=" "/>
    <s v=" "/>
    <d v="1899-12-30T06:10:00"/>
    <d v="1899-12-30T00:54:00"/>
    <s v=" "/>
    <s v=" "/>
    <s v=" "/>
    <s v=" "/>
    <s v=" "/>
    <s v=" "/>
    <s v=" "/>
    <s v=" "/>
    <s v="Af.Previdência"/>
    <s v="CONSULTOR DE VENDAS"/>
    <x v="4"/>
    <s v="LJCGR"/>
  </r>
  <r>
    <n v="122781"/>
    <s v="ADELSON VIEIRA DA SILVA"/>
    <s v="Diretoria Seminovos"/>
    <s v="RSGSP  - Regional Seminovos Varejo Grande São Paulo"/>
    <s v="LJGRU - Loja Seminovos Guarulhos"/>
    <s v="GUSTAVO OLIVEIRA AGUIAR"/>
    <s v="NEGATIVO"/>
    <d v="1899-12-30T01:05:00"/>
    <d v="1899-12-30T01:05:00"/>
    <d v="1899-12-30T00:00:00"/>
    <s v=" "/>
    <s v=" "/>
    <s v=" "/>
    <s v=" "/>
    <s v=" "/>
    <s v=" "/>
    <s v=" "/>
    <d v="1899-12-30T01:05:00"/>
    <s v=" "/>
    <s v=" "/>
    <s v=" "/>
    <s v=" "/>
    <s v="Contrato de Trabalho Suspenso"/>
    <s v="HIGIENIZADOR DE CARROS"/>
    <x v="5"/>
    <s v="LJGRU"/>
  </r>
  <r>
    <n v="132920"/>
    <s v="ANDREIA APARECIDA VIEIRA PEREIRA"/>
    <s v="Diretoria Seminovos"/>
    <s v="RSGSP  - Regional Seminovos Varejo Grande São Paulo"/>
    <s v="LJSJC - Loja Seminovos São José dos Campos"/>
    <s v="DAVID LEANDRO ROCHA SANCHES"/>
    <s v="NEGATIVO"/>
    <d v="1899-12-30T13:58:00"/>
    <d v="1899-12-30T13:58:00"/>
    <d v="1899-12-30T00:00:00"/>
    <s v=" "/>
    <s v=" "/>
    <s v=" "/>
    <s v=" "/>
    <s v=" "/>
    <s v=" "/>
    <s v=" "/>
    <d v="1899-12-30T13:58:00"/>
    <s v=" "/>
    <s v=" "/>
    <s v=" "/>
    <s v=" "/>
    <s v="Ativo"/>
    <s v="ADMINISTRATIVO I - FILIAL"/>
    <x v="5"/>
    <s v="LJSJC"/>
  </r>
  <r>
    <n v="501457"/>
    <s v="ANTONIO VALDEIR LANDIM DE SOUZA"/>
    <s v="Diretoria Seminovos"/>
    <s v="RSGSP  - Regional Seminovos Varejo Grande São Paulo"/>
    <s v="LJSJA - Loja Seminovos São José dos Campos"/>
    <s v="ANDRE BORGES DA COSTA"/>
    <s v="NEGATIVO"/>
    <d v="1899-12-30T11:11:00"/>
    <d v="1899-12-30T11:11:00"/>
    <d v="1899-12-30T00:00:00"/>
    <s v=" "/>
    <s v=" "/>
    <s v=" "/>
    <s v=" "/>
    <s v=" "/>
    <d v="1899-12-30T02:56:00"/>
    <d v="1899-12-30T02:27:00"/>
    <d v="1899-12-30T03:49:00"/>
    <d v="1899-12-30T01:44:00"/>
    <d v="1899-12-30T00:15:00"/>
    <s v=" "/>
    <s v=" "/>
    <s v="Ativo"/>
    <s v="HIGIENIZADOR DE CARROS"/>
    <x v="5"/>
    <s v="LJSJA"/>
  </r>
  <r>
    <n v="501614"/>
    <s v="CHRISTIANO DE ALENCAR"/>
    <s v="Diretoria Seminovos"/>
    <s v="RSGSP  - Regional Seminovos Varejo Grande São Paulo"/>
    <s v="LJSOR - Loja Seminovos Sorocaba"/>
    <s v="MARCIO SAMPIERI"/>
    <s v="NEGATIVO"/>
    <d v="1899-12-30T08:59:00"/>
    <d v="1899-12-30T08:59:00"/>
    <d v="1899-12-30T00:00:00"/>
    <s v=" "/>
    <s v=" "/>
    <s v=" "/>
    <s v=" "/>
    <s v=" "/>
    <s v=" "/>
    <s v=" "/>
    <s v=" "/>
    <d v="1899-12-30T08:59:00"/>
    <s v=" "/>
    <s v=" "/>
    <s v=" "/>
    <s v="Ativo"/>
    <s v="HIGIENIZADOR DE CARROS"/>
    <x v="5"/>
    <s v="LJSOR"/>
  </r>
  <r>
    <n v="133126"/>
    <s v="CRISTIANE ANTONIO DA SILVA E SILVA"/>
    <s v="Diretoria Seminovos"/>
    <s v="RSGSP  - Regional Seminovos Varejo Grande São Paulo"/>
    <s v="LJPGR - Loja Seminovos Praia Grande"/>
    <s v="FABIANO SOUZA DA SILVA"/>
    <s v="NEGATIVO"/>
    <d v="1899-12-30T13:12:00"/>
    <d v="1899-12-30T13:12:00"/>
    <d v="1899-12-30T00:00:00"/>
    <s v=" "/>
    <s v=" "/>
    <s v=" "/>
    <s v=" "/>
    <s v=" "/>
    <s v=" "/>
    <s v=" "/>
    <s v=" "/>
    <s v=" "/>
    <s v=" "/>
    <d v="1899-12-30T13:12:00"/>
    <s v=" "/>
    <s v="Ativo"/>
    <s v="AUX. DE SERVICOS GERAIS - DIRCS"/>
    <x v="5"/>
    <s v="LJPGR"/>
  </r>
  <r>
    <n v="117786"/>
    <s v="DANTAS RODRIGO MARCELINO"/>
    <s v="Diretoria Seminovos"/>
    <s v="RSGSP  - Regional Seminovos Varejo Grande São Paulo"/>
    <s v="LJSJA - Loja Seminovos São José dos Campos"/>
    <s v="ANDRE BORGES DA COSTA"/>
    <s v="NEGATIVO"/>
    <d v="1899-12-30T10:31:00"/>
    <d v="1899-12-30T10:31:00"/>
    <d v="1899-12-30T00:00:00"/>
    <s v=" "/>
    <s v=" "/>
    <s v=" "/>
    <s v=" "/>
    <s v=" "/>
    <s v=" "/>
    <s v=" "/>
    <s v=" "/>
    <s v=" "/>
    <d v="1899-12-30T02:31:00"/>
    <d v="1899-12-30T08:00:00"/>
    <s v=" "/>
    <s v="Ativo"/>
    <s v="HIGIENIZADOR DE CARROS"/>
    <x v="5"/>
    <s v="LJSJA"/>
  </r>
  <r>
    <n v="122516"/>
    <s v="ISABEL CRISTINA DA SILVA MARQUES"/>
    <s v="Diretoria Seminovos"/>
    <s v="RSGSP  - Regional Seminovos Varejo Grande São Paulo"/>
    <s v="LJSTS - Loja Seminovos Santos"/>
    <s v="RICARDO TEOFILO AMORIM"/>
    <s v="NEGATIVO"/>
    <d v="1899-12-30T07:51:00"/>
    <d v="1899-12-30T07:51:00"/>
    <d v="1899-12-30T00:00:00"/>
    <s v=" "/>
    <s v=" "/>
    <s v=" "/>
    <s v=" "/>
    <d v="1899-12-30T01:05:00"/>
    <d v="1899-12-30T00:19:00"/>
    <d v="1899-12-30T05:26:00"/>
    <d v="1899-12-30T01:01:00"/>
    <s v=" "/>
    <s v=" "/>
    <s v=" "/>
    <s v=" "/>
    <s v="Ativo"/>
    <s v="AUX. DE SERVICOS GERAIS - DIRCS"/>
    <x v="5"/>
    <s v="LJSTS"/>
  </r>
  <r>
    <n v="136147"/>
    <s v="JEAN JEFFERSON PINHEIRO"/>
    <s v="Diretoria Seminovos"/>
    <s v="RSGSP  - Regional Seminovos Varejo Grande São Paulo"/>
    <s v="LJTAB - Loja Seminovos Taubaté"/>
    <s v="HERMES DI JORGE"/>
    <s v="NEGATIVO"/>
    <d v="1899-12-30T08:00:00"/>
    <d v="1899-12-30T08:00:00"/>
    <d v="1899-12-30T00:00:00"/>
    <s v=" "/>
    <s v=" "/>
    <s v=" "/>
    <s v=" "/>
    <s v=" "/>
    <s v=" "/>
    <s v=" "/>
    <s v=" "/>
    <s v=" "/>
    <s v=" "/>
    <d v="1899-12-30T08:00:00"/>
    <s v=" "/>
    <s v="Ativo"/>
    <s v="HIGIENIZADOR DE CARROS"/>
    <x v="5"/>
    <s v="LJTAB"/>
  </r>
  <r>
    <n v="501227"/>
    <s v="JEFERSON DOS SANTOS PINHEIRO"/>
    <s v="Diretoria Seminovos"/>
    <s v="RSGSP  - Regional Seminovos Varejo Grande São Paulo"/>
    <s v="LJSTA - Loja Seminovos Santo André"/>
    <s v="JORGE LUIZ CANDIDO"/>
    <s v="NEGATIVO"/>
    <d v="1899-12-30T07:38:00"/>
    <d v="1899-12-30T07:38:00"/>
    <d v="1899-12-30T00:00:00"/>
    <s v=" "/>
    <s v=" "/>
    <s v=" "/>
    <s v=" "/>
    <s v=" "/>
    <s v=" "/>
    <s v=" "/>
    <s v=" "/>
    <d v="1899-12-30T07:38:00"/>
    <s v=" "/>
    <s v=" "/>
    <s v=" "/>
    <s v="Ativo"/>
    <s v="HIGIENIZADOR DE CARROS"/>
    <x v="5"/>
    <s v="LJSTA"/>
  </r>
  <r>
    <n v="122525"/>
    <s v="JORNANE EVANGELISTA ARAUJO"/>
    <s v="Diretoria Seminovos"/>
    <s v="RSGSP  - Regional Seminovos Varejo Grande São Paulo"/>
    <s v="LJGRU - Loja Seminovos Guarulhos"/>
    <s v="GUSTAVO OLIVEIRA AGUIAR"/>
    <s v="NEGATIVO"/>
    <d v="1900-01-01T21:46:00"/>
    <d v="1900-01-01T21:46:00"/>
    <d v="1899-12-30T00:00:00"/>
    <s v=" "/>
    <s v=" "/>
    <s v=" "/>
    <s v=" "/>
    <s v=" "/>
    <s v=" "/>
    <s v=" "/>
    <d v="1899-12-30T21:35:00"/>
    <d v="1899-12-30T00:11:00"/>
    <s v=" "/>
    <d v="1899-12-31T16:00:00"/>
    <d v="1899-12-30T08:00:00"/>
    <s v="Ativo"/>
    <s v="HIGIENIZADOR DE CARROS"/>
    <x v="5"/>
    <s v="LJGRU"/>
  </r>
  <r>
    <n v="136519"/>
    <s v="JOSE AILTON DOS SANTOS"/>
    <s v="Diretoria Seminovos"/>
    <s v="RSGSP  - Regional Seminovos Varejo Grande São Paulo"/>
    <s v="LJSTS - Loja Seminovos Santos"/>
    <s v="RICARDO TEOFILO AMORIM"/>
    <s v="NEGATIVO"/>
    <d v="1899-12-31T11:25:00"/>
    <d v="1899-12-31T11:25:00"/>
    <d v="1899-12-30T00:00:00"/>
    <s v=" "/>
    <s v=" "/>
    <s v=" "/>
    <s v=" "/>
    <s v=" "/>
    <s v=" "/>
    <d v="1899-12-30T02:20:00"/>
    <d v="1899-12-30T06:41:00"/>
    <s v=" "/>
    <d v="1899-12-30T17:36:00"/>
    <d v="1899-12-30T08:48:00"/>
    <s v=" "/>
    <s v="Ativo"/>
    <s v="HIGIENIZADOR DE CARROS"/>
    <x v="5"/>
    <s v="LJSTS"/>
  </r>
  <r>
    <n v="501985"/>
    <s v="JOSE CICERO FERREIRA DOS SANTOS"/>
    <s v="Diretoria Seminovos"/>
    <s v="RSGSP  - Regional Seminovos Varejo Grande São Paulo"/>
    <s v="LJMOG - Loja Seminovos Mogi das Cruzes"/>
    <s v="FABIO ALEXANDRE FERRAZ DA SILVA"/>
    <s v="NEGATIVO"/>
    <d v="1900-01-04T08:00:00"/>
    <d v="1900-01-04T08:00:00"/>
    <d v="1899-12-30T00:00:00"/>
    <s v=" "/>
    <s v=" "/>
    <s v=" "/>
    <s v=" "/>
    <s v=" "/>
    <s v=" "/>
    <s v=" "/>
    <s v=" "/>
    <s v=" "/>
    <d v="1900-01-04T00:00:00"/>
    <d v="1899-12-30T08:00:00"/>
    <s v=" "/>
    <s v="Contrato de Trabalho Suspenso"/>
    <s v="HIGIENIZADOR DE CARROS"/>
    <x v="5"/>
    <s v="LJMOG"/>
  </r>
  <r>
    <n v="501347"/>
    <s v="KASSIO FERNANDO FERREIRA DE OLIVEIRA"/>
    <s v="Diretoria Seminovos"/>
    <s v="RSGSP  - Regional Seminovos Varejo Grande São Paulo"/>
    <s v="LJMOG - Loja Seminovos Mogi das Cruzes"/>
    <s v="FABIO ALEXANDRE FERRAZ DA SILVA"/>
    <s v="NEGATIVO"/>
    <d v="1900-01-03T16:00:00"/>
    <d v="1900-01-03T16:00:00"/>
    <d v="1899-12-30T00:00:00"/>
    <s v=" "/>
    <s v=" "/>
    <s v=" "/>
    <s v=" "/>
    <s v=" "/>
    <s v=" "/>
    <s v=" "/>
    <s v=" "/>
    <s v=" "/>
    <d v="1900-01-03T08:00:00"/>
    <d v="1899-12-30T08:00:00"/>
    <s v=" "/>
    <s v="Ativo"/>
    <s v="HIGIENIZADOR DE CARROS"/>
    <x v="5"/>
    <s v="LJMOG"/>
  </r>
  <r>
    <n v="123744"/>
    <s v="LUCAS CARVALHO DE MOURA"/>
    <s v="Diretoria Seminovos"/>
    <s v="RSGSP  - Regional Seminovos Varejo Grande São Paulo"/>
    <s v="LJSMG - Loja Seminovos São Miguel"/>
    <s v="PEDRO IVO DIAS RODRIGUES"/>
    <s v="NEGATIVO"/>
    <d v="1899-12-31T19:13:00"/>
    <d v="1899-12-31T19:13:00"/>
    <d v="1899-12-30T00:00:00"/>
    <s v=" "/>
    <s v=" "/>
    <s v=" "/>
    <s v=" "/>
    <s v=" "/>
    <s v=" "/>
    <s v=" "/>
    <s v=" "/>
    <d v="1899-12-30T07:13:00"/>
    <d v="1899-12-31T04:00:00"/>
    <d v="1899-12-30T08:00:00"/>
    <s v=" "/>
    <s v="Ativo"/>
    <s v="HIGIENIZADOR DE CARROS"/>
    <x v="5"/>
    <s v="LJSMG"/>
  </r>
  <r>
    <n v="501241"/>
    <s v="LUCIMAR ROSA JULIO DO NASCIMENTO"/>
    <s v="Diretoria Seminovos"/>
    <s v="RSGSP  - Regional Seminovos Varejo Grande São Paulo"/>
    <s v="LJSTA - Loja Seminovos Santo André"/>
    <s v="JORGE LUIZ CANDIDO"/>
    <s v="NEGATIVO"/>
    <d v="1899-12-30T06:45:00"/>
    <d v="1899-12-30T06:45:00"/>
    <d v="1899-12-30T00:00:00"/>
    <s v=" "/>
    <s v=" "/>
    <s v=" "/>
    <s v=" "/>
    <s v=" "/>
    <s v=" "/>
    <s v=" "/>
    <s v=" "/>
    <d v="1899-12-30T06:45:00"/>
    <s v=" "/>
    <s v=" "/>
    <s v=" "/>
    <s v="Ativo"/>
    <s v="AUX. DE SERVICOS GERAIS - DIRCS"/>
    <x v="5"/>
    <s v="LJSTA"/>
  </r>
  <r>
    <n v="501242"/>
    <s v="MARCELO NASCIMENTO DE SOUZA"/>
    <s v="Diretoria Seminovos"/>
    <s v="RSGSP  - Regional Seminovos Varejo Grande São Paulo"/>
    <s v="LJIPA - Loja Seminovos Itaim Paulista"/>
    <s v="MAURICIO NAVARRO"/>
    <s v="NEGATIVO"/>
    <d v="1900-01-01T12:16:00"/>
    <d v="1900-01-01T12:16:00"/>
    <d v="1899-12-30T00:00:00"/>
    <s v=" "/>
    <s v=" "/>
    <s v=" "/>
    <s v=" "/>
    <s v=" "/>
    <s v=" "/>
    <s v=" "/>
    <d v="1899-12-30T20:16:00"/>
    <d v="1899-12-31T16:00:00"/>
    <s v=" "/>
    <s v=" "/>
    <s v=" "/>
    <s v="Ativo"/>
    <s v="ADMINISTRATIVO I - FILIAL"/>
    <x v="5"/>
    <s v="LJIPA"/>
  </r>
  <r>
    <n v="122869"/>
    <s v="MARCELO NICOLAU"/>
    <s v="Diretoria Seminovos"/>
    <s v="RSGSP  - Regional Seminovos Varejo Grande São Paulo"/>
    <s v="LJSTS - Loja Seminovos Santos"/>
    <s v="RICARDO TEOFILO AMORIM"/>
    <s v="NEGATIVO"/>
    <d v="1899-12-30T09:00:00"/>
    <d v="1899-12-30T09:00:00"/>
    <d v="1899-12-30T00:00:00"/>
    <s v=" "/>
    <s v=" "/>
    <s v=" "/>
    <s v=" "/>
    <s v=" "/>
    <d v="1899-12-30T08:52:00"/>
    <d v="1899-12-30T00:08:00"/>
    <s v=" "/>
    <s v=" "/>
    <s v=" "/>
    <s v=" "/>
    <s v=" "/>
    <s v="Ativo"/>
    <s v="HIGIENIZADOR DE CARROS"/>
    <x v="5"/>
    <s v="LJSTS"/>
  </r>
  <r>
    <n v="500445"/>
    <s v="MOACY MOREIRA MACEDO"/>
    <s v="Diretoria Seminovos"/>
    <s v="RSGSP  - Regional Seminovos Varejo Grande São Paulo"/>
    <s v="LJSTA - Loja Seminovos Santo André"/>
    <s v="JORGE LUIZ CANDIDO"/>
    <s v="NEGATIVO"/>
    <d v="1899-12-30T07:46:00"/>
    <d v="1899-12-30T07:46:00"/>
    <d v="1899-12-30T00:00:00"/>
    <s v=" "/>
    <s v=" "/>
    <s v=" "/>
    <s v=" "/>
    <s v=" "/>
    <s v=" "/>
    <s v=" "/>
    <s v=" "/>
    <d v="1899-12-30T07:46:00"/>
    <s v=" "/>
    <s v=" "/>
    <s v=" "/>
    <s v="Contrato de Trabalho Suspenso"/>
    <s v="HIGIENIZADOR DE CARROS"/>
    <x v="5"/>
    <s v="LJSTA"/>
  </r>
  <r>
    <n v="118029"/>
    <s v="ROBSON LUIZ SOARES BARROSO"/>
    <s v="Diretoria Seminovos"/>
    <s v="RSGSP  - Regional Seminovos Varejo Grande São Paulo"/>
    <s v="LJOSC - Loja Seminovos Osasco"/>
    <s v="ROBSON LUIZ ANDREATTE"/>
    <s v="NEGATIVO"/>
    <d v="1899-12-31T17:42:00"/>
    <d v="1899-12-31T17:42:00"/>
    <d v="1899-12-30T00:00:00"/>
    <s v=" "/>
    <s v=" "/>
    <s v=" "/>
    <s v=" "/>
    <s v=" "/>
    <s v=" "/>
    <d v="1899-12-30T00:23:00"/>
    <d v="1899-12-30T04:18:00"/>
    <s v=" "/>
    <d v="1899-12-30T09:05:00"/>
    <d v="1899-12-30T19:56:00"/>
    <d v="1899-12-30T08:00:00"/>
    <s v="Contrato de Trabalho Suspenso"/>
    <s v="HIGIENIZADOR DE CARROS"/>
    <x v="5"/>
    <s v="LJOSC"/>
  </r>
  <r>
    <n v="123821"/>
    <s v="ROSANGELA DE OLIVEIRA AMORIM"/>
    <s v="Diretoria Seminovos"/>
    <s v="RSGSP  - Regional Seminovos Varejo Grande São Paulo"/>
    <s v="LJSMG - Loja Seminovos São Miguel"/>
    <s v="PEDRO IVO DIAS RODRIGUES"/>
    <s v="NEGATIVO"/>
    <d v="1899-12-30T11:45:00"/>
    <d v="1899-12-30T11:45:00"/>
    <d v="1899-12-30T00:00:00"/>
    <s v=" "/>
    <s v=" "/>
    <s v=" "/>
    <s v=" "/>
    <s v=" "/>
    <s v=" "/>
    <s v=" "/>
    <s v=" "/>
    <d v="1899-12-30T11:45:00"/>
    <s v=" "/>
    <s v=" "/>
    <s v=" "/>
    <s v="Ativo"/>
    <s v="AUX. DE SERVICOS GERAIS - DIRCS"/>
    <x v="5"/>
    <s v="LJSMG"/>
  </r>
  <r>
    <n v="502938"/>
    <s v="SYDNEI DE OLIVEIRA"/>
    <s v="Diretoria Seminovos"/>
    <s v="RSGSP  - Regional Seminovos Varejo Grande São Paulo"/>
    <s v="LJOSC - Loja Seminovos Osasco"/>
    <s v="ROBSON LUIZ ANDREATTE"/>
    <s v="NEGATIVO"/>
    <d v="1899-12-31T04:41:00"/>
    <d v="1899-12-31T04:41:00"/>
    <d v="1899-12-30T00:00:00"/>
    <s v=" "/>
    <s v=" "/>
    <s v=" "/>
    <s v=" "/>
    <d v="1899-12-30T05:08:00"/>
    <s v=" "/>
    <s v=" "/>
    <d v="1899-12-30T00:08:00"/>
    <s v=" "/>
    <d v="1899-12-30T08:10:00"/>
    <d v="1899-12-30T15:40:00"/>
    <s v=" "/>
    <s v="Ativo"/>
    <s v="HIGIENIZADOR DE CARROS"/>
    <x v="5"/>
    <s v="LJOSC"/>
  </r>
  <r>
    <n v="122524"/>
    <s v="VALQUIRIA CRISTIANE DOS SANTOS CHAVES"/>
    <s v="Diretoria Seminovos"/>
    <s v="RSGSP  - Regional Seminovos Varejo Grande São Paulo"/>
    <s v="LJTAB - Loja Seminovos Taubaté"/>
    <s v="HERMES DI JORGE"/>
    <s v="NEGATIVO"/>
    <d v="1899-12-30T21:47:00"/>
    <d v="1899-12-30T21:47:00"/>
    <d v="1899-12-30T00:00:00"/>
    <s v=" "/>
    <s v=" "/>
    <s v=" "/>
    <s v=" "/>
    <s v=" "/>
    <s v=" "/>
    <s v=" "/>
    <d v="1899-12-30T21:47:00"/>
    <s v=" "/>
    <s v=" "/>
    <s v=" "/>
    <s v=" "/>
    <s v="Ativo"/>
    <s v="AUX. DE SERVICOS GERAIS - DIRCS"/>
    <x v="5"/>
    <s v="LJTAB"/>
  </r>
  <r>
    <n v="124588"/>
    <s v="ALEXANDRE ALMEIDA CRUZ"/>
    <s v="Diretoria Seminovos"/>
    <s v="RSGSP  - Regional Seminovos Varejo Grande São Paulo"/>
    <s v="LJPGR - Vendas Varejo Seminovos Praia Grande"/>
    <s v="FABIANO SOUZA DA SILVA"/>
    <s v="NEGATIVO"/>
    <d v="1899-12-30T21:36:00"/>
    <d v="1899-12-30T21:36:00"/>
    <d v="1899-12-30T00:00:00"/>
    <s v=" "/>
    <s v=" "/>
    <s v=" "/>
    <s v=" "/>
    <s v=" "/>
    <s v=" "/>
    <s v=" "/>
    <s v=" "/>
    <s v=" "/>
    <s v=" "/>
    <d v="1899-12-30T21:36:00"/>
    <s v=" "/>
    <s v="Ativo"/>
    <s v="CONSULTOR DE VENDAS"/>
    <x v="5"/>
    <s v="LJPGR"/>
  </r>
  <r>
    <n v="135731"/>
    <s v="ALEXANDRINO BARBOSA DOS SANTOS"/>
    <s v="Diretoria Seminovos"/>
    <s v="RSGSP  - Regional Seminovos Varejo Grande São Paulo"/>
    <s v="LJSTS - Vendas Varejo Seminovos Santos"/>
    <s v="RICARDO TEOFILO AMORIM"/>
    <s v="NEGATIVO"/>
    <d v="1900-01-01T07:12:00"/>
    <d v="1900-01-01T07:12:00"/>
    <d v="1899-12-30T00:00:00"/>
    <s v=" "/>
    <s v=" "/>
    <s v=" "/>
    <s v=" "/>
    <s v=" "/>
    <s v=" "/>
    <s v=" "/>
    <s v=" "/>
    <s v=" "/>
    <d v="1899-12-31T16:48:00"/>
    <d v="1899-12-30T14:24:00"/>
    <s v=" "/>
    <s v="Contrato de Trabalho Suspenso"/>
    <s v="CONSULTOR DE VENDAS"/>
    <x v="5"/>
    <s v="LJSTS"/>
  </r>
  <r>
    <n v="129774"/>
    <s v="ANDRE NICOLAS DOS SANTOS FELIX"/>
    <s v="Diretoria Seminovos"/>
    <s v="RSGSP  - Regional Seminovos Varejo Grande São Paulo"/>
    <s v="LJSJC - Vendas Varejo Seminovos São José dos Campos"/>
    <s v="DAVID LEANDRO ROCHA SANCHES"/>
    <s v="NEGATIVO"/>
    <d v="1899-12-30T07:12:00"/>
    <d v="1899-12-30T07:12:00"/>
    <d v="1899-12-30T00:00:00"/>
    <s v=" "/>
    <s v=" "/>
    <s v=" "/>
    <s v=" "/>
    <s v=" "/>
    <s v=" "/>
    <s v=" "/>
    <s v=" "/>
    <s v=" "/>
    <d v="1899-12-30T07:12:00"/>
    <s v=" "/>
    <s v=" "/>
    <s v="Ativo"/>
    <s v="CONSULTOR DE VENDAS"/>
    <x v="5"/>
    <s v="LJSJC"/>
  </r>
  <r>
    <n v="132831"/>
    <s v="AVELINO GONCALVES DOS SANTOS"/>
    <s v="Diretoria Seminovos"/>
    <s v="RSGSP  - Regional Seminovos Varejo Grande São Paulo"/>
    <s v="LJGRU - Vendas Varejo Seminovos Guarulhos"/>
    <s v="GUSTAVO OLIVEIRA AGUIAR"/>
    <s v="NEGATIVO"/>
    <d v="1899-12-30T07:30:00"/>
    <d v="1899-12-30T07:30:00"/>
    <d v="1899-12-30T00:00:00"/>
    <s v=" "/>
    <s v=" "/>
    <s v=" "/>
    <s v=" "/>
    <s v=" "/>
    <s v=" "/>
    <s v=" "/>
    <d v="1899-12-30T00:18:00"/>
    <s v=" "/>
    <s v=" "/>
    <d v="1899-12-30T07:12:00"/>
    <s v=" "/>
    <s v="Ativo"/>
    <s v="CONSULTOR DE VENDAS"/>
    <x v="5"/>
    <s v="LJGRU"/>
  </r>
  <r>
    <n v="502701"/>
    <s v="CLOVIS SILVA MOURA LIMA"/>
    <s v="Diretoria Seminovos"/>
    <s v="RSGSP  - Regional Seminovos Varejo Grande São Paulo"/>
    <s v="LJGRU - Vendas Varejo Seminovos Guarulhos"/>
    <s v="GUSTAVO OLIVEIRA AGUIAR"/>
    <s v="NEGATIVO"/>
    <d v="1899-12-30T00:06:00"/>
    <d v="1899-12-30T00:06:00"/>
    <d v="1899-12-30T00:00:00"/>
    <s v=" "/>
    <s v=" "/>
    <s v=" "/>
    <s v=" "/>
    <s v=" "/>
    <s v=" "/>
    <s v=" "/>
    <d v="1899-12-30T00:06:00"/>
    <s v=" "/>
    <s v=" "/>
    <s v=" "/>
    <s v=" "/>
    <s v="Ativo"/>
    <s v="CONSULTOR DE VENDAS"/>
    <x v="5"/>
    <s v="LJGRU"/>
  </r>
  <r>
    <n v="134278"/>
    <s v="DANIEL GUEDES"/>
    <s v="Diretoria Seminovos"/>
    <s v="RSGSP  - Regional Seminovos Varejo Grande São Paulo"/>
    <s v="LJSJC - Vendas Varejo Seminovos São José dos Campos"/>
    <s v="DAVID LEANDRO ROCHA SANCHES"/>
    <s v="NEGATIVO"/>
    <d v="1900-01-05T03:12:00"/>
    <d v="1900-01-05T03:12:00"/>
    <d v="1899-12-30T00:00:00"/>
    <s v=" "/>
    <s v=" "/>
    <s v=" "/>
    <s v=" "/>
    <s v=" "/>
    <s v=" "/>
    <s v=" "/>
    <s v=" "/>
    <s v=" "/>
    <d v="1900-01-05T03:12:00"/>
    <s v=" "/>
    <s v=" "/>
    <s v="Contrato de Trabalho Suspenso"/>
    <s v="CONSULTOR DE VENDAS"/>
    <x v="5"/>
    <s v="LJSJC"/>
  </r>
  <r>
    <n v="133201"/>
    <s v="DANIELE SOUZA FAVERANI"/>
    <s v="Diretoria Seminovos"/>
    <s v="RSGSP  - Regional Seminovos Varejo Grande São Paulo"/>
    <s v="LJPGR - Vendas Varejo Seminovos Praia Grande"/>
    <s v="FABIANO SOUZA DA SILVA"/>
    <s v="NEGATIVO"/>
    <d v="1899-12-30T21:36:00"/>
    <d v="1899-12-30T21:36:00"/>
    <d v="1899-12-30T00:00:00"/>
    <s v=" "/>
    <s v=" "/>
    <s v=" "/>
    <s v=" "/>
    <s v=" "/>
    <s v=" "/>
    <s v=" "/>
    <s v=" "/>
    <s v=" "/>
    <s v=" "/>
    <d v="1899-12-30T21:36:00"/>
    <s v=" "/>
    <s v="Ativo"/>
    <s v="CONSULTOR DE VENDAS"/>
    <x v="5"/>
    <s v="LJPGR"/>
  </r>
  <r>
    <n v="132027"/>
    <s v="DIOGO DA ROCHA"/>
    <s v="Diretoria Seminovos"/>
    <s v="RSGSP  - Regional Seminovos Varejo Grande São Paulo"/>
    <s v="LJSMG - Vendas Varejo Seminovos São Miguel"/>
    <s v="PEDRO IVO DIAS RODRIGUES"/>
    <s v="NEGATIVO"/>
    <d v="1899-12-30T21:07:00"/>
    <d v="1899-12-30T21:07:00"/>
    <d v="1899-12-30T00:00:00"/>
    <s v=" "/>
    <s v=" "/>
    <s v=" "/>
    <s v=" "/>
    <s v=" "/>
    <s v=" "/>
    <s v=" "/>
    <s v=" "/>
    <s v=" "/>
    <d v="1899-12-30T21:07:00"/>
    <s v=" "/>
    <s v=" "/>
    <s v="Ativo"/>
    <s v="CONSULTOR DE VENDAS"/>
    <x v="5"/>
    <s v="LJSMG"/>
  </r>
  <r>
    <n v="503648"/>
    <s v="EDINALDO DOS SANTOS LUCENA"/>
    <s v="Diretoria Seminovos"/>
    <s v="RSGSP  - Regional Seminovos Varejo Grande São Paulo"/>
    <s v="LJSOR - Vendas Varejo Seminovos Sorocaba"/>
    <s v="MARCIO SAMPIERI"/>
    <s v="NEGATIVO"/>
    <d v="1899-12-30T14:04:00"/>
    <d v="1899-12-30T14:04:00"/>
    <d v="1899-12-30T00:00:00"/>
    <s v=" "/>
    <s v=" "/>
    <s v=" "/>
    <s v=" "/>
    <s v=" "/>
    <s v=" "/>
    <s v=" "/>
    <s v=" "/>
    <d v="1899-12-30T14:04:00"/>
    <s v=" "/>
    <s v=" "/>
    <s v=" "/>
    <s v="Contrato de Trabalho Suspenso"/>
    <s v="CONSULTOR DE VENDAS"/>
    <x v="5"/>
    <s v="LJSOR"/>
  </r>
  <r>
    <n v="130827"/>
    <s v="EDUARDO MARCELO LOBATO"/>
    <s v="Diretoria Seminovos"/>
    <s v="RSGSP  - Regional Seminovos Varejo Grande São Paulo"/>
    <s v="LJMOG - Vendas Varejo Seminovos Mogi das Cruzes"/>
    <s v="FABIO ALEXANDRE FERRAZ DA SILVA"/>
    <s v="NEGATIVO"/>
    <d v="1899-12-31T22:24:00"/>
    <d v="1899-12-31T22:24:00"/>
    <d v="1899-12-30T00:00:00"/>
    <s v=" "/>
    <s v=" "/>
    <s v=" "/>
    <s v=" "/>
    <s v=" "/>
    <s v=" "/>
    <s v=" "/>
    <s v=" "/>
    <s v=" "/>
    <d v="1899-12-31T08:00:00"/>
    <d v="1899-12-30T14:24:00"/>
    <s v=" "/>
    <s v="Contrato de Trabalho Suspenso"/>
    <s v="CONSULTOR DE VENDAS"/>
    <x v="5"/>
    <s v="LJMOG"/>
  </r>
  <r>
    <n v="501474"/>
    <s v="EMERSON POSTIGO DE CARVALHO"/>
    <s v="Diretoria Seminovos"/>
    <s v="RSGSP  - Regional Seminovos Varejo Grande São Paulo"/>
    <s v="LJMOG - Vendas Varejo Seminovos Mogi das Cruzes"/>
    <s v="FABIO ALEXANDRE FERRAZ DA SILVA"/>
    <s v="NEGATIVO"/>
    <d v="1900-01-06T06:24:00"/>
    <d v="1900-01-06T06:24:00"/>
    <d v="1899-12-30T00:00:00"/>
    <s v=" "/>
    <s v=" "/>
    <s v=" "/>
    <s v=" "/>
    <s v=" "/>
    <s v=" "/>
    <s v=" "/>
    <s v=" "/>
    <s v=" "/>
    <d v="1899-12-31T20:48:00"/>
    <d v="1900-01-04T09:36:00"/>
    <s v=" "/>
    <s v="Ativo"/>
    <s v="CONSULTOR DE VENDAS"/>
    <x v="5"/>
    <s v="LJMOG"/>
  </r>
  <r>
    <n v="503354"/>
    <s v="FELIPE AUGUSTO DE FARIA"/>
    <s v="Diretoria Seminovos"/>
    <s v="RSGSP  - Regional Seminovos Varejo Grande São Paulo"/>
    <s v="LJSJA - Vendas Varejo Seminovos São José dos Campos"/>
    <s v="ANDRE BORGES DA COSTA"/>
    <s v="NEGATIVO"/>
    <d v="1899-12-30T07:29:00"/>
    <d v="1899-12-30T07:29:00"/>
    <d v="1899-12-30T00:00:00"/>
    <s v=" "/>
    <s v=" "/>
    <s v=" "/>
    <s v=" "/>
    <s v=" "/>
    <s v=" "/>
    <s v=" "/>
    <s v=" "/>
    <s v=" "/>
    <d v="1899-12-30T07:29:00"/>
    <s v=" "/>
    <s v=" "/>
    <s v="Ativo"/>
    <s v="CONSULTOR DE VENDAS"/>
    <x v="5"/>
    <s v="LJSJA"/>
  </r>
  <r>
    <n v="124555"/>
    <s v="FERNANDO FARIAS DOS SANTOS"/>
    <s v="Diretoria Seminovos"/>
    <s v="RSGSP  - Regional Seminovos Varejo Grande São Paulo"/>
    <s v="LJSMG - Vendas Varejo Seminovos São Miguel"/>
    <s v="PEDRO IVO DIAS RODRIGUES"/>
    <s v="NEGATIVO"/>
    <d v="1899-12-30T09:58:00"/>
    <d v="1899-12-30T09:58:00"/>
    <d v="1899-12-30T00:00:00"/>
    <s v=" "/>
    <s v=" "/>
    <s v=" "/>
    <s v=" "/>
    <s v=" "/>
    <s v=" "/>
    <s v=" "/>
    <d v="1899-12-30T01:34:00"/>
    <d v="1899-12-30T08:24:00"/>
    <s v=" "/>
    <s v=" "/>
    <s v=" "/>
    <s v="Ativo"/>
    <s v="CONSULTOR DE VENDAS"/>
    <x v="5"/>
    <s v="LJSMG"/>
  </r>
  <r>
    <n v="134151"/>
    <s v="GILMAR RODRIGUES MATIAS"/>
    <s v="Diretoria Seminovos"/>
    <s v="RSGSP  - Regional Seminovos Varejo Grande São Paulo"/>
    <s v="LJPGR - Vendas Varejo Seminovos Praia Grande"/>
    <s v="FABIANO SOUZA DA SILVA"/>
    <s v="NEGATIVO"/>
    <d v="1899-12-31T04:48:00"/>
    <d v="1899-12-31T04:48:00"/>
    <d v="1899-12-30T00:00:00"/>
    <s v=" "/>
    <s v=" "/>
    <s v=" "/>
    <s v=" "/>
    <s v=" "/>
    <s v=" "/>
    <s v=" "/>
    <s v=" "/>
    <s v=" "/>
    <d v="1899-12-30T07:12:00"/>
    <d v="1899-12-30T21:36:00"/>
    <s v=" "/>
    <s v="Contrato de Trabalho Suspenso"/>
    <s v="CONSULTOR DE VENDAS"/>
    <x v="5"/>
    <s v="LJPGR"/>
  </r>
  <r>
    <n v="135730"/>
    <s v="GUILHERME MUNHOZ FERNANDES"/>
    <s v="Diretoria Seminovos"/>
    <s v="RSGSP  - Regional Seminovos Varejo Grande São Paulo"/>
    <s v="LJSTS - Vendas Varejo Seminovos Santos"/>
    <s v="RICARDO TEOFILO AMORIM"/>
    <s v="NEGATIVO"/>
    <d v="1899-12-30T14:24:00"/>
    <d v="1899-12-30T14:24:00"/>
    <d v="1899-12-30T00:00:00"/>
    <s v=" "/>
    <s v=" "/>
    <s v=" "/>
    <s v=" "/>
    <s v=" "/>
    <s v=" "/>
    <s v=" "/>
    <s v=" "/>
    <s v=" "/>
    <s v=" "/>
    <d v="1899-12-30T14:24:00"/>
    <s v=" "/>
    <s v="Ativo"/>
    <s v="CONSULTOR DE VENDAS"/>
    <x v="5"/>
    <s v="LJSTS"/>
  </r>
  <r>
    <n v="136227"/>
    <s v="JOSE ANTONIO DONEGA"/>
    <s v="Diretoria Seminovos"/>
    <s v="RSGSP  - Regional Seminovos Varejo Grande São Paulo"/>
    <s v="LJOSC - Vendas Varejo Seminovos Osasco"/>
    <s v="ROBSON LUIZ ANDREATTE"/>
    <s v="NEGATIVO"/>
    <d v="1899-12-30T11:12:00"/>
    <d v="1899-12-30T11:12:00"/>
    <d v="1899-12-30T00:00:00"/>
    <s v=" "/>
    <s v=" "/>
    <s v=" "/>
    <s v=" "/>
    <s v=" "/>
    <s v=" "/>
    <s v=" "/>
    <s v=" "/>
    <s v=" "/>
    <d v="1899-12-30T11:12:00"/>
    <s v=" "/>
    <s v=" "/>
    <s v="Contrato de Trabalho Suspenso"/>
    <s v="CONSULTOR DE VENDAS"/>
    <x v="5"/>
    <s v="LJOSC"/>
  </r>
  <r>
    <n v="130574"/>
    <s v="JOSE LUIZ DA SILVA"/>
    <s v="Diretoria Seminovos"/>
    <s v="RSGSP  - Regional Seminovos Varejo Grande São Paulo"/>
    <s v="LJSMG - Vendas Varejo Seminovos São Miguel"/>
    <s v="PEDRO IVO DIAS RODRIGUES"/>
    <s v="NEGATIVO"/>
    <d v="1899-12-30T19:11:00"/>
    <d v="1899-12-30T19:11:00"/>
    <d v="1899-12-30T00:00:00"/>
    <s v=" "/>
    <s v=" "/>
    <s v=" "/>
    <s v=" "/>
    <s v=" "/>
    <s v=" "/>
    <s v=" "/>
    <s v=" "/>
    <s v=" "/>
    <d v="1899-12-30T11:59:00"/>
    <d v="1899-12-30T07:12:00"/>
    <s v=" "/>
    <s v="Contrato de Trabalho Suspenso"/>
    <s v="CONSULTOR DE VENDAS"/>
    <x v="5"/>
    <s v="LJSMG"/>
  </r>
  <r>
    <n v="503405"/>
    <s v="JOSELIO SILVA DAS NEVES"/>
    <s v="Diretoria Seminovos"/>
    <s v="RSGSP  - Regional Seminovos Varejo Grande São Paulo"/>
    <s v="LJIPA - Vendas Varejo Seminovos Itaim Paulista"/>
    <s v="MAURICIO NAVARRO"/>
    <s v="NEGATIVO"/>
    <d v="1900-01-02T04:49:00"/>
    <d v="1900-01-02T04:49:00"/>
    <d v="1899-12-30T00:00:00"/>
    <s v=" "/>
    <s v=" "/>
    <s v=" "/>
    <s v=" "/>
    <s v=" "/>
    <s v=" "/>
    <s v=" "/>
    <s v=" "/>
    <s v=" "/>
    <s v=" "/>
    <d v="1900-01-02T15:23:00"/>
    <d v="1899-12-30T07:35:00"/>
    <s v="Ativo"/>
    <s v="CONSULTOR DE VENDAS"/>
    <x v="5"/>
    <s v="LJIPA"/>
  </r>
  <r>
    <n v="503334"/>
    <s v="KLEBER AUGUSTO FARIA CARVALHO"/>
    <s v="Diretoria Seminovos"/>
    <s v="RSGSP  - Regional Seminovos Varejo Grande São Paulo"/>
    <s v="LJTAB - Vendas Varejo Seminovos Taubaté"/>
    <s v="HERMES DI JORGE"/>
    <s v="NEGATIVO"/>
    <d v="1899-12-30T10:49:00"/>
    <d v="1899-12-30T10:49:00"/>
    <d v="1899-12-30T00:00:00"/>
    <s v=" "/>
    <s v=" "/>
    <s v=" "/>
    <s v=" "/>
    <s v=" "/>
    <s v=" "/>
    <s v=" "/>
    <d v="1899-12-30T03:37:00"/>
    <s v=" "/>
    <s v=" "/>
    <d v="1899-12-30T07:12:00"/>
    <s v=" "/>
    <s v="Contrato de Trabalho Suspenso"/>
    <s v="CONSULTOR DE VENDAS"/>
    <x v="5"/>
    <s v="LJTAB"/>
  </r>
  <r>
    <n v="134360"/>
    <s v="LUCAS PORTES RODRIGUES"/>
    <s v="Diretoria Seminovos"/>
    <s v="RSGSP  - Regional Seminovos Varejo Grande São Paulo"/>
    <s v="LJSJC - Vendas Varejo Seminovos São José dos Campos"/>
    <s v="DAVID LEANDRO ROCHA SANCHES"/>
    <s v="NEGATIVO"/>
    <d v="1899-12-31T04:48:00"/>
    <d v="1899-12-31T04:48:00"/>
    <d v="1899-12-30T00:00:00"/>
    <s v=" "/>
    <s v=" "/>
    <s v=" "/>
    <s v=" "/>
    <s v=" "/>
    <s v=" "/>
    <s v=" "/>
    <s v=" "/>
    <s v=" "/>
    <d v="1899-12-30T14:24:00"/>
    <d v="1899-12-30T14:24:00"/>
    <s v=" "/>
    <s v="Ativo"/>
    <s v="CONSULTOR DE VENDAS"/>
    <x v="5"/>
    <s v="LJSJC"/>
  </r>
  <r>
    <n v="130829"/>
    <s v="MARCOS VINICIUS LOURENCO REIS BRITO"/>
    <s v="Diretoria Seminovos"/>
    <s v="RSGSP  - Regional Seminovos Varejo Grande São Paulo"/>
    <s v="LJSJA - Vendas Varejo Seminovos São José dos Campos"/>
    <s v="ANDRE BORGES DA COSTA"/>
    <s v="NEGATIVO"/>
    <d v="1899-12-31T15:42:00"/>
    <d v="1899-12-31T15:42:00"/>
    <d v="1899-12-30T00:00:00"/>
    <s v=" "/>
    <s v=" "/>
    <s v=" "/>
    <s v=" "/>
    <s v=" "/>
    <s v=" "/>
    <s v=" "/>
    <s v=" "/>
    <d v="1899-12-30T18:06:00"/>
    <d v="1899-12-30T07:12:00"/>
    <d v="1899-12-30T14:24:00"/>
    <s v=" "/>
    <s v="Ativo"/>
    <s v="CONSULTOR DE VENDAS"/>
    <x v="5"/>
    <s v="LJSJA"/>
  </r>
  <r>
    <n v="135901"/>
    <s v="PAULO JOSE TABIAN"/>
    <s v="Diretoria Seminovos"/>
    <s v="RSGSP  - Regional Seminovos Varejo Grande São Paulo"/>
    <s v="LJSJA - Vendas Varejo Seminovos São José dos Campos"/>
    <s v="ANDRE BORGES DA COSTA"/>
    <s v="NEGATIVO"/>
    <d v="1899-12-31T03:57:00"/>
    <d v="1899-12-31T03:57:00"/>
    <d v="1899-12-30T00:00:00"/>
    <s v=" "/>
    <s v=" "/>
    <s v=" "/>
    <s v=" "/>
    <s v=" "/>
    <s v=" "/>
    <s v=" "/>
    <s v=" "/>
    <s v=" "/>
    <d v="1899-12-30T13:33:00"/>
    <d v="1899-12-30T14:24:00"/>
    <s v=" "/>
    <s v="Ativo"/>
    <s v="CONSULTOR DE VENDAS"/>
    <x v="5"/>
    <s v="LJSJA"/>
  </r>
  <r>
    <n v="133554"/>
    <s v="PAULO LEONARDO REGINALDO DE SOUZA"/>
    <s v="Diretoria Seminovos"/>
    <s v="RSGSP  - Regional Seminovos Varejo Grande São Paulo"/>
    <s v="LJPGR - Vendas Varejo Seminovos Praia Grande"/>
    <s v="FABIANO SOUZA DA SILVA"/>
    <s v="NEGATIVO"/>
    <d v="1899-12-30T21:36:00"/>
    <d v="1899-12-30T21:36:00"/>
    <d v="1899-12-30T00:00:00"/>
    <s v=" "/>
    <s v=" "/>
    <s v=" "/>
    <s v=" "/>
    <s v=" "/>
    <s v=" "/>
    <s v=" "/>
    <s v=" "/>
    <s v=" "/>
    <s v=" "/>
    <d v="1899-12-30T21:36:00"/>
    <s v=" "/>
    <s v="Ativo"/>
    <s v="CONSULTOR DE VENDAS"/>
    <x v="5"/>
    <s v="LJPGR"/>
  </r>
  <r>
    <n v="501853"/>
    <s v="RAFAEL SOUSA CAVALCANTE"/>
    <s v="Diretoria Seminovos"/>
    <s v="RSGSP  - Regional Seminovos Varejo Grande São Paulo"/>
    <s v="LJSJA - Vendas Varejo Seminovos São José dos Campos"/>
    <s v="ANDRE BORGES DA COSTA"/>
    <s v="NEGATIVO"/>
    <d v="1900-01-01T07:14:00"/>
    <d v="1900-01-01T07:14:00"/>
    <d v="1899-12-30T00:00:00"/>
    <s v=" "/>
    <s v=" "/>
    <s v=" "/>
    <s v=" "/>
    <s v=" "/>
    <s v=" "/>
    <s v=" "/>
    <d v="1899-12-30T07:44:00"/>
    <d v="1899-12-30T10:42:00"/>
    <d v="1899-12-30T22:24:00"/>
    <d v="1899-12-30T14:24:00"/>
    <s v=" "/>
    <s v="Ativo"/>
    <s v="CONSULTOR DE VENDAS"/>
    <x v="5"/>
    <s v="LJSJA"/>
  </r>
  <r>
    <n v="134405"/>
    <s v="RICARDO ALEX DE OLIVEIRA"/>
    <s v="Diretoria Seminovos"/>
    <s v="RSGSP  - Regional Seminovos Varejo Grande São Paulo"/>
    <s v="LJSTA - Vendas Varejo Seminovos Santo André"/>
    <s v="JORGE LUIZ CANDIDO"/>
    <s v="NEGATIVO"/>
    <d v="1899-12-30T07:24:00"/>
    <d v="1899-12-30T07:24:00"/>
    <d v="1899-12-30T00:00:00"/>
    <s v=" "/>
    <s v=" "/>
    <s v=" "/>
    <s v=" "/>
    <s v=" "/>
    <s v=" "/>
    <s v=" "/>
    <s v=" "/>
    <d v="1899-12-30T07:24:00"/>
    <s v=" "/>
    <s v=" "/>
    <s v=" "/>
    <s v="Ativo"/>
    <s v="CONSULTOR DE VENDAS"/>
    <x v="5"/>
    <s v="LJSTA"/>
  </r>
  <r>
    <n v="125689"/>
    <s v="ROGERIO DONIZETE DO NASCIMENTO"/>
    <s v="Diretoria Seminovos"/>
    <s v="RSGSP  - Regional Seminovos Varejo Grande São Paulo"/>
    <s v="LJSMG - Vendas Varejo Seminovos São Miguel"/>
    <s v="PEDRO IVO DIAS RODRIGUES"/>
    <s v="NEGATIVO"/>
    <d v="1899-12-30T12:20:00"/>
    <d v="1899-12-30T12:20:00"/>
    <d v="1899-12-30T00:00:00"/>
    <s v=" "/>
    <s v=" "/>
    <s v=" "/>
    <s v=" "/>
    <s v=" "/>
    <s v=" "/>
    <s v=" "/>
    <s v=" "/>
    <d v="1899-12-30T12:20:00"/>
    <s v=" "/>
    <s v=" "/>
    <s v=" "/>
    <s v="Ativo"/>
    <s v="CONSULTOR DE VENDAS"/>
    <x v="5"/>
    <s v="LJSMG"/>
  </r>
  <r>
    <n v="135200"/>
    <s v="SANDRO LUIS DIOTTO MARIANO"/>
    <s v="Diretoria Seminovos"/>
    <s v="RSGSP  - Regional Seminovos Varejo Grande São Paulo"/>
    <s v="LJSMG - Vendas Varejo Seminovos São Miguel"/>
    <s v="PEDRO IVO DIAS RODRIGUES"/>
    <s v="NEGATIVO"/>
    <d v="1899-12-30T16:20:00"/>
    <d v="1899-12-30T16:20:00"/>
    <d v="1899-12-30T00:00:00"/>
    <s v=" "/>
    <s v=" "/>
    <s v=" "/>
    <s v=" "/>
    <s v=" "/>
    <s v=" "/>
    <s v=" "/>
    <s v=" "/>
    <d v="1899-12-30T16:20:00"/>
    <s v=" "/>
    <s v=" "/>
    <s v=" "/>
    <s v="Af.Previdência"/>
    <s v="CONSULTOR DE VENDAS"/>
    <x v="5"/>
    <s v="LJSMG"/>
  </r>
  <r>
    <n v="133901"/>
    <s v="THIAGO ALMEIDA LARONGA"/>
    <s v="Diretoria Seminovos"/>
    <s v="RSGSP  - Regional Seminovos Varejo Grande São Paulo"/>
    <s v="LJSTS - Vendas Varejo Seminovos Santos"/>
    <s v="RICARDO TEOFILO AMORIM"/>
    <s v="NEGATIVO"/>
    <d v="1899-12-30T07:27:00"/>
    <d v="1899-12-30T07:27:00"/>
    <d v="1899-12-30T00:00:00"/>
    <s v=" "/>
    <s v=" "/>
    <s v=" "/>
    <s v=" "/>
    <s v=" "/>
    <s v=" "/>
    <s v=" "/>
    <s v=" "/>
    <s v=" "/>
    <s v=" "/>
    <d v="1899-12-30T07:27:00"/>
    <s v=" "/>
    <s v="Ativo"/>
    <s v="CONSULTOR DE VENDAS"/>
    <x v="5"/>
    <s v="LJSTS"/>
  </r>
  <r>
    <n v="501377"/>
    <s v="VALTENIS APARECIDO GOMES"/>
    <s v="Diretoria Seminovos"/>
    <s v="RSGSP  - Regional Seminovos Varejo Grande São Paulo"/>
    <s v="LJMOG - Vendas Varejo Seminovos Mogi das Cruzes"/>
    <s v="FABIO ALEXANDRE FERRAZ DA SILVA"/>
    <s v="NEGATIVO"/>
    <d v="1900-01-09T06:24:00"/>
    <d v="1900-01-09T06:24:00"/>
    <d v="1899-12-30T00:00:00"/>
    <s v=" "/>
    <s v=" "/>
    <s v=" "/>
    <s v=" "/>
    <s v=" "/>
    <s v=" "/>
    <s v=" "/>
    <s v=" "/>
    <s v=" "/>
    <d v="1900-01-01T11:12:00"/>
    <d v="1900-01-06T19:12:00"/>
    <s v=" "/>
    <s v="Contrato de Trabalho Suspenso"/>
    <s v="CONSULTOR DE VENDAS"/>
    <x v="5"/>
    <s v="LJMOG"/>
  </r>
  <r>
    <n v="502049"/>
    <s v="ALEXANDRO VIRGINIO DA SILVA"/>
    <s v="Diretoria Seminovos"/>
    <s v="RSNDE - Regional Seminovos Varejo Nordeste"/>
    <s v="LJCAX - Loja Seminovos Caxanga"/>
    <s v="RAFAEL CAMPOS MARANHAO"/>
    <s v="NEGATIVO"/>
    <d v="1900-01-05T00:00:00"/>
    <d v="1900-01-05T00:00:00"/>
    <d v="1899-12-30T00:00:00"/>
    <s v=" "/>
    <s v=" "/>
    <s v=" "/>
    <s v=" "/>
    <s v=" "/>
    <s v=" "/>
    <s v=" "/>
    <s v=" "/>
    <s v=" "/>
    <d v="1900-01-05T00:00:00"/>
    <s v=" "/>
    <s v=" "/>
    <s v="Contrato de Trabalho Suspenso"/>
    <s v="HIGIENIZADOR DE CARROS"/>
    <x v="6"/>
    <s v="LJCAX"/>
  </r>
  <r>
    <n v="125345"/>
    <s v="VALDOMIRO MIGUEL DO NASCIMENTO"/>
    <s v="Diretoria Seminovos"/>
    <s v="RSNDE - Regional Seminovos Varejo Nordeste"/>
    <s v="LJREC - Vendas Varejo Seminovos Recife"/>
    <s v="MARCIA REGINA MARIA FRAGA DE VASCONCELOS"/>
    <s v="NEGATIVO"/>
    <d v="1899-12-30T12:54:00"/>
    <d v="1899-12-30T12:54:00"/>
    <d v="1899-12-30T00:00:00"/>
    <s v=" "/>
    <s v=" "/>
    <s v=" "/>
    <s v=" "/>
    <s v=" "/>
    <s v=" "/>
    <s v=" "/>
    <d v="1899-12-30T06:28:00"/>
    <d v="1899-12-30T08:50:00"/>
    <s v=" "/>
    <d v="1899-12-30T00:21:00"/>
    <d v="1899-12-30T08:49:00"/>
    <s v="Ativo"/>
    <s v="CONSULTOR DE VENDAS"/>
    <x v="6"/>
    <s v="LJREC"/>
  </r>
  <r>
    <n v="136983"/>
    <s v="FABIANO TAVARES MARCAL DA SILVA"/>
    <s v="Diretoria Seminovos"/>
    <s v="RSNDE - Regional Seminovos Varejo Nordeste"/>
    <s v="LJREC - Loja Seminovos Recife"/>
    <s v="MARCIA REGINA MARIA FRAGA DE VASCONCELOS"/>
    <s v="NEGATIVO"/>
    <d v="1899-12-31T05:54:00"/>
    <d v="1899-12-31T05:54:00"/>
    <d v="1899-12-30T00:00:00"/>
    <s v=" "/>
    <s v=" "/>
    <s v=" "/>
    <s v=" "/>
    <s v=" "/>
    <s v=" "/>
    <s v=" "/>
    <s v=" "/>
    <s v=" "/>
    <d v="1899-12-31T05:54:00"/>
    <s v=" "/>
    <s v=" "/>
    <s v="Contrato de Trabalho Suspenso"/>
    <s v="HIGIENIZADOR DE CARROS"/>
    <x v="6"/>
    <s v="LJREC"/>
  </r>
  <r>
    <n v="501873"/>
    <s v="FABIO JUNIO DE OLIVEIRA RIBEIRO"/>
    <s v="Diretoria Seminovos"/>
    <s v="RSNDE - Regional Seminovos Varejo Nordeste"/>
    <s v="LJJPA - Loja Seminovos João Pessoa"/>
    <s v="WICTOR MARANHAO RODRIGUES"/>
    <s v="NEGATIVO"/>
    <d v="1899-12-30T16:08:00"/>
    <d v="1899-12-30T16:08:00"/>
    <d v="1899-12-30T00:00:00"/>
    <s v=" "/>
    <s v=" "/>
    <s v=" "/>
    <s v=" "/>
    <s v=" "/>
    <s v=" "/>
    <s v=" "/>
    <s v=" "/>
    <s v=" "/>
    <s v=" "/>
    <d v="1899-12-30T07:48:00"/>
    <d v="1899-12-30T10:03:00"/>
    <s v="Ativo"/>
    <s v="HIGIENIZADOR DE CARROS"/>
    <x v="6"/>
    <s v="LJJPA"/>
  </r>
  <r>
    <n v="500899"/>
    <s v="FRANCINETE REGINA RIBEIRO"/>
    <s v="Diretoria Seminovos"/>
    <s v="RSNDE - Regional Seminovos Varejo Nordeste"/>
    <s v="LJCAX - Loja Seminovos Caxanga"/>
    <s v="RAFAEL CAMPOS MARANHAO"/>
    <s v="NEGATIVO"/>
    <d v="1900-01-03T00:08:00"/>
    <d v="1900-01-03T00:08:00"/>
    <d v="1899-12-30T00:00:00"/>
    <s v=" "/>
    <s v=" "/>
    <s v=" "/>
    <s v=" "/>
    <s v=" "/>
    <s v=" "/>
    <s v=" "/>
    <d v="1900-01-01T12:03:00"/>
    <d v="1899-12-30T21:00:00"/>
    <s v=" "/>
    <s v=" "/>
    <d v="1899-12-30T08:00:00"/>
    <s v="Ativo"/>
    <s v="AUX. DE SERVICOS GERAIS - DIRCS"/>
    <x v="6"/>
    <s v="LJCAX"/>
  </r>
  <r>
    <n v="133795"/>
    <s v="GABRIELA LIMA DE QUEIROZ SANTOS"/>
    <s v="Diretoria Seminovos"/>
    <s v="RSNDE - Regional Seminovos Varejo Nordeste"/>
    <s v="LJNGT - Loja Seminovos Nova Iguatemi"/>
    <s v="ALEXANDRE VINICIUS NEGREIROS CABRAL"/>
    <s v="NEGATIVO"/>
    <d v="1900-01-02T10:23:00"/>
    <d v="1900-01-02T10:23:00"/>
    <d v="1899-12-30T00:00:00"/>
    <s v=" "/>
    <s v=" "/>
    <s v=" "/>
    <s v=" "/>
    <s v=" "/>
    <s v=" "/>
    <d v="1899-12-31T04:17:00"/>
    <d v="1899-12-31T23:22:00"/>
    <d v="1899-12-30T06:44:00"/>
    <s v=" "/>
    <s v=" "/>
    <s v=" "/>
    <s v="Ativo"/>
    <s v="ADMINISTRATIVO I - FILIAL"/>
    <x v="6"/>
    <s v="LJNGT"/>
  </r>
  <r>
    <n v="123787"/>
    <s v="GEORGE EMILIO DE SOUZA"/>
    <s v="Diretoria Seminovos"/>
    <s v="RSNDE - Regional Seminovos Varejo Nordeste"/>
    <s v="LJCGE - Loja Seminovos Campina Grande"/>
    <s v="LEANDRO LEITE DUARTE"/>
    <s v="NEGATIVO"/>
    <d v="1899-12-30T16:00:00"/>
    <d v="1899-12-30T16:00:00"/>
    <d v="1899-12-30T00:00:00"/>
    <s v=" "/>
    <s v=" "/>
    <s v=" "/>
    <s v=" "/>
    <s v=" "/>
    <s v=" "/>
    <s v=" "/>
    <s v=" "/>
    <s v=" "/>
    <d v="1899-12-30T16:00:00"/>
    <s v=" "/>
    <s v=" "/>
    <s v="Ativo"/>
    <s v="HIGIENIZADOR DE CARROS"/>
    <x v="6"/>
    <s v="LJCGE"/>
  </r>
  <r>
    <n v="136337"/>
    <s v="GIVSON JOSE RODRIGUES DA SILVA"/>
    <s v="Diretoria Seminovos"/>
    <s v="RSNDE - Regional Seminovos Varejo Nordeste"/>
    <s v="SNLOG/REC - Gerência de Logística"/>
    <s v="BERNARDO DIAS GOMIDE"/>
    <s v="NEGATIVO"/>
    <d v="1900-01-26T01:44:00"/>
    <d v="1900-01-26T01:44:00"/>
    <d v="1899-12-30T00:00:00"/>
    <d v="1899-12-30T11:44:00"/>
    <d v="1900-01-05T14:24:00"/>
    <d v="1900-01-05T23:12:00"/>
    <d v="1900-01-05T14:24:00"/>
    <d v="1900-01-01T04:48:00"/>
    <d v="1900-01-03T05:12:00"/>
    <s v=" "/>
    <s v=" "/>
    <s v=" "/>
    <s v=" "/>
    <s v=" "/>
    <s v=" "/>
    <s v="Ativo"/>
    <s v="AUX. MOVIMENTACAO DE FROTA"/>
    <x v="6"/>
    <s v="SNLOG"/>
  </r>
  <r>
    <n v="503454"/>
    <s v="ISAIAS JOSE DE MELO JUNIOR"/>
    <s v="Diretoria Seminovos"/>
    <s v="RSNDE - Regional Seminovos Varejo Nordeste"/>
    <s v="LJREC - Vendas Varejo Seminovos Recife"/>
    <s v="MARCIA REGINA MARIA FRAGA DE VASCONCELOS"/>
    <s v="NEGATIVO"/>
    <d v="1899-12-30T05:19:00"/>
    <d v="1899-12-30T05:19:00"/>
    <d v="1899-12-30T00:00:00"/>
    <s v=" "/>
    <s v=" "/>
    <s v=" "/>
    <s v=" "/>
    <s v=" "/>
    <s v=" "/>
    <s v=" "/>
    <s v=" "/>
    <s v=" "/>
    <s v=" "/>
    <s v=" "/>
    <d v="1899-12-30T13:41:00"/>
    <s v="Ativo"/>
    <s v="CONSULTOR DE VENDAS"/>
    <x v="6"/>
    <s v="LJREC"/>
  </r>
  <r>
    <n v="131499"/>
    <s v="ICARO PLACIDO LIZARDO FERREIRA"/>
    <s v="Diretoria Seminovos"/>
    <s v="RSNDE - Regional Seminovos Varejo Nordeste"/>
    <s v="LJSSA - Loja Seminovos Salvador"/>
    <s v="ALISSON LIMA E SILVA"/>
    <s v="NEGATIVO"/>
    <d v="1899-12-30T01:32:00"/>
    <d v="1899-12-30T01:32:00"/>
    <d v="1899-12-30T00:00:00"/>
    <s v=" "/>
    <s v=" "/>
    <s v=" "/>
    <s v=" "/>
    <s v=" "/>
    <s v=" "/>
    <s v=" "/>
    <s v=" "/>
    <s v=" "/>
    <s v=" "/>
    <d v="1899-12-30T01:32:00"/>
    <s v=" "/>
    <s v="Contrato de Trabalho Suspenso"/>
    <s v="HIGIENIZADOR DE CARROS"/>
    <x v="6"/>
    <s v="LJSSA"/>
  </r>
  <r>
    <n v="135152"/>
    <s v="IRACEMA FRANCISCA DA SILVA"/>
    <s v="Diretoria Seminovos"/>
    <s v="RSNDE - Regional Seminovos Varejo Nordeste"/>
    <s v="LJJBT - Loja Seminovos Jaboatão dos Guararapes"/>
    <s v="MARIO ROBERTO DE OLIVEIRA JUNIOR"/>
    <s v="NEGATIVO"/>
    <d v="1900-01-03T09:36:00"/>
    <d v="1900-01-03T09:36:00"/>
    <d v="1899-12-30T00:00:00"/>
    <s v=" "/>
    <s v=" "/>
    <s v=" "/>
    <s v=" "/>
    <s v=" "/>
    <d v="1900-01-03T09:36:00"/>
    <s v=" "/>
    <s v=" "/>
    <s v=" "/>
    <s v=" "/>
    <s v=" "/>
    <s v=" "/>
    <s v="Ativo"/>
    <s v="AUX. DE SERVICOS GERAIS - DIRCS"/>
    <x v="6"/>
    <s v="LJJBT"/>
  </r>
  <r>
    <n v="132970"/>
    <s v="JORDENIA FERREIRA DA SILVA"/>
    <s v="Diretoria Seminovos"/>
    <s v="RSNDE - Regional Seminovos Varejo Nordeste"/>
    <s v="LJREC - Loja Seminovos Recife"/>
    <s v="MARCIA REGINA MARIA FRAGA DE VASCONCELOS"/>
    <s v="NEGATIVO"/>
    <d v="1899-12-30T16:45:00"/>
    <d v="1899-12-30T16:45:00"/>
    <d v="1899-12-30T00:00:00"/>
    <s v=" "/>
    <s v=" "/>
    <s v=" "/>
    <s v=" "/>
    <s v=" "/>
    <s v=" "/>
    <s v=" "/>
    <d v="1899-12-30T16:35:00"/>
    <d v="1899-12-30T08:58:00"/>
    <s v=" "/>
    <s v=" "/>
    <s v=" "/>
    <s v="Ativo"/>
    <s v="ADMINISTRATIVO I - FILIAL"/>
    <x v="6"/>
    <s v="LJREC"/>
  </r>
  <r>
    <n v="134515"/>
    <s v="JOSE CARLOS LISBOA RAMALHO"/>
    <s v="Diretoria Seminovos"/>
    <s v="RSNDE - Regional Seminovos Varejo Nordeste"/>
    <s v="LJPNA - Loja Seminovos Petrolina"/>
    <s v="EDVALDO GOMES DE MELO NETO"/>
    <s v="NEGATIVO"/>
    <d v="1900-01-14T18:24:00"/>
    <d v="1900-01-14T18:24:00"/>
    <d v="1899-12-30T00:00:00"/>
    <s v=" "/>
    <s v=" "/>
    <s v=" "/>
    <s v=" "/>
    <d v="1900-01-07T10:24:00"/>
    <d v="1900-01-06T08:00:00"/>
    <s v=" "/>
    <s v=" "/>
    <s v=" "/>
    <s v=" "/>
    <s v=" "/>
    <s v=" "/>
    <s v="Ativo"/>
    <s v="HIGIENIZADOR DE CARROS"/>
    <x v="6"/>
    <s v="LJPNA"/>
  </r>
  <r>
    <n v="133511"/>
    <s v="LAIZ BAZILIA ARAUJO TORRICO VALENCIA"/>
    <s v="Diretoria Seminovos"/>
    <s v="RSNDE - Regional Seminovos Varejo Nordeste"/>
    <s v="LJJPA - Loja Seminovos João Pessoa"/>
    <s v="WICTOR MARANHAO RODRIGUES"/>
    <s v="NEGATIVO"/>
    <d v="1899-12-31T14:34:00"/>
    <d v="1899-12-31T14:34:00"/>
    <d v="1899-12-30T00:00:00"/>
    <s v=" "/>
    <s v=" "/>
    <s v=" "/>
    <s v=" "/>
    <s v=" "/>
    <s v=" "/>
    <s v=" "/>
    <d v="1899-12-30T18:09:00"/>
    <s v=" "/>
    <s v=" "/>
    <s v=" "/>
    <d v="1899-12-30T17:36:00"/>
    <s v="Ativo"/>
    <s v="ADMINISTRATIVO I - FILIAL"/>
    <x v="6"/>
    <s v="LJJPA"/>
  </r>
  <r>
    <n v="503377"/>
    <s v="GILBERTO LUCAS DE MOURA"/>
    <s v="Diretoria Seminovos"/>
    <s v="RSNDE - Regional Seminovos Varejo Nordeste"/>
    <s v="LJJPA - Vendas Varejo Seminovos João Pessoa"/>
    <s v="WICTOR MARANHAO RODRIGUES"/>
    <s v="NEGATIVO"/>
    <d v="1899-12-30T07:07:00"/>
    <d v="1899-12-30T07:07:00"/>
    <d v="1899-12-30T00:00:00"/>
    <s v=" "/>
    <s v=" "/>
    <s v=" "/>
    <s v=" "/>
    <s v=" "/>
    <s v=" "/>
    <s v=" "/>
    <s v=" "/>
    <s v=" "/>
    <s v=" "/>
    <s v=" "/>
    <d v="1899-12-30T06:41:00"/>
    <s v="Ativo"/>
    <s v="CONSULTOR DE VENDAS"/>
    <x v="6"/>
    <s v="LJJPA"/>
  </r>
  <r>
    <n v="135204"/>
    <s v="LEONARDO HENRIQUE FRAGA DE VASCONCELOS"/>
    <s v="Diretoria Seminovos"/>
    <s v="RSNDE - Regional Seminovos Varejo Nordeste"/>
    <s v="LJJBT - Loja Seminovos Jaboatão dos Guararapes"/>
    <s v="MARIO ROBERTO DE OLIVEIRA JUNIOR"/>
    <s v="NEGATIVO"/>
    <d v="1899-12-30T04:00:00"/>
    <d v="1899-12-30T04:00:00"/>
    <d v="1899-12-30T00:00:00"/>
    <s v=" "/>
    <s v=" "/>
    <s v=" "/>
    <s v=" "/>
    <d v="1899-12-30T04:00:00"/>
    <s v=" "/>
    <s v=" "/>
    <s v=" "/>
    <s v=" "/>
    <s v=" "/>
    <s v=" "/>
    <s v=" "/>
    <s v="Contrato de Trabalho Suspenso"/>
    <s v="HIGIENIZADOR DE CARROS"/>
    <x v="6"/>
    <s v="LJJBT"/>
  </r>
  <r>
    <n v="502399"/>
    <s v="LUCIANA NOBRE DA SILVA SANTOS"/>
    <s v="Diretoria Seminovos"/>
    <s v="RSNDE - Regional Seminovos Varejo Nordeste"/>
    <s v="LJMCO - Loja Seminovos Maceió"/>
    <s v="MARCOS ANTONIO BRANDAO MESQUITA"/>
    <s v="NEGATIVO"/>
    <d v="1900-01-03T02:33:00"/>
    <d v="1900-01-03T02:33:00"/>
    <d v="1899-12-30T00:00:00"/>
    <s v=" "/>
    <s v=" "/>
    <s v=" "/>
    <s v=" "/>
    <s v=" "/>
    <s v=" "/>
    <s v=" "/>
    <d v="1900-01-01T22:33:00"/>
    <d v="1899-12-31T04:00:00"/>
    <s v=" "/>
    <s v=" "/>
    <s v=" "/>
    <s v="Ativo"/>
    <s v="AUX. DE SERVICOS GERAIS - DIRCS"/>
    <x v="6"/>
    <s v="LJMCO"/>
  </r>
  <r>
    <n v="131764"/>
    <s v="MARCIA CRISTINA SANTOS DA SILVA"/>
    <s v="Diretoria Seminovos"/>
    <s v="RSNDE - Regional Seminovos Varejo Nordeste"/>
    <s v="LJMCZ - Loja Seminovos Maceió"/>
    <s v="JOYCE LARISE CORREIA GOMES"/>
    <s v="NEGATIVO"/>
    <d v="1900-01-01T12:00:00"/>
    <d v="1900-01-01T12:00:00"/>
    <d v="1899-12-30T00:00:00"/>
    <s v=" "/>
    <s v=" "/>
    <s v=" "/>
    <s v=" "/>
    <s v=" "/>
    <s v=" "/>
    <s v=" "/>
    <s v=" "/>
    <s v=" "/>
    <d v="1900-01-01T04:00:00"/>
    <d v="1899-12-30T08:00:00"/>
    <s v=" "/>
    <s v="Ativo"/>
    <s v="AUX. DE SERVICOS GERAIS - DIRCS"/>
    <x v="6"/>
    <s v="LJMCZ"/>
  </r>
  <r>
    <n v="120250"/>
    <s v="MARIA FLORISVANIA RAMALHO DA PAIXAO"/>
    <s v="Diretoria Seminovos"/>
    <s v="RSNDE - Regional Seminovos Varejo Nordeste"/>
    <s v="LJAJU - Loja Seminovos Aracajú"/>
    <s v="TIAGO ANDRADE ALCANTARA"/>
    <s v="NEGATIVO"/>
    <d v="1899-12-30T11:13:00"/>
    <d v="1899-12-30T11:13:00"/>
    <d v="1899-12-30T00:00:00"/>
    <d v="1899-12-30T00:31:00"/>
    <d v="1899-12-30T01:03:00"/>
    <d v="1899-12-30T00:10:00"/>
    <d v="1899-12-30T07:00:00"/>
    <d v="1899-12-30T00:29:00"/>
    <d v="1899-12-30T02:00:00"/>
    <s v=" "/>
    <s v=" "/>
    <s v=" "/>
    <s v=" "/>
    <s v=" "/>
    <s v=" "/>
    <s v="Ativo"/>
    <s v="AUX. DE SERVICOS GERAIS - DIRCS"/>
    <x v="6"/>
    <s v="LJAJU"/>
  </r>
  <r>
    <n v="124229"/>
    <s v="NOE SANTOS SOUSA"/>
    <s v="Diretoria Seminovos"/>
    <s v="RSNDE - Regional Seminovos Varejo Nordeste"/>
    <s v="LJVDC - Loja Seminovos Vitoria da Conquista"/>
    <s v="FRANCISCO MORAIS ROCHA"/>
    <s v="NEGATIVO"/>
    <d v="1899-12-30T16:00:00"/>
    <d v="1899-12-30T16:00:00"/>
    <d v="1899-12-30T00:00:00"/>
    <s v=" "/>
    <s v=" "/>
    <s v=" "/>
    <s v=" "/>
    <s v=" "/>
    <s v=" "/>
    <s v=" "/>
    <s v=" "/>
    <s v=" "/>
    <d v="1899-12-30T16:00:00"/>
    <s v=" "/>
    <s v=" "/>
    <s v="Ativo"/>
    <s v="HIGIENIZADOR DE CARROS"/>
    <x v="6"/>
    <s v="LJVDC"/>
  </r>
  <r>
    <n v="136527"/>
    <s v="PAULO HENRIQUE LOPES CARIGE"/>
    <s v="Diretoria Seminovos"/>
    <s v="RSNDE - Regional Seminovos Varejo Nordeste"/>
    <s v="SNLOG/SSA - Gerência de Logística"/>
    <s v="BERNARDO DIAS GOMIDE"/>
    <s v="NEGATIVO"/>
    <d v="1900-01-22T02:24:00"/>
    <d v="1900-01-22T02:24:00"/>
    <d v="1899-12-30T00:00:00"/>
    <s v=" "/>
    <d v="1900-01-02T07:12:00"/>
    <d v="1900-01-05T23:12:00"/>
    <d v="1900-01-05T14:24:00"/>
    <d v="1900-01-01T00:24:00"/>
    <d v="1900-01-03T05:12:00"/>
    <s v=" "/>
    <s v=" "/>
    <s v=" "/>
    <s v=" "/>
    <s v=" "/>
    <s v=" "/>
    <s v="Ativo"/>
    <s v="AUX. MOVIMENTACAO DE FROTA"/>
    <x v="6"/>
    <s v="SNLOG"/>
  </r>
  <r>
    <n v="118011"/>
    <s v="RAFAEL PEREIRA"/>
    <s v="Diretoria Seminovos"/>
    <s v="RSNDE - Regional Seminovos Varejo Nordeste"/>
    <s v="LJMCZ - Loja Seminovos Maceió"/>
    <s v="JOYCE LARISE CORREIA GOMES"/>
    <s v="NEGATIVO"/>
    <d v="1899-12-30T04:00:00"/>
    <d v="1899-12-30T04:00:00"/>
    <d v="1899-12-30T00:00:00"/>
    <s v=" "/>
    <s v=" "/>
    <s v=" "/>
    <s v=" "/>
    <s v=" "/>
    <s v=" "/>
    <s v=" "/>
    <s v=" "/>
    <s v=" "/>
    <d v="1899-12-30T04:00:00"/>
    <s v=" "/>
    <s v=" "/>
    <s v="Ativo"/>
    <s v="HIGIENIZADOR DE CARROS"/>
    <x v="6"/>
    <s v="LJMCZ"/>
  </r>
  <r>
    <n v="122048"/>
    <s v="SEVERINO DO RAMO DE LIMA"/>
    <s v="Diretoria Seminovos"/>
    <s v="RSNDE - Regional Seminovos Varejo Nordeste"/>
    <s v="LJJPA - Loja Seminovos João Pessoa"/>
    <s v="WICTOR MARANHAO RODRIGUES"/>
    <s v="NEGATIVO"/>
    <d v="1899-12-30T11:50:00"/>
    <d v="1899-12-30T11:50:00"/>
    <d v="1899-12-30T00:00:00"/>
    <s v=" "/>
    <s v=" "/>
    <s v=" "/>
    <s v=" "/>
    <s v=" "/>
    <s v=" "/>
    <s v=" "/>
    <s v=" "/>
    <s v=" "/>
    <d v="1899-12-30T10:58:00"/>
    <s v=" "/>
    <d v="1899-12-30T02:08:00"/>
    <s v="Ativo"/>
    <s v="HIGIENIZADOR DE CARROS"/>
    <x v="6"/>
    <s v="LJJPA"/>
  </r>
  <r>
    <n v="135156"/>
    <s v="VAMBERGUE FABRICIO DE MELO"/>
    <s v="Diretoria Seminovos"/>
    <s v="RSNDE - Regional Seminovos Varejo Nordeste"/>
    <s v="LJJBT - Loja Seminovos Jaboatão dos Guararapes"/>
    <s v="MARIO ROBERTO DE OLIVEIRA JUNIOR"/>
    <s v="NEGATIVO"/>
    <d v="1899-12-31T02:24:00"/>
    <d v="1899-12-31T02:24:00"/>
    <d v="1899-12-30T00:00:00"/>
    <s v=" "/>
    <s v=" "/>
    <s v=" "/>
    <s v=" "/>
    <s v=" "/>
    <d v="1899-12-31T02:24:00"/>
    <s v=" "/>
    <s v=" "/>
    <s v=" "/>
    <s v=" "/>
    <s v=" "/>
    <s v=" "/>
    <s v="Ativo"/>
    <s v="HIGIENIZADOR DE CARROS"/>
    <x v="6"/>
    <s v="LJJBT"/>
  </r>
  <r>
    <n v="133565"/>
    <s v="ALAN DOUGLAS DA SILVA LIMA"/>
    <s v="Diretoria Seminovos"/>
    <s v="RSNDE - Regional Seminovos Varejo Nordeste"/>
    <s v="LJMCO - Vendas Varejo Seminovos Maceió"/>
    <s v="MARCOS ANTONIO BRANDAO MESQUITA"/>
    <s v="NEGATIVO"/>
    <d v="1899-12-30T18:41:00"/>
    <d v="1899-12-30T18:41:00"/>
    <d v="1899-12-30T00:00:00"/>
    <s v=" "/>
    <s v=" "/>
    <s v=" "/>
    <s v=" "/>
    <s v=" "/>
    <s v=" "/>
    <s v=" "/>
    <s v=" "/>
    <d v="1899-12-30T18:41:00"/>
    <s v=" "/>
    <s v=" "/>
    <s v=" "/>
    <s v="Ativo"/>
    <s v="CONSULTOR DE VENDAS"/>
    <x v="6"/>
    <s v="LJMCO"/>
  </r>
  <r>
    <n v="135557"/>
    <s v="ALEXSANDRA SANTOS ALEIXO"/>
    <s v="Diretoria Seminovos"/>
    <s v="RSNDE - Regional Seminovos Varejo Nordeste"/>
    <s v="LJPNA - Vendas Varejo Seminovos Petrolina"/>
    <s v="EDVALDO GOMES DE MELO NETO"/>
    <s v="NEGATIVO"/>
    <d v="1899-12-31T20:04:00"/>
    <d v="1899-12-31T20:04:00"/>
    <d v="1899-12-30T00:00:00"/>
    <s v=" "/>
    <s v=" "/>
    <s v=" "/>
    <s v=" "/>
    <d v="1899-12-31T08:31:00"/>
    <d v="1899-12-30T11:33:00"/>
    <s v=" "/>
    <s v=" "/>
    <s v=" "/>
    <s v=" "/>
    <s v=" "/>
    <s v=" "/>
    <s v="Ativo"/>
    <s v="CONSULTOR DE VENDAS"/>
    <x v="6"/>
    <s v="LJPNA"/>
  </r>
  <r>
    <n v="129386"/>
    <s v="ANDERSON PEQUENO DE SOUSA"/>
    <s v="Diretoria Seminovos"/>
    <s v="RSNDE - Regional Seminovos Varejo Nordeste"/>
    <s v="LJJPA - Vendas Varejo Seminovos João Pessoa"/>
    <s v="WICTOR MARANHAO RODRIGUES"/>
    <s v="NEGATIVO"/>
    <d v="1899-12-31T01:14:00"/>
    <d v="1899-12-31T01:14:00"/>
    <d v="1899-12-30T00:00:00"/>
    <s v=" "/>
    <s v=" "/>
    <s v=" "/>
    <s v=" "/>
    <s v=" "/>
    <s v=" "/>
    <s v=" "/>
    <s v=" "/>
    <s v=" "/>
    <d v="1899-12-30T13:39:00"/>
    <d v="1899-12-30T11:35:00"/>
    <s v=" "/>
    <s v="Contrato de Trabalho Suspenso"/>
    <s v="CONSULTOR DE VENDAS"/>
    <x v="6"/>
    <s v="LJJPA"/>
  </r>
  <r>
    <n v="123768"/>
    <s v="BRUNO EUGENIO DE SOUZA ALVES"/>
    <s v="Diretoria Seminovos"/>
    <s v="RSNDE - Regional Seminovos Varejo Nordeste"/>
    <s v="LJSSA - Vendas Varejo Seminovos Salvador"/>
    <s v="ALISSON LIMA E SILVA"/>
    <s v="NEGATIVO"/>
    <d v="1899-12-31T05:07:00"/>
    <d v="1899-12-31T05:07:00"/>
    <d v="1899-12-30T00:00:00"/>
    <s v=" "/>
    <s v=" "/>
    <s v=" "/>
    <s v=" "/>
    <s v=" "/>
    <s v=" "/>
    <s v=" "/>
    <s v=" "/>
    <s v=" "/>
    <d v="1899-12-30T15:35:00"/>
    <d v="1899-12-30T11:10:00"/>
    <d v="1899-12-30T02:22:00"/>
    <s v="Contrato de Trabalho Suspenso"/>
    <s v="CONSULTOR DE VENDAS"/>
    <x v="6"/>
    <s v="LJSSA"/>
  </r>
  <r>
    <n v="131590"/>
    <s v="CRISTIANO GONCALVES"/>
    <s v="Diretoria Seminovos"/>
    <s v="RSNDE - Regional Seminovos Varejo Nordeste"/>
    <s v="LJJPA - Vendas Varejo Seminovos João Pessoa"/>
    <s v="WICTOR MARANHAO RODRIGUES"/>
    <s v="NEGATIVO"/>
    <d v="1899-12-30T00:12:00"/>
    <d v="1899-12-30T00:12:00"/>
    <d v="1899-12-30T00:00:00"/>
    <s v=" "/>
    <s v=" "/>
    <s v=" "/>
    <s v=" "/>
    <s v=" "/>
    <d v="1899-12-30T00:12:00"/>
    <s v=" "/>
    <s v=" "/>
    <s v=" "/>
    <s v=" "/>
    <s v=" "/>
    <s v=" "/>
    <s v="Ativo"/>
    <s v="CONSULTOR DE VENDAS"/>
    <x v="6"/>
    <s v="LJJPA"/>
  </r>
  <r>
    <n v="132795"/>
    <s v="EDSON DA SILVA RIBEIRO"/>
    <s v="Diretoria Seminovos"/>
    <s v="RSNDE - Regional Seminovos Varejo Nordeste"/>
    <s v="LJCAX - Vendas Varejo Seminovos Caxanga"/>
    <s v="RAFAEL CAMPOS MARANHAO"/>
    <s v="NEGATIVO"/>
    <d v="1899-12-30T17:58:00"/>
    <d v="1899-12-30T17:58:00"/>
    <d v="1899-12-30T00:00:00"/>
    <s v=" "/>
    <s v=" "/>
    <s v=" "/>
    <s v=" "/>
    <s v=" "/>
    <s v=" "/>
    <s v=" "/>
    <s v=" "/>
    <s v=" "/>
    <s v=" "/>
    <d v="1899-12-30T09:52:00"/>
    <d v="1899-12-30T08:22:00"/>
    <s v="Ativo"/>
    <s v="CONSULTOR DE VENDAS"/>
    <x v="6"/>
    <s v="LJCAX"/>
  </r>
  <r>
    <n v="131079"/>
    <s v="ESTEFANY TAMIRES RIBEIRO DA SILVA"/>
    <s v="Diretoria Seminovos"/>
    <s v="RSNDE - Regional Seminovos Varejo Nordeste"/>
    <s v="LJMCZ - Vendas Varejo Seminovos Maceió"/>
    <s v="JOYCE LARISE CORREIA GOMES"/>
    <s v="NEGATIVO"/>
    <d v="1899-12-30T04:48:00"/>
    <d v="1899-12-30T04:48:00"/>
    <d v="1899-12-30T00:00:00"/>
    <s v=" "/>
    <s v=" "/>
    <s v=" "/>
    <s v=" "/>
    <s v=" "/>
    <s v=" "/>
    <s v=" "/>
    <s v=" "/>
    <s v=" "/>
    <d v="1899-12-30T04:48:00"/>
    <s v=" "/>
    <s v=" "/>
    <s v="Contrato de Trabalho Suspenso"/>
    <s v="CONSULTOR DE VENDAS"/>
    <x v="6"/>
    <s v="LJMCZ"/>
  </r>
  <r>
    <n v="125905"/>
    <s v="GLAUBER NATALICIO SA MENDES"/>
    <s v="Diretoria Seminovos"/>
    <s v="RSNDE - Regional Seminovos Varejo Nordeste"/>
    <s v="LJMCZ - Vendas Varejo Seminovos Maceió"/>
    <s v="JOYCE LARISE CORREIA GOMES"/>
    <s v="NEGATIVO"/>
    <d v="1899-12-30T12:04:00"/>
    <d v="1899-12-30T12:04:00"/>
    <d v="1899-12-30T00:00:00"/>
    <s v=" "/>
    <s v=" "/>
    <s v=" "/>
    <s v=" "/>
    <s v=" "/>
    <s v=" "/>
    <s v=" "/>
    <d v="1899-12-30T12:04:00"/>
    <s v=" "/>
    <s v=" "/>
    <s v=" "/>
    <s v=" "/>
    <s v="Ativo"/>
    <s v="CONSULTOR DE VENDAS"/>
    <x v="6"/>
    <s v="LJMCZ"/>
  </r>
  <r>
    <n v="135112"/>
    <s v="GREGORY PECK DE AZEVEDO"/>
    <s v="Diretoria Seminovos"/>
    <s v="RSNDE - Regional Seminovos Varejo Nordeste"/>
    <s v="LJJBT - Vendas Varejo Seminovos Jaboatão dos Guararapes"/>
    <s v="MARIO ROBERTO DE OLIVEIRA JUNIOR"/>
    <s v="NEGATIVO"/>
    <d v="1899-12-30T21:36:00"/>
    <d v="1899-12-30T21:36:00"/>
    <d v="1899-12-30T00:00:00"/>
    <s v=" "/>
    <s v=" "/>
    <s v=" "/>
    <s v=" "/>
    <s v=" "/>
    <d v="1899-12-30T21:36:00"/>
    <s v=" "/>
    <s v=" "/>
    <s v=" "/>
    <s v=" "/>
    <s v=" "/>
    <s v=" "/>
    <s v="Ativo"/>
    <s v="CONSULTOR DE VENDAS"/>
    <x v="6"/>
    <s v="LJJBT"/>
  </r>
  <r>
    <n v="131561"/>
    <s v="GUSTAVO RIGAUD MAGALHAES ALMEIDA JUNIOR"/>
    <s v="Diretoria Seminovos"/>
    <s v="RSNDE - Regional Seminovos Varejo Nordeste"/>
    <s v="LJCAX - Vendas Varejo Seminovos Caxanga"/>
    <s v="RAFAEL CAMPOS MARANHAO"/>
    <s v="NEGATIVO"/>
    <d v="1899-12-30T23:29:00"/>
    <d v="1899-12-30T23:29:00"/>
    <d v="1899-12-30T00:00:00"/>
    <s v=" "/>
    <s v=" "/>
    <s v=" "/>
    <s v=" "/>
    <s v=" "/>
    <s v=" "/>
    <s v=" "/>
    <s v=" "/>
    <s v=" "/>
    <s v=" "/>
    <d v="1899-12-30T14:17:00"/>
    <d v="1899-12-30T08:52:00"/>
    <s v="Ativo"/>
    <s v="CONSULTOR DE VENDAS"/>
    <x v="6"/>
    <s v="LJCAX"/>
  </r>
  <r>
    <n v="134539"/>
    <s v="HELENO ALVES D AFONSECA JUNIOR"/>
    <s v="Diretoria Seminovos"/>
    <s v="RSNDE - Regional Seminovos Varejo Nordeste"/>
    <s v="LJPNA - Vendas Varejo Seminovos Petrolina"/>
    <s v="EDVALDO GOMES DE MELO NETO"/>
    <s v="NEGATIVO"/>
    <d v="1900-01-02T14:00:00"/>
    <d v="1900-01-02T14:00:00"/>
    <d v="1899-12-30T00:00:00"/>
    <s v=" "/>
    <s v=" "/>
    <s v=" "/>
    <s v=" "/>
    <d v="1900-01-02T06:00:00"/>
    <d v="1899-12-30T08:00:00"/>
    <s v=" "/>
    <s v=" "/>
    <s v=" "/>
    <s v=" "/>
    <s v=" "/>
    <s v=" "/>
    <s v="Ativo"/>
    <s v="CONSULTOR DE VENDAS"/>
    <x v="6"/>
    <s v="LJPNA"/>
  </r>
  <r>
    <n v="123182"/>
    <s v="JOAO MARCOS VANDERLEI DE ARAUJO JUNIOR"/>
    <s v="Diretoria Seminovos"/>
    <s v="RSNDE - Regional Seminovos Varejo Nordeste"/>
    <s v="LJJBT - Vendas Varejo Seminovos Jaboatão dos Guararapes"/>
    <s v="MARIO ROBERTO DE OLIVEIRA JUNIOR"/>
    <s v="NEGATIVO"/>
    <d v="1899-12-30T21:36:00"/>
    <d v="1899-12-30T21:36:00"/>
    <d v="1899-12-30T00:00:00"/>
    <s v=" "/>
    <s v=" "/>
    <s v=" "/>
    <s v=" "/>
    <s v=" "/>
    <s v=" "/>
    <s v=" "/>
    <s v=" "/>
    <s v=" "/>
    <s v=" "/>
    <d v="1899-12-30T21:36:00"/>
    <s v=" "/>
    <s v="Contrato de Trabalho Suspenso"/>
    <s v="CONSULTOR DE VENDAS"/>
    <x v="6"/>
    <s v="LJJBT"/>
  </r>
  <r>
    <n v="135155"/>
    <s v="JOSE CARDOSO DA SILVA"/>
    <s v="Diretoria Seminovos"/>
    <s v="RSNDE - Regional Seminovos Varejo Nordeste"/>
    <s v="LJJBT - Vendas Varejo Seminovos Jaboatão dos Guararapes"/>
    <s v="MARIO ROBERTO DE OLIVEIRA JUNIOR"/>
    <s v="NEGATIVO"/>
    <d v="1899-12-30T21:20:00"/>
    <d v="1899-12-30T21:20:00"/>
    <d v="1899-12-30T00:00:00"/>
    <s v=" "/>
    <s v=" "/>
    <s v=" "/>
    <s v=" "/>
    <d v="1899-12-30T21:20:00"/>
    <s v=" "/>
    <s v=" "/>
    <s v=" "/>
    <s v=" "/>
    <s v=" "/>
    <s v=" "/>
    <s v=" "/>
    <s v="Ativo"/>
    <s v="CONSULTOR DE VENDAS"/>
    <x v="6"/>
    <s v="LJJBT"/>
  </r>
  <r>
    <n v="134353"/>
    <s v="JOSE FERNANDO FIDELIX DE MOURA"/>
    <s v="Diretoria Seminovos"/>
    <s v="RSNDE - Regional Seminovos Varejo Nordeste"/>
    <s v="LJPNA - Vendas Varejo Seminovos Petrolina"/>
    <s v="EDVALDO GOMES DE MELO NETO"/>
    <s v="NEGATIVO"/>
    <d v="1900-01-17T16:48:00"/>
    <d v="1900-01-17T16:48:00"/>
    <d v="1899-12-30T00:00:00"/>
    <s v=" "/>
    <s v=" "/>
    <s v=" "/>
    <s v=" "/>
    <d v="1900-01-08T21:36:00"/>
    <d v="1900-01-07T19:12:00"/>
    <s v=" "/>
    <s v=" "/>
    <s v=" "/>
    <s v=" "/>
    <s v=" "/>
    <s v=" "/>
    <s v="Ativo"/>
    <s v="CONSULTOR DE VENDAS"/>
    <x v="6"/>
    <s v="LJPNA"/>
  </r>
  <r>
    <n v="122964"/>
    <s v="LEVI RONDINELI RIGAUD DE PINHO"/>
    <s v="Diretoria Seminovos"/>
    <s v="RSNDE - Regional Seminovos Varejo Nordeste"/>
    <s v="LJNGT - Vendas Varejo Seminovos Nova Iguatemi"/>
    <s v="ALEXANDRE VINICIUS NEGREIROS CABRAL"/>
    <s v="NEGATIVO"/>
    <d v="1899-12-31T23:18:00"/>
    <d v="1899-12-31T23:18:00"/>
    <d v="1899-12-30T00:00:00"/>
    <s v=" "/>
    <s v=" "/>
    <s v=" "/>
    <s v=" "/>
    <s v=" "/>
    <s v=" "/>
    <s v=" "/>
    <s v=" "/>
    <s v=" "/>
    <d v="1899-12-31T00:28:00"/>
    <d v="1899-12-30T13:31:00"/>
    <d v="1899-12-30T11:51:00"/>
    <s v="Ativo"/>
    <s v="CONSULTOR DE VENDAS"/>
    <x v="6"/>
    <s v="LJNGT"/>
  </r>
  <r>
    <n v="131488"/>
    <s v="LUANDSON DA SILVA NUNES"/>
    <s v="Diretoria Seminovos"/>
    <s v="RSNDE - Regional Seminovos Varejo Nordeste"/>
    <s v="LJCAU - Vendas Varejo Seminovos Caruaru"/>
    <s v="FLAVIO FRANCISCO DE OLIVEIRA"/>
    <s v="NEGATIVO"/>
    <d v="1899-12-31T02:17:00"/>
    <d v="1899-12-31T02:17:00"/>
    <d v="1899-12-30T00:00:00"/>
    <s v=" "/>
    <s v=" "/>
    <s v=" "/>
    <s v=" "/>
    <s v=" "/>
    <s v=" "/>
    <s v=" "/>
    <s v=" "/>
    <d v="1899-12-30T11:05:00"/>
    <d v="1899-12-30T15:12:00"/>
    <s v=" "/>
    <s v=" "/>
    <s v="Contrato de Trabalho Suspenso"/>
    <s v="CONSULTOR DE VENDAS"/>
    <x v="6"/>
    <s v="LJCAU"/>
  </r>
  <r>
    <n v="503496"/>
    <s v="LUCIANO DE OLIVEIRA MELO FILHO"/>
    <s v="Diretoria Seminovos"/>
    <s v="RSNDE - Regional Seminovos Varejo Nordeste"/>
    <s v="LJMCZ - Vendas Varejo Seminovos Maceió"/>
    <s v="JOYCE LARISE CORREIA GOMES"/>
    <s v="NEGATIVO"/>
    <d v="1899-12-30T09:00:00"/>
    <d v="1899-12-30T09:00:00"/>
    <d v="1899-12-30T00:00:00"/>
    <s v=" "/>
    <s v=" "/>
    <s v=" "/>
    <s v=" "/>
    <s v=" "/>
    <s v=" "/>
    <s v=" "/>
    <d v="1899-12-30T09:00:00"/>
    <s v=" "/>
    <s v=" "/>
    <s v=" "/>
    <s v=" "/>
    <s v="Ativo"/>
    <s v="CONSULTOR DE VENDAS"/>
    <x v="6"/>
    <s v="LJMCZ"/>
  </r>
  <r>
    <n v="131091"/>
    <s v="MANOEL GOMES JUNIOR"/>
    <s v="Diretoria Seminovos"/>
    <s v="RSNDE - Regional Seminovos Varejo Nordeste"/>
    <s v="LJCGE - Vendas Varejo Seminovos Campina Grande"/>
    <s v="LEANDRO LEITE DUARTE"/>
    <s v="NEGATIVO"/>
    <d v="1899-12-30T02:56:00"/>
    <d v="1899-12-30T02:56:00"/>
    <d v="1899-12-30T00:00:00"/>
    <s v=" "/>
    <s v=" "/>
    <s v=" "/>
    <s v=" "/>
    <s v=" "/>
    <s v=" "/>
    <s v=" "/>
    <s v=" "/>
    <d v="1899-12-30T02:56:00"/>
    <s v=" "/>
    <s v=" "/>
    <s v=" "/>
    <s v="Ativo"/>
    <s v="CONSULTOR DE VENDAS"/>
    <x v="6"/>
    <s v="LJCGE"/>
  </r>
  <r>
    <n v="132288"/>
    <s v="MARCO ANTONIO SANTOS SOUZA"/>
    <s v="Diretoria Seminovos"/>
    <s v="RSNDE - Regional Seminovos Varejo Nordeste"/>
    <s v="LJAJU - Vendas Varejo Seminovos Aracajú"/>
    <s v="TIAGO ANDRADE ALCANTARA"/>
    <s v="NEGATIVO"/>
    <d v="1899-12-30T05:10:00"/>
    <d v="1899-12-30T05:10:00"/>
    <d v="1899-12-30T00:00:00"/>
    <s v=" "/>
    <s v=" "/>
    <s v=" "/>
    <s v=" "/>
    <s v=" "/>
    <s v=" "/>
    <d v="1899-12-30T04:39:00"/>
    <s v=" "/>
    <s v=" "/>
    <s v=" "/>
    <s v=" "/>
    <s v=" "/>
    <s v="Ativo"/>
    <s v="CONSULTOR DE VENDAS"/>
    <x v="6"/>
    <s v="LJAJU"/>
  </r>
  <r>
    <n v="134735"/>
    <s v="PAULO HENRIQUE DA ROCHA CAVALCANTI"/>
    <s v="Diretoria Seminovos"/>
    <s v="RSNDE - Regional Seminovos Varejo Nordeste"/>
    <s v="LJCAX - Vendas Varejo Seminovos Caxanga"/>
    <s v="RAFAEL CAMPOS MARANHAO"/>
    <s v="NEGATIVO"/>
    <d v="1899-12-30T15:08:00"/>
    <d v="1899-12-30T15:08:00"/>
    <d v="1899-12-30T00:00:00"/>
    <s v=" "/>
    <s v=" "/>
    <s v=" "/>
    <s v=" "/>
    <s v=" "/>
    <d v="1899-12-30T15:08:00"/>
    <s v=" "/>
    <s v=" "/>
    <s v=" "/>
    <s v=" "/>
    <s v=" "/>
    <s v=" "/>
    <s v="Contrato de Trabalho Suspenso"/>
    <s v="CONSULTOR DE VENDAS"/>
    <x v="6"/>
    <s v="LJCAX"/>
  </r>
  <r>
    <n v="135960"/>
    <s v="PEDRO FRANCISCO DA SILVA"/>
    <s v="Diretoria Seminovos"/>
    <s v="RSNDE - Regional Seminovos Varejo Nordeste"/>
    <s v="LJCAU - Vendas Varejo Seminovos Caruaru"/>
    <s v="FLAVIO FRANCISCO DE OLIVEIRA"/>
    <s v="NEGATIVO"/>
    <d v="1899-12-30T07:12:00"/>
    <d v="1899-12-30T07:12:00"/>
    <d v="1899-12-30T00:00:00"/>
    <s v=" "/>
    <s v=" "/>
    <s v=" "/>
    <s v=" "/>
    <d v="1899-12-30T07:12:00"/>
    <s v=" "/>
    <s v=" "/>
    <s v=" "/>
    <s v=" "/>
    <s v=" "/>
    <s v=" "/>
    <s v=" "/>
    <s v="Ativo"/>
    <s v="CONSULTOR DE VENDAS"/>
    <x v="6"/>
    <s v="LJCAU"/>
  </r>
  <r>
    <n v="135257"/>
    <s v="POLLYANNA MARIA DE ALMEIDA PERNAMBUCO"/>
    <s v="Diretoria Seminovos"/>
    <s v="RSNDE - Regional Seminovos Varejo Nordeste"/>
    <s v="LJJBT - Vendas Varejo Seminovos Jaboatão dos Guararapes"/>
    <s v="MARIO ROBERTO DE OLIVEIRA JUNIOR"/>
    <s v="NEGATIVO"/>
    <d v="1899-12-30T06:22:00"/>
    <d v="1899-12-30T06:22:00"/>
    <d v="1899-12-30T00:00:00"/>
    <s v=" "/>
    <s v=" "/>
    <d v="1899-12-30T02:31:00"/>
    <d v="1899-12-30T03:51:00"/>
    <s v=" "/>
    <s v=" "/>
    <s v=" "/>
    <s v=" "/>
    <s v=" "/>
    <s v=" "/>
    <s v=" "/>
    <s v=" "/>
    <s v="Ativo"/>
    <s v="CONSULTOR DE VENDAS"/>
    <x v="6"/>
    <s v="LJJBT"/>
  </r>
  <r>
    <n v="135308"/>
    <s v="RENATO GOMES DA SILVA"/>
    <s v="Diretoria Seminovos"/>
    <s v="RSNDE - Regional Seminovos Varejo Nordeste"/>
    <s v="LJVDC - Vendas Varejo Seminovos Vitoria da Conquista"/>
    <s v="FRANCISCO MORAIS ROCHA"/>
    <s v="NEGATIVO"/>
    <d v="1899-12-30T00:42:00"/>
    <d v="1899-12-30T00:42:00"/>
    <d v="1899-12-30T00:00:00"/>
    <s v=" "/>
    <s v=" "/>
    <s v=" "/>
    <s v=" "/>
    <s v=" "/>
    <s v=" "/>
    <s v=" "/>
    <s v=" "/>
    <s v=" "/>
    <s v=" "/>
    <d v="1899-12-30T00:42:00"/>
    <s v=" "/>
    <s v="Ativo"/>
    <s v="CONSULTOR DE VENDAS"/>
    <x v="6"/>
    <s v="LJVDC"/>
  </r>
  <r>
    <n v="132405"/>
    <s v="RICHARD ANDERSON BARBOSA DE ARAUJO"/>
    <s v="Diretoria Seminovos"/>
    <s v="RSNDE - Regional Seminovos Varejo Nordeste"/>
    <s v="LJREC - Vendas Varejo Seminovos Recife"/>
    <s v="MARCIA REGINA MARIA FRAGA DE VASCONCELOS"/>
    <s v="NEGATIVO"/>
    <d v="1900-01-02T10:54:00"/>
    <d v="1900-01-02T10:54:00"/>
    <d v="1899-12-30T00:00:00"/>
    <s v=" "/>
    <s v=" "/>
    <s v=" "/>
    <s v=" "/>
    <s v=" "/>
    <s v=" "/>
    <s v=" "/>
    <s v=" "/>
    <d v="1899-12-30T04:40:00"/>
    <s v=" "/>
    <s v=" "/>
    <d v="1899-12-30T19:47:00"/>
    <s v="Ativo"/>
    <s v="CONSULTOR DE VENDAS"/>
    <x v="6"/>
    <s v="LJREC"/>
  </r>
  <r>
    <n v="503075"/>
    <s v="SAMUEL SAMPAIO BONFIM"/>
    <s v="Diretoria Seminovos"/>
    <s v="RSNDE - Regional Seminovos Varejo Nordeste"/>
    <s v="LJNGT - Vendas Varejo Seminovos Nova Iguatemi"/>
    <s v="ALEXANDRE VINICIUS NEGREIROS CABRAL"/>
    <s v="NEGATIVO"/>
    <d v="1899-12-30T03:47:00"/>
    <d v="1899-12-30T03:47:00"/>
    <d v="1899-12-30T00:00:00"/>
    <s v=" "/>
    <s v=" "/>
    <s v=" "/>
    <s v=" "/>
    <s v=" "/>
    <s v=" "/>
    <s v=" "/>
    <s v=" "/>
    <s v=" "/>
    <s v=" "/>
    <s v=" "/>
    <d v="1899-12-30T00:44:00"/>
    <s v="Ativo"/>
    <s v="CONSULTOR DE VENDAS"/>
    <x v="6"/>
    <s v="LJNGT"/>
  </r>
  <r>
    <n v="503000"/>
    <s v="SANDRA MARIA DOS SANTOS"/>
    <s v="Diretoria Seminovos"/>
    <s v="RSNDE - Regional Seminovos Varejo Nordeste"/>
    <s v="LJAJU - Vendas Varejo Seminovos Aracajú"/>
    <s v="TIAGO ANDRADE ALCANTARA"/>
    <s v="NEGATIVO"/>
    <d v="1899-12-30T05:52:00"/>
    <d v="1899-12-30T05:52:00"/>
    <d v="1899-12-30T00:00:00"/>
    <s v=" "/>
    <s v=" "/>
    <s v=" "/>
    <s v=" "/>
    <d v="1899-12-30T05:52:00"/>
    <s v=" "/>
    <s v=" "/>
    <s v=" "/>
    <s v=" "/>
    <s v=" "/>
    <s v=" "/>
    <s v=" "/>
    <s v="Contrato de Trabalho Suspenso"/>
    <s v="CONSULTOR DE VENDAS"/>
    <x v="6"/>
    <s v="LJAJU"/>
  </r>
  <r>
    <n v="503184"/>
    <s v="TIAGO OLIVEIRA BARROS"/>
    <s v="Diretoria Seminovos"/>
    <s v="RSNDE - Regional Seminovos Varejo Nordeste"/>
    <s v="LJAJU - Vendas Varejo Seminovos Aracajú"/>
    <s v="TIAGO ANDRADE ALCANTARA"/>
    <s v="NEGATIVO"/>
    <d v="1899-12-30T04:04:00"/>
    <d v="1899-12-30T04:04:00"/>
    <d v="1899-12-30T00:00:00"/>
    <s v=" "/>
    <s v=" "/>
    <s v=" "/>
    <s v=" "/>
    <d v="1899-12-30T13:07:00"/>
    <s v=" "/>
    <d v="1899-12-30T03:57:00"/>
    <s v=" "/>
    <s v=" "/>
    <s v=" "/>
    <s v=" "/>
    <s v=" "/>
    <s v="Ativo"/>
    <s v="CONSULTOR DE VENDAS"/>
    <x v="6"/>
    <s v="LJAJU"/>
  </r>
  <r>
    <n v="501397"/>
    <s v="ADRIANO GONCALVES DE OLIVEIRA"/>
    <s v="Diretoria Seminovos"/>
    <s v="RSNOR - Regional Seminovos Varejo Norte"/>
    <s v="LJBEL - Loja Seminovos Belém"/>
    <s v="REINALDO GERSON FERREIRA DA SILVA"/>
    <s v="NEGATIVO"/>
    <d v="1900-01-08T09:18:00"/>
    <d v="1900-01-08T09:18:00"/>
    <d v="1899-12-30T00:00:00"/>
    <s v=" "/>
    <s v=" "/>
    <s v=" "/>
    <s v=" "/>
    <d v="1900-01-07T18:43:00"/>
    <d v="1899-12-30T12:18:00"/>
    <d v="1899-12-30T02:24:00"/>
    <s v=" "/>
    <s v=" "/>
    <s v=" "/>
    <s v=" "/>
    <s v=" "/>
    <s v="Ativo"/>
    <s v="HIGIENIZADOR DE CARROS"/>
    <x v="7"/>
    <s v="LJBEL"/>
  </r>
  <r>
    <n v="125275"/>
    <s v="CEDILENE CORREIA FREITAS"/>
    <s v="Diretoria Seminovos"/>
    <s v="RSNOR - Regional Seminovos Varejo Norte"/>
    <s v="LJIMP - Loja Seminovos Imperatriz"/>
    <s v="SIDNEY CLEY CUNHA DURAND PINTO"/>
    <s v="NEGATIVO"/>
    <d v="1900-01-06T22:45:00"/>
    <d v="1900-01-06T22:45:00"/>
    <d v="1899-12-30T00:00:00"/>
    <s v=" "/>
    <s v=" "/>
    <s v=" "/>
    <s v=" "/>
    <s v=" "/>
    <s v=" "/>
    <s v=" "/>
    <d v="1900-01-01T02:53:00"/>
    <d v="1899-12-31T04:00:00"/>
    <s v=" "/>
    <d v="1900-01-01T15:23:00"/>
    <d v="1899-12-31T07:19:00"/>
    <s v="Ativo"/>
    <s v="AUX. DE SERVICOS GERAIS - DIRCS"/>
    <x v="7"/>
    <s v="LJIMP"/>
  </r>
  <r>
    <n v="130063"/>
    <s v="CLAUDIO SANTOS DA COSTA"/>
    <s v="Diretoria Seminovos"/>
    <s v="RSNOR - Regional Seminovos Varejo Norte"/>
    <s v="LJSLS - Loja Seminovos São Luis"/>
    <s v="MARIO JORGE MENDONCA MIRANDA"/>
    <s v="NEGATIVO"/>
    <d v="1900-01-04T17:37:00"/>
    <d v="1900-01-04T17:37:00"/>
    <d v="1899-12-30T00:00:00"/>
    <s v=" "/>
    <s v=" "/>
    <s v=" "/>
    <s v=" "/>
    <s v=" "/>
    <s v=" "/>
    <s v=" "/>
    <s v=" "/>
    <s v=" "/>
    <d v="1900-01-04T17:37:00"/>
    <s v=" "/>
    <s v=" "/>
    <s v="Ativo"/>
    <s v="HIGIENIZADOR DE CARROS"/>
    <x v="7"/>
    <s v="LJSLS"/>
  </r>
  <r>
    <n v="136399"/>
    <s v="DENIS DE ALMEIDA COELHO"/>
    <s v="Diretoria Seminovos"/>
    <s v="RSNOR - Regional Seminovos Varejo Norte"/>
    <s v="SNLOG/FZA - Gerência de Logística"/>
    <s v="BERNARDO DIAS GOMIDE"/>
    <s v="NEGATIVO"/>
    <d v="1900-01-20T09:49:00"/>
    <d v="1900-01-20T09:49:00"/>
    <d v="1899-12-30T00:00:00"/>
    <s v=" "/>
    <d v="1900-01-03T04:13:00"/>
    <d v="1900-01-05T23:12:00"/>
    <d v="1900-01-05T14:24:00"/>
    <d v="1899-12-31T15:36:00"/>
    <d v="1900-01-01T00:24:00"/>
    <s v=" "/>
    <s v=" "/>
    <s v=" "/>
    <s v=" "/>
    <s v=" "/>
    <s v=" "/>
    <s v="Ativo"/>
    <s v="AUX. MOVIMENTACAO DE FROTA"/>
    <x v="7"/>
    <s v="SNLOG"/>
  </r>
  <r>
    <n v="123543"/>
    <s v="ELTON DE CASTRO LIMA"/>
    <s v="Diretoria Seminovos"/>
    <s v="RSNOR - Regional Seminovos Varejo Norte"/>
    <s v="LJSJB - Loja Seminovos Fortaleza São Jose Bastos"/>
    <s v="RAFAEL CARNEIRO DE MORAES"/>
    <s v="NEGATIVO"/>
    <d v="1900-01-04T16:00:00"/>
    <d v="1900-01-04T16:00:00"/>
    <d v="1899-12-30T00:00:00"/>
    <s v=" "/>
    <s v=" "/>
    <s v=" "/>
    <s v=" "/>
    <d v="1900-01-04T16:00:00"/>
    <s v=" "/>
    <s v=" "/>
    <s v=" "/>
    <s v=" "/>
    <s v=" "/>
    <s v=" "/>
    <s v=" "/>
    <s v="Contrato de Trabalho Suspenso"/>
    <s v="HIGIENIZADOR DE CARROS"/>
    <x v="7"/>
    <s v="LJSJB"/>
  </r>
  <r>
    <n v="132152"/>
    <s v="EMANUELLE FERREIRA SILVA"/>
    <s v="Diretoria Seminovos"/>
    <s v="RSNOR - Regional Seminovos Varejo Norte"/>
    <s v="LJBEL - Loja Seminovos Belém"/>
    <s v="REINALDO GERSON FERREIRA DA SILVA"/>
    <s v="NEGATIVO"/>
    <d v="1900-01-06T07:16:00"/>
    <d v="1900-01-06T07:16:00"/>
    <d v="1899-12-30T00:00:00"/>
    <d v="1899-12-31T17:36:00"/>
    <d v="1899-12-30T05:28:00"/>
    <d v="1900-01-01T14:30:00"/>
    <d v="1899-12-31T20:00:00"/>
    <s v=" "/>
    <d v="1899-12-30T19:25:00"/>
    <d v="1899-12-30T02:16:00"/>
    <s v=" "/>
    <s v=" "/>
    <s v=" "/>
    <s v=" "/>
    <s v=" "/>
    <s v="Ativo"/>
    <s v="ADMINISTRATIVO I - FILIAL"/>
    <x v="7"/>
    <s v="LJBEL"/>
  </r>
  <r>
    <n v="130961"/>
    <s v="ERICA MARIA DE JESUS JARDIM"/>
    <s v="Diretoria Seminovos"/>
    <s v="RSNOR - Regional Seminovos Varejo Norte"/>
    <s v="LJMAB - Loja Seminovos Marabá"/>
    <s v="JORGE LUIS GONCALVES DE ARAUJO"/>
    <s v="NEGATIVO"/>
    <d v="1900-01-06T15:41:00"/>
    <d v="1900-01-06T15:41:00"/>
    <d v="1899-12-30T00:00:00"/>
    <s v=" "/>
    <s v=" "/>
    <d v="1899-12-31T11:09:00"/>
    <d v="1899-12-31T16:00:00"/>
    <s v=" "/>
    <d v="1900-01-01T07:14:00"/>
    <d v="1899-12-31T11:30:00"/>
    <s v=" "/>
    <s v=" "/>
    <s v=" "/>
    <s v=" "/>
    <s v=" "/>
    <s v="Ativo"/>
    <s v="AUX. DE SERVICOS GERAIS - DIRCS"/>
    <x v="7"/>
    <s v="LJMAB"/>
  </r>
  <r>
    <n v="121149"/>
    <s v="JORGE LUIZ BRAGA DE ABREU"/>
    <s v="Diretoria Seminovos"/>
    <s v="RSNOR - Regional Seminovos Varejo Norte"/>
    <s v="LJFTZ - Loja Seminovos Fortaleza Santos Dumont"/>
    <s v="THYAGO GUILHERME DE OLIVEIRA"/>
    <s v="NEGATIVO"/>
    <d v="1900-01-10T16:00:00"/>
    <d v="1900-01-10T16:00:00"/>
    <d v="1899-12-30T00:00:00"/>
    <s v=" "/>
    <s v=" "/>
    <s v=" "/>
    <s v=" "/>
    <d v="1900-01-06T16:00:00"/>
    <d v="1900-01-03T00:00:00"/>
    <s v=" "/>
    <s v=" "/>
    <s v=" "/>
    <s v=" "/>
    <s v=" "/>
    <s v=" "/>
    <s v="Ativo"/>
    <s v="HIGIENIZADOR DE CARROS"/>
    <x v="7"/>
    <s v="LJFTZ"/>
  </r>
  <r>
    <n v="502882"/>
    <s v="JOSE JACINTO RIBEIRO"/>
    <s v="Diretoria Seminovos"/>
    <s v="RSNOR - Regional Seminovos Varejo Norte"/>
    <s v="LJFZA - Loja Seminovos Fortaleza"/>
    <s v="HUGO ROHSNER BEZERRA"/>
    <s v="NEGATIVO"/>
    <d v="1900-01-08T01:59:00"/>
    <d v="1900-01-08T01:59:00"/>
    <d v="1899-12-30T00:00:00"/>
    <s v=" "/>
    <s v=" "/>
    <s v=" "/>
    <s v=" "/>
    <d v="1900-01-07T07:16:00"/>
    <d v="1899-12-30T18:30:00"/>
    <d v="1899-12-30T00:14:00"/>
    <s v=" "/>
    <s v=" "/>
    <s v=" "/>
    <s v=" "/>
    <s v=" "/>
    <s v="Ativo"/>
    <s v="HIGIENIZADOR DE CARROS"/>
    <x v="7"/>
    <s v="LJFZA"/>
  </r>
  <r>
    <n v="136981"/>
    <s v="LEIDSON GONCALVES DA COSTA"/>
    <s v="Diretoria Seminovos"/>
    <s v="RSNOR - Regional Seminovos Varejo Norte"/>
    <s v="LJPVH - Loja Seminovos Porto Velho"/>
    <s v="SHELLY DE OLIVEIRA SOUZA"/>
    <s v="NEGATIVO"/>
    <d v="1900-01-04T12:00:00"/>
    <d v="1900-01-04T12:00:00"/>
    <d v="1899-12-30T00:00:00"/>
    <s v=" "/>
    <s v=" "/>
    <s v=" "/>
    <s v=" "/>
    <d v="1900-01-04T12:00:00"/>
    <s v=" "/>
    <s v=" "/>
    <s v=" "/>
    <s v=" "/>
    <s v=" "/>
    <s v=" "/>
    <s v=" "/>
    <s v="Ativo"/>
    <s v="HIGIENIZADOR DE CARROS"/>
    <x v="7"/>
    <s v="LJPVH"/>
  </r>
  <r>
    <n v="123504"/>
    <s v="LEONARDO DO CARMO COSTA"/>
    <s v="Diretoria Seminovos"/>
    <s v="RSNOR - Regional Seminovos Varejo Norte"/>
    <s v="LJSLM - Loja Seminovos Senador Lemos Belém"/>
    <s v="EDINELSON VALENTE BARREIROS"/>
    <s v="NEGATIVO"/>
    <d v="1900-01-16T08:00:00"/>
    <d v="1900-01-16T08:00:00"/>
    <d v="1899-12-30T00:00:00"/>
    <s v=" "/>
    <s v=" "/>
    <s v=" "/>
    <s v=" "/>
    <d v="1900-01-08T00:00:00"/>
    <d v="1900-01-07T08:00:00"/>
    <s v=" "/>
    <s v=" "/>
    <s v=" "/>
    <s v=" "/>
    <s v=" "/>
    <s v=" "/>
    <s v="Ativo"/>
    <s v="HIGIENIZADOR DE CARROS"/>
    <x v="7"/>
    <s v="LJSLM"/>
  </r>
  <r>
    <n v="118702"/>
    <s v="MARCLECIO SILVA DOS ANJOS"/>
    <s v="Diretoria Seminovos"/>
    <s v="RSNOR - Regional Seminovos Varejo Norte"/>
    <s v="LJFTZ - Loja Seminovos Fortaleza Santos Dumont"/>
    <s v="THYAGO GUILHERME DE OLIVEIRA"/>
    <s v="NEGATIVO"/>
    <d v="1900-01-10T00:00:00"/>
    <d v="1900-01-10T00:00:00"/>
    <d v="1899-12-30T00:00:00"/>
    <s v=" "/>
    <s v=" "/>
    <s v=" "/>
    <s v=" "/>
    <d v="1900-01-06T16:00:00"/>
    <d v="1900-01-02T08:00:00"/>
    <s v=" "/>
    <s v=" "/>
    <s v=" "/>
    <s v=" "/>
    <s v=" "/>
    <s v=" "/>
    <s v="Ativo"/>
    <s v="HIGIENIZADOR DE CARROS"/>
    <x v="7"/>
    <s v="LJFTZ"/>
  </r>
  <r>
    <n v="501900"/>
    <s v="MARIA JOSE CASSIMIRO DA SILVA ALVES"/>
    <s v="Diretoria Seminovos"/>
    <s v="RSNOR - Regional Seminovos Varejo Norte"/>
    <s v="LJCAM - Loja Seminovos Capim Macio"/>
    <s v="GILSON GUTEMBERG COSTA DA CRUZ"/>
    <s v="NEGATIVO"/>
    <d v="1900-01-02T07:12:00"/>
    <d v="1900-01-02T07:12:00"/>
    <d v="1899-12-30T00:00:00"/>
    <s v=" "/>
    <s v=" "/>
    <s v=" "/>
    <s v=" "/>
    <s v=" "/>
    <s v=" "/>
    <s v=" "/>
    <s v=" "/>
    <s v=" "/>
    <d v="1899-12-31T15:36:00"/>
    <d v="1899-12-31T15:36:00"/>
    <s v=" "/>
    <s v="Ativo"/>
    <s v="AUX. DE SERVICOS GERAIS - DIRCS"/>
    <x v="7"/>
    <s v="LJCAM"/>
  </r>
  <r>
    <n v="137162"/>
    <s v="MARIVAN FELIPE DE MENDONCA"/>
    <s v="Diretoria Seminovos"/>
    <s v="RSNOR - Regional Seminovos Varejo Norte"/>
    <s v="LJMSO - Loja Seminovos Mossoró"/>
    <s v="DANILO ALVES DO NASCIMENTO"/>
    <s v="NEGATIVO"/>
    <d v="1900-01-01T22:24:00"/>
    <d v="1900-01-01T22:24:00"/>
    <d v="1899-12-30T00:00:00"/>
    <s v=" "/>
    <s v=" "/>
    <s v=" "/>
    <s v=" "/>
    <s v=" "/>
    <s v=" "/>
    <s v=" "/>
    <s v=" "/>
    <s v=" "/>
    <s v=" "/>
    <d v="1900-01-01T22:24:00"/>
    <s v=" "/>
    <s v="Ativo"/>
    <s v="HIGIENIZADOR DE CARROS"/>
    <x v="7"/>
    <s v="LJMSO"/>
  </r>
  <r>
    <n v="503327"/>
    <s v="PAULO HENRIQUE CANDIDO DA COSTA"/>
    <s v="Diretoria Seminovos"/>
    <s v="RSNOR - Regional Seminovos Varejo Norte"/>
    <s v="LJFZA - Loja Seminovos Fortaleza"/>
    <s v="HUGO ROHSNER BEZERRA"/>
    <s v="NEGATIVO"/>
    <d v="1900-01-01T14:24:00"/>
    <d v="1900-01-01T14:24:00"/>
    <d v="1899-12-30T00:00:00"/>
    <s v=" "/>
    <s v=" "/>
    <d v="1899-12-31T02:59:00"/>
    <d v="1899-12-31T20:00:00"/>
    <s v=" "/>
    <s v=" "/>
    <s v=" "/>
    <s v=" "/>
    <s v=" "/>
    <s v=" "/>
    <s v=" "/>
    <s v=" "/>
    <s v="Ativo"/>
    <s v="ADMINISTRATIVO I - FILIAL"/>
    <x v="7"/>
    <s v="LJFZA"/>
  </r>
  <r>
    <n v="502364"/>
    <s v="RAYLSON SILVA ARAUJO"/>
    <s v="Diretoria Seminovos"/>
    <s v="RSNOR - Regional Seminovos Varejo Norte"/>
    <s v="LJTER - Loja Seminovos Teresina"/>
    <s v="EDUARDO LUCAS DOS SANTOS"/>
    <s v="NEGATIVO"/>
    <d v="1900-01-10T08:00:00"/>
    <d v="1900-01-10T08:00:00"/>
    <d v="1899-12-30T00:00:00"/>
    <s v=" "/>
    <s v=" "/>
    <s v=" "/>
    <s v=" "/>
    <d v="1900-01-02T00:00:00"/>
    <d v="1900-01-07T08:00:00"/>
    <s v=" "/>
    <s v=" "/>
    <s v=" "/>
    <s v=" "/>
    <s v=" "/>
    <s v=" "/>
    <s v="Contrato de Trabalho Suspenso"/>
    <s v="HIGIENIZADOR DE CARROS"/>
    <x v="7"/>
    <s v="LJTER"/>
  </r>
  <r>
    <n v="130145"/>
    <s v="RODOLFO RODRIGO CESARIO NASCIMENTO"/>
    <s v="Diretoria Seminovos"/>
    <s v="RSNOR - Regional Seminovos Varejo Norte"/>
    <s v="LJFZA - Loja Seminovos Fortaleza"/>
    <s v="HUGO ROHSNER BEZERRA"/>
    <s v="NEGATIVO"/>
    <d v="1900-01-09T02:33:00"/>
    <d v="1900-01-09T02:33:00"/>
    <d v="1899-12-30T00:00:00"/>
    <s v=" "/>
    <s v=" "/>
    <s v=" "/>
    <s v=" "/>
    <d v="1900-01-07T12:11:00"/>
    <d v="1899-12-31T14:03:00"/>
    <d v="1899-12-30T00:06:00"/>
    <s v=" "/>
    <s v=" "/>
    <s v=" "/>
    <s v=" "/>
    <s v=" "/>
    <s v="Ativo"/>
    <s v="HIGIENIZADOR DE CARROS"/>
    <x v="7"/>
    <s v="LJFZA"/>
  </r>
  <r>
    <n v="119230"/>
    <s v="ROGERIO LUIS OLIVEIRA SOUSA"/>
    <s v="Diretoria Seminovos"/>
    <s v="RSNOR - Regional Seminovos Varejo Norte"/>
    <s v="LJSLS - Loja Seminovos São Luis"/>
    <s v="MARIO JORGE MENDONCA MIRANDA"/>
    <s v="NEGATIVO"/>
    <d v="1900-01-08T21:30:00"/>
    <d v="1900-01-08T21:30:00"/>
    <d v="1899-12-30T00:00:00"/>
    <s v=" "/>
    <s v=" "/>
    <s v=" "/>
    <s v=" "/>
    <s v=" "/>
    <s v=" "/>
    <s v=" "/>
    <d v="1900-01-02T20:55:00"/>
    <s v=" "/>
    <d v="1900-01-05T00:25:00"/>
    <d v="1899-12-30T00:10:00"/>
    <s v=" "/>
    <s v="Ativo"/>
    <s v="HIGIENIZADOR DE CARROS"/>
    <x v="7"/>
    <s v="LJSLS"/>
  </r>
  <r>
    <n v="117977"/>
    <s v="SEBASTIAO SALVIANO DE SOUZA JUNIOR"/>
    <s v="Diretoria Seminovos"/>
    <s v="RSNOR - Regional Seminovos Varejo Norte"/>
    <s v="LJTER - Loja Seminovos Teresina"/>
    <s v="EDUARDO LUCAS DOS SANTOS"/>
    <s v="NEGATIVO"/>
    <d v="1900-01-11T08:00:00"/>
    <d v="1900-01-11T08:00:00"/>
    <d v="1899-12-30T00:00:00"/>
    <s v=" "/>
    <s v=" "/>
    <s v=" "/>
    <s v=" "/>
    <d v="1900-01-03T00:00:00"/>
    <d v="1900-01-07T08:00:00"/>
    <s v=" "/>
    <s v=" "/>
    <s v=" "/>
    <s v=" "/>
    <s v=" "/>
    <s v=" "/>
    <s v="Ativo"/>
    <s v="HIGIENIZADOR DE CARROS"/>
    <x v="7"/>
    <s v="LJTER"/>
  </r>
  <r>
    <n v="134952"/>
    <s v="SONIA REGINA FERREIRA DE ARAUJO"/>
    <s v="Diretoria Seminovos"/>
    <s v="RSNOR - Regional Seminovos Varejo Norte"/>
    <s v="LJMSO - Loja Seminovos Mossoró"/>
    <s v="DANILO ALVES DO NASCIMENTO"/>
    <s v="NEGATIVO"/>
    <d v="1900-01-11T08:08:00"/>
    <d v="1900-01-11T08:08:00"/>
    <d v="1899-12-30T00:00:00"/>
    <d v="1899-12-30T13:21:00"/>
    <d v="1899-12-30T03:39:00"/>
    <d v="1899-12-30T01:17:00"/>
    <d v="1900-01-05T19:29:00"/>
    <d v="1899-12-30T21:17:00"/>
    <d v="1900-01-02T21:05:00"/>
    <s v=" "/>
    <s v=" "/>
    <s v=" "/>
    <s v=" "/>
    <s v=" "/>
    <s v=" "/>
    <s v="Ativo"/>
    <s v="AUX. DE SERVICOS GERAIS - DIRCS"/>
    <x v="7"/>
    <s v="LJMSO"/>
  </r>
  <r>
    <n v="136530"/>
    <s v="VICTOR SOUZA SANTOS"/>
    <s v="Diretoria Seminovos"/>
    <s v="RSNOR - Regional Seminovos Varejo Norte"/>
    <s v="LJMNS - Loja Seminovos Manaus"/>
    <s v="PEDRO GOMES COSTA MOTA"/>
    <s v="NEGATIVO"/>
    <d v="1900-01-04T06:50:00"/>
    <d v="1900-01-04T06:50:00"/>
    <d v="1899-12-30T00:00:00"/>
    <s v=" "/>
    <s v=" "/>
    <s v=" "/>
    <s v=" "/>
    <d v="1900-01-03T00:09:00"/>
    <d v="1899-12-30T19:21:00"/>
    <d v="1899-12-30T11:04:00"/>
    <s v=" "/>
    <s v=" "/>
    <s v=" "/>
    <s v=" "/>
    <s v=" "/>
    <s v="Ativo"/>
    <s v="HIGIENIZADOR DE CARROS"/>
    <x v="7"/>
    <s v="LJMNS"/>
  </r>
  <r>
    <n v="135727"/>
    <s v="WELLINGTON EDIVALDO DA SILVA"/>
    <s v="Diretoria Seminovos"/>
    <s v="RSNOR - Regional Seminovos Varejo Norte"/>
    <s v="LJNAN - Loja Seminovos Natal"/>
    <s v="AIVERTON FERREIRA DE ARAUJO TORRES"/>
    <s v="NEGATIVO"/>
    <d v="1899-12-30T16:00:00"/>
    <d v="1899-12-30T16:00:00"/>
    <d v="1899-12-30T00:00:00"/>
    <s v=" "/>
    <s v=" "/>
    <s v=" "/>
    <s v=" "/>
    <s v=" "/>
    <d v="1899-12-30T16:00:00"/>
    <s v=" "/>
    <s v=" "/>
    <s v=" "/>
    <s v=" "/>
    <s v=" "/>
    <s v=" "/>
    <s v="Ativo"/>
    <s v="HIGIENIZADOR DE CARROS"/>
    <x v="7"/>
    <s v="LJNAN"/>
  </r>
  <r>
    <n v="134799"/>
    <s v="ALIMONDE JOSE FERNANDES DE SOUSA"/>
    <s v="Diretoria Seminovos"/>
    <s v="RSNOR - Regional Seminovos Varejo Norte"/>
    <s v="LJMSO - Vendas Varejo Seminovos Mossoró"/>
    <s v="DANILO ALVES DO NASCIMENTO"/>
    <s v="NEGATIVO"/>
    <d v="1900-01-06T12:45:00"/>
    <d v="1900-01-06T12:45:00"/>
    <d v="1899-12-30T00:00:00"/>
    <d v="1899-12-30T01:06:00"/>
    <d v="1899-12-30T13:00:00"/>
    <d v="1899-12-30T01:03:00"/>
    <s v=" "/>
    <s v=" "/>
    <d v="1900-01-05T21:36:00"/>
    <s v=" "/>
    <s v=" "/>
    <s v=" "/>
    <s v=" "/>
    <s v=" "/>
    <s v=" "/>
    <s v="Ativo"/>
    <s v="CONSULTOR DE VENDAS"/>
    <x v="7"/>
    <s v="LJMSO"/>
  </r>
  <r>
    <n v="503223"/>
    <s v="ANDREA DA SILVA CASTRO"/>
    <s v="Diretoria Seminovos"/>
    <s v="RSNOR - Regional Seminovos Varejo Norte"/>
    <s v="LJFZA - Vendas Varejo Seminovos Fortaleza"/>
    <s v="HUGO ROHSNER BEZERRA"/>
    <s v="NEGATIVO"/>
    <d v="1900-01-06T01:55:00"/>
    <d v="1900-01-06T01:55:00"/>
    <d v="1899-12-30T00:00:00"/>
    <s v=" "/>
    <s v=" "/>
    <s v=" "/>
    <s v=" "/>
    <d v="1900-01-04T09:39:00"/>
    <d v="1900-01-01T02:24:00"/>
    <s v=" "/>
    <s v=" "/>
    <s v=" "/>
    <s v=" "/>
    <s v=" "/>
    <s v=" "/>
    <s v="Ativo"/>
    <s v="CONSULTOR DE VENDAS"/>
    <x v="7"/>
    <s v="LJFZA"/>
  </r>
  <r>
    <n v="135951"/>
    <s v="BRUNO GUSTAVO SILVA DO NASCIMENTO"/>
    <s v="Diretoria Seminovos"/>
    <s v="RSNOR - Regional Seminovos Varejo Norte"/>
    <s v="LJJZN - Vendas Varejo Seminovos Juazeiro do Norte"/>
    <s v="JACKSON SANTOS NETO"/>
    <s v="NEGATIVO"/>
    <d v="1899-12-30T13:05:00"/>
    <d v="1899-12-30T13:05:00"/>
    <d v="1899-12-30T00:00:00"/>
    <s v=" "/>
    <s v=" "/>
    <d v="1899-12-30T13:05:00"/>
    <s v=" "/>
    <s v=" "/>
    <s v=" "/>
    <s v=" "/>
    <s v=" "/>
    <s v=" "/>
    <s v=" "/>
    <s v=" "/>
    <s v=" "/>
    <s v="Ativo"/>
    <s v="CONSULTOR DE VENDAS"/>
    <x v="7"/>
    <s v="LJJZN"/>
  </r>
  <r>
    <n v="130000"/>
    <s v="DAYANE SILVA GOMES"/>
    <s v="Diretoria Seminovos"/>
    <s v="RSNOR - Regional Seminovos Varejo Norte"/>
    <s v="LJFZA - Vendas Varejo Seminovos Fortaleza"/>
    <s v="HUGO ROHSNER BEZERRA"/>
    <s v="NEGATIVO"/>
    <d v="1900-01-02T20:37:00"/>
    <d v="1900-01-02T20:37:00"/>
    <d v="1899-12-30T00:00:00"/>
    <s v=" "/>
    <s v=" "/>
    <s v=" "/>
    <s v=" "/>
    <d v="1900-01-03T14:14:00"/>
    <d v="1899-12-30T02:35:00"/>
    <d v="1899-12-30T00:08:00"/>
    <s v=" "/>
    <s v=" "/>
    <s v=" "/>
    <s v=" "/>
    <s v=" "/>
    <s v="Ativo"/>
    <s v="CONSULTOR DE VENDAS"/>
    <x v="7"/>
    <s v="LJFZA"/>
  </r>
  <r>
    <n v="130001"/>
    <s v="DENISON BRAZ MELO"/>
    <s v="Diretoria Seminovos"/>
    <s v="RSNOR - Regional Seminovos Varejo Norte"/>
    <s v="LJFZA - Vendas Varejo Seminovos Fortaleza"/>
    <s v="HUGO ROHSNER BEZERRA"/>
    <s v="NEGATIVO"/>
    <d v="1900-01-05T10:54:00"/>
    <d v="1900-01-05T10:54:00"/>
    <d v="1899-12-30T00:00:00"/>
    <s v=" "/>
    <s v=" "/>
    <s v=" "/>
    <s v=" "/>
    <d v="1900-01-04T10:20:00"/>
    <d v="1899-12-30T17:38:00"/>
    <d v="1899-12-30T02:55:00"/>
    <s v=" "/>
    <s v=" "/>
    <s v=" "/>
    <s v=" "/>
    <s v=" "/>
    <s v="Ativo"/>
    <s v="CONSULTOR DE VENDAS"/>
    <x v="7"/>
    <s v="LJFZA"/>
  </r>
  <r>
    <n v="123224"/>
    <s v="EDELSON SOBRAL RAMOS"/>
    <s v="Diretoria Seminovos"/>
    <s v="RSNOR - Regional Seminovos Varejo Norte"/>
    <s v="LJTER - Vendas Varejo Seminovos Teresina"/>
    <s v="EDUARDO LUCAS DOS SANTOS"/>
    <s v="NEGATIVO"/>
    <d v="1900-01-08T23:12:00"/>
    <d v="1900-01-08T23:12:00"/>
    <d v="1899-12-30T00:00:00"/>
    <s v=" "/>
    <s v=" "/>
    <s v=" "/>
    <s v=" "/>
    <d v="1900-01-01T11:12:00"/>
    <d v="1900-01-06T12:00:00"/>
    <s v=" "/>
    <s v=" "/>
    <s v=" "/>
    <s v=" "/>
    <s v=" "/>
    <s v=" "/>
    <s v="Contrato de Trabalho Suspenso"/>
    <s v="CONSULTOR DE VENDAS"/>
    <x v="7"/>
    <s v="LJTER"/>
  </r>
  <r>
    <n v="129949"/>
    <s v="FABIANO ALVES DE SOUSA"/>
    <s v="Diretoria Seminovos"/>
    <s v="RSNOR - Regional Seminovos Varejo Norte"/>
    <s v="LJTER - Vendas Varejo Seminovos Teresina"/>
    <s v="EDUARDO LUCAS DOS SANTOS"/>
    <s v="NEGATIVO"/>
    <d v="1900-01-08T04:00:00"/>
    <d v="1900-01-08T04:00:00"/>
    <d v="1899-12-30T00:00:00"/>
    <s v=" "/>
    <s v=" "/>
    <s v=" "/>
    <s v=" "/>
    <s v=" "/>
    <d v="1900-01-08T04:00:00"/>
    <s v=" "/>
    <s v=" "/>
    <s v=" "/>
    <s v=" "/>
    <s v=" "/>
    <s v=" "/>
    <s v="Contrato de Trabalho Suspenso"/>
    <s v="CONSULTOR DE VENDAS"/>
    <x v="7"/>
    <s v="LJTER"/>
  </r>
  <r>
    <n v="131459"/>
    <s v="ISRAEL ARAUJO DE ALCANTARA"/>
    <s v="Diretoria Seminovos"/>
    <s v="RSNOR - Regional Seminovos Varejo Norte"/>
    <s v="LJJZN - Vendas Varejo Seminovos Juazeiro do Norte"/>
    <s v="JACKSON SANTOS NETO"/>
    <s v="NEGATIVO"/>
    <d v="1899-12-31T04:48:00"/>
    <d v="1899-12-31T04:48:00"/>
    <d v="1899-12-30T00:00:00"/>
    <s v=" "/>
    <s v=" "/>
    <s v=" "/>
    <s v=" "/>
    <d v="1899-12-31T04:48:00"/>
    <s v=" "/>
    <s v=" "/>
    <s v=" "/>
    <s v=" "/>
    <s v=" "/>
    <s v=" "/>
    <s v=" "/>
    <s v="Ativo"/>
    <s v="CONSULTOR DE VENDAS"/>
    <x v="7"/>
    <s v="LJJZN"/>
  </r>
  <r>
    <n v="125152"/>
    <s v="ITAMAR DE AQUINO SOUSA"/>
    <s v="Diretoria Seminovos"/>
    <s v="RSNOR - Regional Seminovos Varejo Norte"/>
    <s v="LJIMP - Vendas Varejo Seminovos Imperatriz"/>
    <s v="SIDNEY CLEY CUNHA DURAND PINTO"/>
    <s v="NEGATIVO"/>
    <d v="1899-12-30T00:51:00"/>
    <d v="1899-12-30T00:51:00"/>
    <d v="1899-12-30T00:00:00"/>
    <s v=" "/>
    <s v=" "/>
    <s v=" "/>
    <s v=" "/>
    <s v=" "/>
    <s v=" "/>
    <s v=" "/>
    <s v=" "/>
    <s v=" "/>
    <s v=" "/>
    <s v=" "/>
    <d v="1899-12-30T00:51:00"/>
    <s v="Contrato de Trabalho Suspenso"/>
    <s v="CONSULTOR DE VENDAS"/>
    <x v="7"/>
    <s v="LJIMP"/>
  </r>
  <r>
    <n v="134417"/>
    <s v="JAIRO MARINHO BARBOSA"/>
    <s v="Diretoria Seminovos"/>
    <s v="RSNOR - Regional Seminovos Varejo Norte"/>
    <s v="LJIMP - Vendas Varejo Seminovos Imperatriz"/>
    <s v="SIDNEY CLEY CUNHA DURAND PINTO"/>
    <s v="NEGATIVO"/>
    <d v="1899-12-30T16:33:00"/>
    <d v="1899-12-30T16:33:00"/>
    <d v="1899-12-30T00:00:00"/>
    <s v=" "/>
    <s v=" "/>
    <s v=" "/>
    <s v=" "/>
    <s v=" "/>
    <d v="1899-12-30T12:33:00"/>
    <d v="1899-12-30T10:14:00"/>
    <s v=" "/>
    <s v=" "/>
    <s v=" "/>
    <s v=" "/>
    <s v=" "/>
    <s v="Ativo"/>
    <s v="CONSULTOR DE VENDAS"/>
    <x v="7"/>
    <s v="LJIMP"/>
  </r>
  <r>
    <n v="124548"/>
    <s v="JONATAS LIMA LOURENCO"/>
    <s v="Diretoria Seminovos"/>
    <s v="RSNOR - Regional Seminovos Varejo Norte"/>
    <s v="LJFTZ - Vendas Varejo Seminovos Fortaleza Santos Dumont"/>
    <s v="THYAGO GUILHERME DE OLIVEIRA"/>
    <s v="NEGATIVO"/>
    <d v="1900-01-03T19:12:00"/>
    <d v="1900-01-03T19:12:00"/>
    <d v="1899-12-30T00:00:00"/>
    <s v=" "/>
    <s v=" "/>
    <s v=" "/>
    <s v=" "/>
    <d v="1899-12-31T19:12:00"/>
    <d v="1900-01-02T00:00:00"/>
    <s v=" "/>
    <s v=" "/>
    <s v=" "/>
    <s v=" "/>
    <s v=" "/>
    <s v=" "/>
    <s v="Ativo"/>
    <s v="CONSULTOR DE VENDAS"/>
    <x v="7"/>
    <s v="LJFTZ"/>
  </r>
  <r>
    <n v="134789"/>
    <s v="JORGE AUGUSTO SAMPAIO CUNHA JUNIOR"/>
    <s v="Diretoria Seminovos"/>
    <s v="RSNOR - Regional Seminovos Varejo Norte"/>
    <s v="LJMSO - Vendas Varejo Seminovos Mossoró"/>
    <s v="DANILO ALVES DO NASCIMENTO"/>
    <s v="NEGATIVO"/>
    <d v="1900-01-06T03:34:00"/>
    <d v="1900-01-06T03:34:00"/>
    <d v="1899-12-30T00:00:00"/>
    <s v=" "/>
    <d v="1899-12-30T01:12:00"/>
    <d v="1899-12-30T04:46:00"/>
    <s v=" "/>
    <s v=" "/>
    <d v="1900-01-05T21:36:00"/>
    <s v=" "/>
    <s v=" "/>
    <s v=" "/>
    <s v=" "/>
    <s v=" "/>
    <s v=" "/>
    <s v="Ativo"/>
    <s v="CONSULTOR DE VENDAS"/>
    <x v="7"/>
    <s v="LJMSO"/>
  </r>
  <r>
    <n v="136871"/>
    <s v="KAREN LYANE NASCIMENTO DE CARVALHO"/>
    <s v="Diretoria Seminovos"/>
    <s v="RSNOR - Regional Seminovos Varejo Norte"/>
    <s v="LJPVH - Vendas Varejo Seminovos Porto Velho"/>
    <s v="SHELLY DE OLIVEIRA SOUZA"/>
    <s v="NEGATIVO"/>
    <d v="1900-01-04T12:00:00"/>
    <d v="1900-01-04T12:00:00"/>
    <d v="1899-12-30T00:00:00"/>
    <s v=" "/>
    <s v=" "/>
    <s v=" "/>
    <s v=" "/>
    <d v="1900-01-04T12:00:00"/>
    <s v=" "/>
    <s v=" "/>
    <s v=" "/>
    <s v=" "/>
    <s v=" "/>
    <s v=" "/>
    <s v=" "/>
    <s v="Ativo"/>
    <s v="CONSULTOR DE VENDAS"/>
    <x v="7"/>
    <s v="LJPVH"/>
  </r>
  <r>
    <n v="129366"/>
    <s v="LEVY GOMES COSTA MOTA"/>
    <s v="Diretoria Seminovos"/>
    <s v="RSNOR - Regional Seminovos Varejo Norte"/>
    <s v="LJFTZ - Vendas Varejo Seminovos Fortaleza Santos Dumont"/>
    <s v="THYAGO GUILHERME DE OLIVEIRA"/>
    <s v="NEGATIVO"/>
    <d v="1900-01-03T19:12:00"/>
    <d v="1900-01-03T19:12:00"/>
    <d v="1899-12-30T00:00:00"/>
    <s v=" "/>
    <s v=" "/>
    <s v=" "/>
    <s v=" "/>
    <d v="1899-12-31T19:12:00"/>
    <d v="1900-01-02T00:00:00"/>
    <s v=" "/>
    <s v=" "/>
    <s v=" "/>
    <s v=" "/>
    <s v=" "/>
    <s v=" "/>
    <s v="Ativo"/>
    <s v="CONSULTOR DE VENDAS"/>
    <x v="7"/>
    <s v="LJFTZ"/>
  </r>
  <r>
    <n v="130462"/>
    <s v="MAILMA PESSOA OLIVEIRA"/>
    <s v="Diretoria Seminovos"/>
    <s v="RSNOR - Regional Seminovos Varejo Norte"/>
    <s v="LJCAM - Vendas Varejo Seminovos Capim Macio"/>
    <s v="GILSON GUTEMBERG COSTA DA CRUZ"/>
    <s v="NEGATIVO"/>
    <d v="1899-12-30T13:13:00"/>
    <d v="1899-12-30T13:13:00"/>
    <d v="1899-12-30T00:00:00"/>
    <s v=" "/>
    <s v=" "/>
    <s v=" "/>
    <s v=" "/>
    <s v=" "/>
    <s v=" "/>
    <s v=" "/>
    <s v=" "/>
    <s v=" "/>
    <s v=" "/>
    <d v="1899-12-30T09:13:00"/>
    <d v="1899-12-30T04:00:00"/>
    <s v="Ativo"/>
    <s v="CONSULTOR DE VENDAS"/>
    <x v="7"/>
    <s v="LJCAM"/>
  </r>
  <r>
    <n v="133524"/>
    <s v="MARCONE RIBEIRO FERREIRA"/>
    <s v="Diretoria Seminovos"/>
    <s v="RSNOR - Regional Seminovos Varejo Norte"/>
    <s v="LJSJB - Vendas Varejo Seminovos Fortaleza São Jose Bastos"/>
    <s v="RAFAEL CARNEIRO DE MORAES"/>
    <s v="NEGATIVO"/>
    <d v="1900-01-07T01:39:00"/>
    <d v="1900-01-07T01:39:00"/>
    <d v="1899-12-30T00:00:00"/>
    <s v=" "/>
    <s v=" "/>
    <d v="1899-12-30T03:15:00"/>
    <s v=" "/>
    <d v="1900-01-06T22:24:00"/>
    <s v=" "/>
    <s v=" "/>
    <s v=" "/>
    <s v=" "/>
    <s v=" "/>
    <s v=" "/>
    <s v=" "/>
    <s v="Ativo"/>
    <s v="CONSULTOR DE VENDAS"/>
    <x v="7"/>
    <s v="LJSJB"/>
  </r>
  <r>
    <n v="124472"/>
    <s v="MARCOS ANTONIO MIRANDA AMORIM"/>
    <s v="Diretoria Seminovos"/>
    <s v="RSNOR - Regional Seminovos Varejo Norte"/>
    <s v="LJTER - Vendas Varejo Seminovos Teresina"/>
    <s v="EDUARDO LUCAS DOS SANTOS"/>
    <s v="NEGATIVO"/>
    <d v="1900-01-10T07:12:00"/>
    <d v="1900-01-10T07:12:00"/>
    <d v="1899-12-30T00:00:00"/>
    <s v=" "/>
    <s v=" "/>
    <s v=" "/>
    <s v=" "/>
    <d v="1900-01-02T19:12:00"/>
    <d v="1900-01-06T12:00:00"/>
    <s v=" "/>
    <s v=" "/>
    <s v=" "/>
    <s v=" "/>
    <s v=" "/>
    <s v=" "/>
    <s v="Ativo"/>
    <s v="CONSULTOR DE VENDAS"/>
    <x v="7"/>
    <s v="LJTER"/>
  </r>
  <r>
    <n v="132950"/>
    <s v="MARCOS ESTEVAM MENDES FILHO"/>
    <s v="Diretoria Seminovos"/>
    <s v="RSNOR - Regional Seminovos Varejo Norte"/>
    <s v="LJSLS - Vendas Varejo Seminovos São Luis"/>
    <s v="MARIO JORGE MENDONCA MIRANDA"/>
    <s v="NEGATIVO"/>
    <d v="1899-12-30T10:18:00"/>
    <d v="1899-12-30T10:18:00"/>
    <d v="1899-12-30T00:00:00"/>
    <s v=" "/>
    <s v=" "/>
    <s v=" "/>
    <s v=" "/>
    <s v=" "/>
    <s v=" "/>
    <s v=" "/>
    <d v="1899-12-30T10:18:00"/>
    <s v=" "/>
    <s v=" "/>
    <s v=" "/>
    <s v=" "/>
    <s v="Contrato de Trabalho Suspenso"/>
    <s v="CONSULTOR DE VENDAS"/>
    <x v="7"/>
    <s v="LJSLS"/>
  </r>
  <r>
    <n v="125521"/>
    <s v="MARCOS VINICIOS CASTELO BRANCO OLIVEIRA"/>
    <s v="Diretoria Seminovos"/>
    <s v="RSNOR - Regional Seminovos Varejo Norte"/>
    <s v="LJTER - Vendas Varejo Seminovos Teresina"/>
    <s v="EDUARDO LUCAS DOS SANTOS"/>
    <s v="NEGATIVO"/>
    <d v="1900-01-10T07:12:00"/>
    <d v="1900-01-10T07:12:00"/>
    <d v="1899-12-30T00:00:00"/>
    <s v=" "/>
    <s v=" "/>
    <s v=" "/>
    <s v=" "/>
    <d v="1900-01-02T19:12:00"/>
    <d v="1900-01-06T12:00:00"/>
    <s v=" "/>
    <s v=" "/>
    <s v=" "/>
    <s v=" "/>
    <s v=" "/>
    <s v=" "/>
    <s v="Ativo"/>
    <s v="CONSULTOR DE VENDAS"/>
    <x v="7"/>
    <s v="LJTER"/>
  </r>
  <r>
    <n v="133411"/>
    <s v="NADIA ROCHA DA SILVA"/>
    <s v="Diretoria Seminovos"/>
    <s v="RSNOR - Regional Seminovos Varejo Norte"/>
    <s v="LJMNS - Vendas Varejo Seminovos Manaus"/>
    <s v="PEDRO GOMES COSTA MOTA"/>
    <s v="NEGATIVO"/>
    <d v="1899-12-31T04:18:00"/>
    <d v="1899-12-31T04:18:00"/>
    <d v="1899-12-30T00:00:00"/>
    <s v=" "/>
    <s v=" "/>
    <s v=" "/>
    <s v=" "/>
    <s v=" "/>
    <s v=" "/>
    <d v="1899-12-30T21:27:00"/>
    <s v=" "/>
    <s v=" "/>
    <s v=" "/>
    <s v=" "/>
    <s v=" "/>
    <s v="Ativo"/>
    <s v="CONSULTOR DE VENDAS"/>
    <x v="7"/>
    <s v="LJMNS"/>
  </r>
  <r>
    <n v="135496"/>
    <s v="NARADA KRISHNA NASCIMENTO BASTOS"/>
    <s v="Diretoria Seminovos"/>
    <s v="RSNOR - Regional Seminovos Varejo Norte"/>
    <s v="LJSLS - Vendas Varejo Seminovos São Luis"/>
    <s v="MARIO JORGE MENDONCA MIRANDA"/>
    <s v="NEGATIVO"/>
    <d v="1899-12-30T14:12:00"/>
    <d v="1899-12-30T14:12:00"/>
    <d v="1899-12-30T00:00:00"/>
    <s v=" "/>
    <s v=" "/>
    <s v=" "/>
    <s v=" "/>
    <s v=" "/>
    <s v=" "/>
    <s v=" "/>
    <d v="1899-12-30T14:12:00"/>
    <s v=" "/>
    <s v=" "/>
    <s v=" "/>
    <s v=" "/>
    <s v="Ativo"/>
    <s v="CONSULTOR DE VENDAS"/>
    <x v="7"/>
    <s v="LJSLS"/>
  </r>
  <r>
    <n v="124785"/>
    <s v="PAULO ANDRE FRANCA DA SILVA"/>
    <s v="Diretoria Seminovos"/>
    <s v="RSNOR - Regional Seminovos Varejo Norte"/>
    <s v="LJFZA - Vendas Varejo Seminovos Fortaleza"/>
    <s v="HUGO ROHSNER BEZERRA"/>
    <s v="NEGATIVO"/>
    <d v="1900-01-04T12:02:00"/>
    <d v="1900-01-04T12:02:00"/>
    <d v="1899-12-30T00:00:00"/>
    <s v=" "/>
    <s v=" "/>
    <s v=" "/>
    <s v=" "/>
    <d v="1900-01-04T08:44:00"/>
    <d v="1899-12-30T07:30:00"/>
    <d v="1899-12-30T04:09:00"/>
    <s v=" "/>
    <s v=" "/>
    <s v=" "/>
    <s v=" "/>
    <s v=" "/>
    <s v="Ativo"/>
    <s v="CONSULTOR DE VENDAS"/>
    <x v="7"/>
    <s v="LJFZA"/>
  </r>
  <r>
    <n v="136969"/>
    <s v="RAIANE SHIRLEY EUFRASIO DA SILVA"/>
    <s v="Diretoria Seminovos"/>
    <s v="RSNOR - Regional Seminovos Varejo Norte"/>
    <s v="LJMSO - Vendas Varejo Seminovos Mossoró"/>
    <s v="DANILO ALVES DO NASCIMENTO"/>
    <s v="NEGATIVO"/>
    <d v="1899-12-30T18:17:00"/>
    <d v="1899-12-30T18:17:00"/>
    <d v="1899-12-30T00:00:00"/>
    <s v=" "/>
    <s v=" "/>
    <s v=" "/>
    <s v=" "/>
    <s v=" "/>
    <s v=" "/>
    <s v=" "/>
    <s v=" "/>
    <d v="1899-12-30T18:17:00"/>
    <s v=" "/>
    <s v=" "/>
    <s v=" "/>
    <s v="Ativo"/>
    <s v="CONSULTOR DE VENDAS"/>
    <x v="7"/>
    <s v="LJMSO"/>
  </r>
  <r>
    <n v="136859"/>
    <s v="RAQUEL JAEGER BEZERRA DE LIMA"/>
    <s v="Diretoria Seminovos"/>
    <s v="RSNOR - Regional Seminovos Varejo Norte"/>
    <s v="LJPVH - Vendas Varejo Seminovos Porto Velho"/>
    <s v="SHELLY DE OLIVEIRA SOUZA"/>
    <s v="NEGATIVO"/>
    <d v="1900-01-04T12:00:00"/>
    <d v="1900-01-04T12:00:00"/>
    <d v="1899-12-30T00:00:00"/>
    <s v=" "/>
    <s v=" "/>
    <s v=" "/>
    <s v=" "/>
    <d v="1900-01-04T12:00:00"/>
    <s v=" "/>
    <s v=" "/>
    <s v=" "/>
    <s v=" "/>
    <s v=" "/>
    <s v=" "/>
    <s v=" "/>
    <s v="Ativo"/>
    <s v="CONSULTOR DE VENDAS"/>
    <x v="7"/>
    <s v="LJPVH"/>
  </r>
  <r>
    <n v="132512"/>
    <s v="RICARDO OLIVEIRA MACHADO"/>
    <s v="Diretoria Seminovos"/>
    <s v="RSNOR - Regional Seminovos Varejo Norte"/>
    <s v="LJSLM - Vendas Varejo Seminovos Senador Lemos Belém"/>
    <s v="EDINELSON VALENTE BARREIROS"/>
    <s v="NEGATIVO"/>
    <d v="1900-01-06T08:26:00"/>
    <d v="1900-01-06T08:26:00"/>
    <d v="1899-12-30T00:00:00"/>
    <s v=" "/>
    <s v=" "/>
    <s v=" "/>
    <s v=" "/>
    <s v=" "/>
    <d v="1900-01-06T08:26:00"/>
    <s v=" "/>
    <s v=" "/>
    <s v=" "/>
    <s v=" "/>
    <s v=" "/>
    <s v=" "/>
    <s v="Ativo"/>
    <s v="CONSULTOR DE VENDAS"/>
    <x v="7"/>
    <s v="LJSLM"/>
  </r>
  <r>
    <n v="501691"/>
    <s v="SAMIR CALADO DE LUCENA"/>
    <s v="Diretoria Seminovos"/>
    <s v="RSNOR - Regional Seminovos Varejo Norte"/>
    <s v="LJFZA - Vendas Varejo Seminovos Fortaleza"/>
    <s v="HUGO ROHSNER BEZERRA"/>
    <s v="NEGATIVO"/>
    <d v="1900-01-03T11:35:00"/>
    <d v="1900-01-03T11:35:00"/>
    <d v="1899-12-30T00:00:00"/>
    <s v=" "/>
    <s v=" "/>
    <s v=" "/>
    <s v=" "/>
    <d v="1900-01-03T09:31:00"/>
    <d v="1899-12-30T08:02:00"/>
    <d v="1899-12-30T01:32:00"/>
    <s v=" "/>
    <s v=" "/>
    <s v=" "/>
    <s v=" "/>
    <s v=" "/>
    <s v="Ativo"/>
    <s v="CONSULTOR DE VENDAS"/>
    <x v="7"/>
    <s v="LJFZA"/>
  </r>
  <r>
    <n v="134648"/>
    <s v="THADEU WILSON OLIVEIRA DE ARAUJO"/>
    <s v="Diretoria Seminovos"/>
    <s v="RSNOR - Regional Seminovos Varejo Norte"/>
    <s v="LJSLM - Vendas Varejo Seminovos Senador Lemos Belém"/>
    <s v="EDINELSON VALENTE BARREIROS"/>
    <s v="NEGATIVO"/>
    <d v="1900-01-10T12:00:00"/>
    <d v="1900-01-10T12:00:00"/>
    <d v="1899-12-30T00:00:00"/>
    <s v=" "/>
    <s v=" "/>
    <s v=" "/>
    <s v=" "/>
    <d v="1900-01-03T00:00:00"/>
    <d v="1900-01-06T12:00:00"/>
    <s v=" "/>
    <s v=" "/>
    <s v=" "/>
    <s v=" "/>
    <s v=" "/>
    <s v=" "/>
    <s v="Ativo"/>
    <s v="CONSULTOR DE VENDAS"/>
    <x v="7"/>
    <s v="LJSLM"/>
  </r>
  <r>
    <n v="131554"/>
    <s v="THIAGO DE ARAUJO FRANCA"/>
    <s v="Diretoria Seminovos"/>
    <s v="RSNOR - Regional Seminovos Varejo Norte"/>
    <s v="LJCAM - Vendas Varejo Seminovos Capim Macio"/>
    <s v="GILSON GUTEMBERG COSTA DA CRUZ"/>
    <s v="NEGATIVO"/>
    <d v="1899-12-30T10:42:00"/>
    <d v="1899-12-30T10:42:00"/>
    <d v="1899-12-30T00:00:00"/>
    <s v=" "/>
    <s v=" "/>
    <s v=" "/>
    <s v=" "/>
    <s v=" "/>
    <s v=" "/>
    <s v=" "/>
    <d v="1899-12-30T10:42:00"/>
    <s v=" "/>
    <s v=" "/>
    <s v=" "/>
    <s v=" "/>
    <s v="Ativo"/>
    <s v="CONSULTOR DE VENDAS"/>
    <x v="7"/>
    <s v="LJCAM"/>
  </r>
  <r>
    <n v="502699"/>
    <s v="VAGNER LUCIO DOS SANTOS"/>
    <s v="Diretoria Seminovos"/>
    <s v="RSNOR - Regional Seminovos Varejo Norte"/>
    <s v="LJSJB - Vendas Varejo Seminovos Fortaleza São Jose Bastos"/>
    <s v="RAFAEL CARNEIRO DE MORAES"/>
    <s v="NEGATIVO"/>
    <d v="1900-01-06T22:24:00"/>
    <d v="1900-01-06T22:24:00"/>
    <d v="1899-12-30T00:00:00"/>
    <s v=" "/>
    <s v=" "/>
    <s v=" "/>
    <s v=" "/>
    <d v="1900-01-06T22:24:00"/>
    <s v=" "/>
    <s v=" "/>
    <s v=" "/>
    <s v=" "/>
    <s v=" "/>
    <s v=" "/>
    <s v=" "/>
    <s v="Ativo"/>
    <s v="CONSULTOR DE VENDAS"/>
    <x v="7"/>
    <s v="LJSJB"/>
  </r>
  <r>
    <n v="130067"/>
    <s v="WALBER DE SOUSA SILVA"/>
    <s v="Diretoria Seminovos"/>
    <s v="RSNOR - Regional Seminovos Varejo Norte"/>
    <s v="LJIMP - Vendas Varejo Seminovos Imperatriz"/>
    <s v="SIDNEY CLEY CUNHA DURAND PINTO"/>
    <s v="NEGATIVO"/>
    <d v="1899-12-30T13:41:00"/>
    <d v="1899-12-30T13:41:00"/>
    <d v="1899-12-30T00:00:00"/>
    <s v=" "/>
    <s v=" "/>
    <s v=" "/>
    <s v=" "/>
    <s v=" "/>
    <s v=" "/>
    <s v=" "/>
    <s v=" "/>
    <s v=" "/>
    <s v=" "/>
    <d v="1899-12-30T01:41:00"/>
    <d v="1899-12-30T10:24:00"/>
    <s v="Ativo"/>
    <s v="CONSULTOR DE VENDAS"/>
    <x v="7"/>
    <s v="LJIMP"/>
  </r>
  <r>
    <n v="134788"/>
    <s v="WELBER PRESTON LEITE BATISTA DA COSTA"/>
    <s v="Diretoria Seminovos"/>
    <s v="RSNOR - Regional Seminovos Varejo Norte"/>
    <s v="LJMSO - Vendas Varejo Seminovos Mossoró"/>
    <s v="DANILO ALVES DO NASCIMENTO"/>
    <s v="NEGATIVO"/>
    <d v="1900-01-02T21:36:00"/>
    <d v="1900-01-02T21:36:00"/>
    <d v="1899-12-30T00:00:00"/>
    <s v=" "/>
    <s v=" "/>
    <s v=" "/>
    <s v=" "/>
    <s v=" "/>
    <d v="1900-01-02T21:36:00"/>
    <s v=" "/>
    <s v=" "/>
    <s v=" "/>
    <s v=" "/>
    <s v=" "/>
    <s v=" "/>
    <s v="Contrato de Trabalho Suspenso"/>
    <s v="CONSULTOR DE VENDAS"/>
    <x v="7"/>
    <s v="LJMSO"/>
  </r>
  <r>
    <n v="136521"/>
    <s v="ANDERSON HERONCIO PEREIRA JUNIOR"/>
    <s v="Diretoria Seminovos"/>
    <s v="RSRIO - Regional Seminovos Varejo Rio de Janeiro"/>
    <s v="LJRJB - Loja Seminovos RJ Avenida Brasil"/>
    <s v="MARLON CESAR RIBEIRO DE LIMA"/>
    <s v="NEGATIVO"/>
    <d v="1900-01-16T08:00:00"/>
    <d v="1900-01-16T08:00:00"/>
    <d v="1899-12-30T00:00:00"/>
    <s v=" "/>
    <d v="1900-01-08T00:00:00"/>
    <d v="1900-01-07T08:00:00"/>
    <s v=" "/>
    <s v=" "/>
    <s v=" "/>
    <s v=" "/>
    <s v=" "/>
    <s v=" "/>
    <s v=" "/>
    <s v=" "/>
    <s v=" "/>
    <s v="Ativo"/>
    <s v="HIGIENIZADOR DE CARROS"/>
    <x v="8"/>
    <s v="LJRJB"/>
  </r>
  <r>
    <n v="118141"/>
    <s v="CARLOS ALVES PIROTE"/>
    <s v="Diretoria Seminovos"/>
    <s v="RSRIO - Regional Seminovos Varejo Rio de Janeiro"/>
    <s v="LJNIG - Loja Seminovos Nova Iguaçu"/>
    <s v="TABAJARA ALVARO MENDONCA ALVARES"/>
    <s v="NEGATIVO"/>
    <d v="1899-12-31T08:48:00"/>
    <d v="1899-12-31T08:48:00"/>
    <d v="1899-12-30T00:00:00"/>
    <s v=" "/>
    <d v="1899-12-30T20:07:00"/>
    <d v="1899-12-30T16:00:00"/>
    <s v=" "/>
    <s v=" "/>
    <s v=" "/>
    <s v=" "/>
    <s v=" "/>
    <s v=" "/>
    <s v=" "/>
    <s v=" "/>
    <s v=" "/>
    <s v="Ativo"/>
    <s v="HIGIENIZADOR DE CARROS"/>
    <x v="8"/>
    <s v="LJNIG"/>
  </r>
  <r>
    <n v="129877"/>
    <s v="CATIA FLAVIA LUCAS ROSA DE AZEVEDO"/>
    <s v="Diretoria Seminovos"/>
    <s v="RSRIO - Regional Seminovos Varejo Rio de Janeiro"/>
    <s v="LJRJB - Loja Seminovos RJ Avenida Brasil"/>
    <s v="MARLON CESAR RIBEIRO DE LIMA"/>
    <s v="NEGATIVO"/>
    <d v="1899-12-30T03:34:00"/>
    <d v="1899-12-30T03:34:00"/>
    <d v="1899-12-30T00:00:00"/>
    <s v=" "/>
    <s v=" "/>
    <d v="1899-12-30T03:34:00"/>
    <s v=" "/>
    <s v=" "/>
    <s v=" "/>
    <s v=" "/>
    <s v=" "/>
    <s v=" "/>
    <s v=" "/>
    <s v=" "/>
    <s v=" "/>
    <s v="Ativo"/>
    <s v="AUX. DE SERVICOS GERAIS - DIRCS"/>
    <x v="8"/>
    <s v="LJRJB"/>
  </r>
  <r>
    <n v="131250"/>
    <s v="DANIEL SULPINO DE ARAUJO"/>
    <s v="Diretoria Seminovos"/>
    <s v="RSRIO - Regional Seminovos Varejo Rio de Janeiro"/>
    <s v="LJUPB - Loja Seminovos Up Town Barra"/>
    <s v="THIAGO HENRIQUE MELO FERREIRA"/>
    <s v="NEGATIVO"/>
    <d v="1900-01-03T00:13:00"/>
    <d v="1900-01-03T00:13:00"/>
    <d v="1899-12-30T00:00:00"/>
    <s v=" "/>
    <d v="1899-12-30T06:41:00"/>
    <d v="1900-01-02T05:56:00"/>
    <d v="1899-12-30T07:01:00"/>
    <s v=" "/>
    <s v=" "/>
    <s v=" "/>
    <s v=" "/>
    <s v=" "/>
    <s v=" "/>
    <s v=" "/>
    <s v=" "/>
    <s v="Ativo"/>
    <s v="HIGIENIZADOR DE CARROS"/>
    <x v="8"/>
    <s v="LJUPB"/>
  </r>
  <r>
    <n v="119427"/>
    <s v="EDIVANILDO CRUZ GOMES"/>
    <s v="Diretoria Seminovos"/>
    <s v="RSRIO - Regional Seminovos Varejo Rio de Janeiro"/>
    <s v="LJRIO - Loja Seminovos Rio de Janeiro"/>
    <s v="LEONARDO MATOS MOURA CAMPOS"/>
    <s v="NEGATIVO"/>
    <d v="1899-12-30T07:04:00"/>
    <d v="1899-12-30T07:04:00"/>
    <d v="1899-12-30T00:00:00"/>
    <s v=" "/>
    <s v=" "/>
    <d v="1899-12-30T03:04:00"/>
    <d v="1899-12-30T04:00:00"/>
    <s v=" "/>
    <s v=" "/>
    <s v=" "/>
    <s v=" "/>
    <s v=" "/>
    <s v=" "/>
    <s v=" "/>
    <s v=" "/>
    <s v="Contrato de Trabalho Suspenso"/>
    <s v="HIGIENIZADOR DE CARROS"/>
    <x v="8"/>
    <s v="LJRIO"/>
  </r>
  <r>
    <n v="500513"/>
    <s v="EDUARDO DOMINGOS DO NASCIMENTO"/>
    <s v="Diretoria Seminovos"/>
    <s v="RSRIO - Regional Seminovos Varejo Rio de Janeiro"/>
    <s v="LJBAR - Loja Seminovos Barra da Tijuca"/>
    <s v="GUSTAVO DE ALMEIDA STUTZEL"/>
    <s v="NEGATIVO"/>
    <d v="1900-01-02T12:33:00"/>
    <d v="1900-01-02T12:33:00"/>
    <d v="1899-12-30T00:00:00"/>
    <s v=" "/>
    <d v="1900-01-01T18:24:00"/>
    <d v="1899-12-30T12:32:00"/>
    <d v="1899-12-30T05:08:00"/>
    <s v=" "/>
    <s v=" "/>
    <s v=" "/>
    <s v=" "/>
    <s v=" "/>
    <s v=" "/>
    <s v=" "/>
    <s v=" "/>
    <s v="Ativo"/>
    <s v="HIGIENIZADOR DE CARROS"/>
    <x v="8"/>
    <s v="LJBAR"/>
  </r>
  <r>
    <n v="501933"/>
    <s v="EDVALDO BEZERRA DE ARAUJO"/>
    <s v="Diretoria Seminovos"/>
    <s v="RSRIO - Regional Seminovos Varejo Rio de Janeiro"/>
    <s v="LJDUQ - Loja Seminovos Duque de Caxias"/>
    <s v="OTAVIO BARREIRA DE ARAUJO SOUSA"/>
    <s v="NEGATIVO"/>
    <d v="1899-12-30T21:45:00"/>
    <d v="1899-12-30T21:45:00"/>
    <d v="1899-12-30T00:00:00"/>
    <d v="1899-12-30T08:00:00"/>
    <d v="1899-12-30T06:32:00"/>
    <d v="1899-12-30T08:00:00"/>
    <s v=" "/>
    <s v=" "/>
    <s v=" "/>
    <s v=" "/>
    <s v=" "/>
    <s v=" "/>
    <s v=" "/>
    <s v=" "/>
    <s v=" "/>
    <s v="Ativo"/>
    <s v="HIGIENIZADOR DE CARROS"/>
    <x v="8"/>
    <s v="LJDUQ"/>
  </r>
  <r>
    <n v="500893"/>
    <s v="ISABELA MARIA DA LUZ SANTOS"/>
    <s v="Diretoria Seminovos"/>
    <s v="RSRIO - Regional Seminovos Varejo Rio de Janeiro"/>
    <s v="LJDUQ - Loja Seminovos Duque de Caxias"/>
    <s v="OTAVIO BARREIRA DE ARAUJO SOUSA"/>
    <s v="NEGATIVO"/>
    <d v="1899-12-30T16:03:00"/>
    <d v="1899-12-30T16:03:00"/>
    <d v="1899-12-30T00:00:00"/>
    <s v=" "/>
    <d v="1899-12-30T04:00:00"/>
    <d v="1899-12-30T07:21:00"/>
    <s v=" "/>
    <s v=" "/>
    <s v=" "/>
    <s v=" "/>
    <s v=" "/>
    <s v=" "/>
    <s v=" "/>
    <s v=" "/>
    <s v=" "/>
    <s v="Ativo"/>
    <s v="AUX. DE SERVICOS GERAIS - DIRCS"/>
    <x v="8"/>
    <s v="LJDUQ"/>
  </r>
  <r>
    <n v="130857"/>
    <s v="JHONATAN DE OLIVEIRA GONCALVES"/>
    <s v="Diretoria Seminovos"/>
    <s v="RSRIO - Regional Seminovos Varejo Rio de Janeiro"/>
    <s v="LJBAR - Loja Seminovos Barra da Tijuca"/>
    <s v="GUSTAVO DE ALMEIDA STUTZEL"/>
    <s v="NEGATIVO"/>
    <d v="1900-01-02T09:36:00"/>
    <d v="1900-01-02T09:36:00"/>
    <d v="1899-12-30T00:00:00"/>
    <s v=" "/>
    <d v="1900-01-01T13:54:00"/>
    <d v="1899-12-30T13:12:00"/>
    <d v="1899-12-30T03:39:00"/>
    <s v=" "/>
    <s v=" "/>
    <s v=" "/>
    <s v=" "/>
    <s v=" "/>
    <s v=" "/>
    <s v=" "/>
    <s v=" "/>
    <s v="Ativo"/>
    <s v="HIGIENIZADOR DE CARROS"/>
    <x v="8"/>
    <s v="LJBAR"/>
  </r>
  <r>
    <n v="137160"/>
    <s v="JOSE ROBERTO SANTANA DE LIMA"/>
    <s v="Diretoria Seminovos"/>
    <s v="RSRIO - Regional Seminovos Varejo Rio de Janeiro"/>
    <s v="LJROS - Loja Seminovos  Rio das Ostras"/>
    <s v="STEFANO ZELAYA CORREIA"/>
    <s v="NEGATIVO"/>
    <d v="1899-12-30T03:54:00"/>
    <d v="1899-12-30T03:54:00"/>
    <d v="1899-12-30T00:00:00"/>
    <s v=" "/>
    <s v=" "/>
    <d v="1899-12-30T02:37:00"/>
    <d v="1899-12-30T01:17:00"/>
    <s v=" "/>
    <s v=" "/>
    <s v=" "/>
    <s v=" "/>
    <s v=" "/>
    <s v=" "/>
    <s v=" "/>
    <s v=" "/>
    <s v="Ativo"/>
    <s v="HIGIENIZADOR DE CARROS"/>
    <x v="8"/>
    <s v="LJROS"/>
  </r>
  <r>
    <n v="130808"/>
    <s v="LEONARDO PEREIRA PINHEIRO"/>
    <s v="Diretoria Seminovos"/>
    <s v="RSRIO - Regional Seminovos Varejo Rio de Janeiro"/>
    <s v="LJPTS -  Loja Seminovos Petrópolis"/>
    <s v="ANA PAULA DOS SANTOS BATISTA"/>
    <s v="NEGATIVO"/>
    <d v="1899-12-30T10:07:00"/>
    <d v="1899-12-30T10:07:00"/>
    <d v="1899-12-30T00:00:00"/>
    <s v=" "/>
    <s v=" "/>
    <d v="1899-12-30T06:10:00"/>
    <s v=" "/>
    <s v=" "/>
    <s v=" "/>
    <s v=" "/>
    <s v=" "/>
    <s v=" "/>
    <s v=" "/>
    <s v=" "/>
    <s v=" "/>
    <s v="Ativo"/>
    <s v="HIGIENIZADOR DE CARROS"/>
    <x v="8"/>
    <s v="LJPTS"/>
  </r>
  <r>
    <n v="132856"/>
    <s v="LUCAS PEDRO PIRES"/>
    <s v="Diretoria Seminovos"/>
    <s v="RSRIO - Regional Seminovos Varejo Rio de Janeiro"/>
    <s v="LJNIT - Loja Seminovos Niterói"/>
    <s v="FELIPE REIS BARGIELA"/>
    <s v="NEGATIVO"/>
    <d v="1899-12-30T07:19:00"/>
    <d v="1899-12-30T07:19:00"/>
    <d v="1899-12-30T00:00:00"/>
    <s v=" "/>
    <s v=" "/>
    <d v="1899-12-30T00:05:00"/>
    <d v="1899-12-30T13:12:00"/>
    <s v=" "/>
    <s v=" "/>
    <s v=" "/>
    <s v=" "/>
    <s v=" "/>
    <s v=" "/>
    <s v=" "/>
    <s v=" "/>
    <s v="Ativo"/>
    <s v="ADMINISTRATIVO I - FILIAL"/>
    <x v="8"/>
    <s v="LJNIT"/>
  </r>
  <r>
    <n v="123399"/>
    <s v="LUIZ HENRIQUE DA SILVA RODRIGUES"/>
    <s v="Diretoria Seminovos"/>
    <s v="RSRIO - Regional Seminovos Varejo Rio de Janeiro"/>
    <s v="LJNIG - Loja Seminovos Nova Iguaçu"/>
    <s v="TABAJARA ALVARO MENDONCA ALVARES"/>
    <s v="NEGATIVO"/>
    <d v="1899-12-31T23:35:00"/>
    <d v="1899-12-31T23:35:00"/>
    <d v="1899-12-30T00:00:00"/>
    <s v=" "/>
    <d v="1900-01-01T02:18:00"/>
    <d v="1899-12-30T03:52:00"/>
    <d v="1899-12-30T00:17:00"/>
    <s v=" "/>
    <s v=" "/>
    <s v=" "/>
    <s v=" "/>
    <s v=" "/>
    <s v=" "/>
    <s v=" "/>
    <s v=" "/>
    <s v="Ativo"/>
    <s v="HIGIENIZADOR DE CARROS"/>
    <x v="8"/>
    <s v="LJNIG"/>
  </r>
  <r>
    <n v="136004"/>
    <s v="LUIZ HENRIQUE DE OLIVEIRA MARTINS"/>
    <s v="Diretoria Seminovos"/>
    <s v="RSRIO - Regional Seminovos Varejo Rio de Janeiro"/>
    <s v="LJUPB - Loja Seminovos Up Town Barra"/>
    <s v="THIAGO HENRIQUE MELO FERREIRA"/>
    <s v="NEGATIVO"/>
    <d v="1900-01-02T07:45:00"/>
    <d v="1900-01-02T07:45:00"/>
    <d v="1899-12-30T00:00:00"/>
    <s v=" "/>
    <d v="1899-12-31T15:54:00"/>
    <d v="1899-12-31T15:51:00"/>
    <s v=" "/>
    <s v=" "/>
    <s v=" "/>
    <s v=" "/>
    <s v=" "/>
    <s v=" "/>
    <s v=" "/>
    <s v=" "/>
    <s v=" "/>
    <s v="Contrato de Trabalho Suspenso"/>
    <s v="HIGIENIZADOR DE CARROS"/>
    <x v="8"/>
    <s v="LJUPB"/>
  </r>
  <r>
    <n v="503078"/>
    <s v="RICARDO ROMUALDO DA SILVA"/>
    <s v="Diretoria Seminovos"/>
    <s v="RSRIO - Regional Seminovos Varejo Rio de Janeiro"/>
    <s v="LJNIG - Vendas Varejo Seminovos Nova Iguaçu"/>
    <s v="TABAJARA ALVARO MENDONCA ALVARES"/>
    <s v="NEGATIVO"/>
    <d v="1899-12-30T10:39:00"/>
    <d v="1899-12-30T10:39:00"/>
    <d v="1899-12-30T00:00:00"/>
    <s v=" "/>
    <s v=" "/>
    <s v=" "/>
    <d v="1899-12-30T04:32:00"/>
    <s v=" "/>
    <s v=" "/>
    <s v=" "/>
    <s v=" "/>
    <s v=" "/>
    <s v=" "/>
    <s v=" "/>
    <s v=" "/>
    <s v="Ativo"/>
    <s v="CONSULTOR DE VENDAS"/>
    <x v="8"/>
    <s v="LJNIG"/>
  </r>
  <r>
    <n v="133500"/>
    <s v="OSWALDO CAMARA NETO"/>
    <s v="Diretoria Seminovos"/>
    <s v="RSRIO - Regional Seminovos Varejo Rio de Janeiro"/>
    <s v="LJRJB - Loja Seminovos RJ Avenida Brasil"/>
    <s v="MARLON CESAR RIBEIRO DE LIMA"/>
    <s v="NEGATIVO"/>
    <d v="1900-01-16T19:09:00"/>
    <d v="1900-01-16T19:09:00"/>
    <d v="1899-12-30T00:00:00"/>
    <s v=" "/>
    <d v="1900-01-08T09:48:00"/>
    <d v="1900-01-07T09:21:00"/>
    <s v=" "/>
    <s v=" "/>
    <s v=" "/>
    <s v=" "/>
    <s v=" "/>
    <s v=" "/>
    <s v=" "/>
    <s v=" "/>
    <s v=" "/>
    <s v="Ativo"/>
    <s v="HIGIENIZADOR DE CARROS"/>
    <x v="8"/>
    <s v="LJRJB"/>
  </r>
  <r>
    <n v="124380"/>
    <s v="VICTOR VESCOVI COUTINHO"/>
    <s v="Diretoria Seminovos"/>
    <s v="RSRIO - Regional Seminovos Varejo Rio de Janeiro"/>
    <s v="LJNIT - Vendas Varejo Seminovos Niterói"/>
    <s v="FELIPE REIS BARGIELA"/>
    <s v="NEGATIVO"/>
    <d v="1899-12-30T06:46:00"/>
    <d v="1899-12-30T06:46:00"/>
    <d v="1899-12-30T00:00:00"/>
    <s v=" "/>
    <s v=" "/>
    <s v=" "/>
    <d v="1899-12-30T00:12:00"/>
    <s v=" "/>
    <s v=" "/>
    <s v=" "/>
    <s v=" "/>
    <s v=" "/>
    <s v=" "/>
    <s v=" "/>
    <s v=" "/>
    <s v="Ativo"/>
    <s v="CONSULTOR DE VENDAS"/>
    <x v="8"/>
    <s v="LJNIT"/>
  </r>
  <r>
    <n v="120151"/>
    <s v="PAULO ROBERTO FERREIRA DE SOUZA"/>
    <s v="Diretoria Seminovos"/>
    <s v="RSRIO - Regional Seminovos Varejo Rio de Janeiro"/>
    <s v="LJNIT - Loja Seminovos Niterói"/>
    <s v="FELIPE REIS BARGIELA"/>
    <s v="NEGATIVO"/>
    <d v="1899-12-30T00:57:00"/>
    <d v="1899-12-30T00:57:00"/>
    <d v="1899-12-30T00:00:00"/>
    <s v=" "/>
    <s v=" "/>
    <s v=" "/>
    <d v="1899-12-30T01:03:00"/>
    <s v=" "/>
    <s v=" "/>
    <s v=" "/>
    <s v=" "/>
    <s v=" "/>
    <s v=" "/>
    <s v=" "/>
    <s v=" "/>
    <s v="Ativo"/>
    <s v="HIGIENIZADOR DE CARROS"/>
    <x v="8"/>
    <s v="LJNIT"/>
  </r>
  <r>
    <n v="132012"/>
    <s v="RICARDO FELIPE RIBEIRO LUCINDO"/>
    <s v="Diretoria Seminovos"/>
    <s v="RSRIO - Regional Seminovos Varejo Rio de Janeiro"/>
    <s v="LJBAR - Loja Seminovos Barra da Tijuca"/>
    <s v="GUSTAVO DE ALMEIDA STUTZEL"/>
    <s v="NEGATIVO"/>
    <d v="1900-01-01T19:29:00"/>
    <d v="1900-01-01T19:29:00"/>
    <d v="1899-12-30T00:00:00"/>
    <s v=" "/>
    <d v="1900-01-01T13:19:00"/>
    <d v="1899-12-30T06:10:00"/>
    <s v=" "/>
    <s v=" "/>
    <s v=" "/>
    <s v=" "/>
    <s v=" "/>
    <s v=" "/>
    <s v=" "/>
    <s v=" "/>
    <s v=" "/>
    <s v="Contrato de Trabalho Suspenso"/>
    <s v="HIGIENIZADOR DE CARROS"/>
    <x v="8"/>
    <s v="LJBAR"/>
  </r>
  <r>
    <n v="125545"/>
    <s v="ROBSON NASCIMENTO DA SILVA"/>
    <s v="Diretoria Seminovos"/>
    <s v="RSRIO - Regional Seminovos Varejo Rio de Janeiro"/>
    <s v="LJNIT - Loja Seminovos Niterói"/>
    <s v="FELIPE REIS BARGIELA"/>
    <s v="NEGATIVO"/>
    <d v="1899-12-30T07:58:00"/>
    <d v="1899-12-30T07:58:00"/>
    <d v="1899-12-30T00:00:00"/>
    <s v=" "/>
    <s v=" "/>
    <d v="1899-12-30T10:54:00"/>
    <s v=" "/>
    <s v=" "/>
    <s v=" "/>
    <s v=" "/>
    <s v=" "/>
    <s v=" "/>
    <s v=" "/>
    <s v=" "/>
    <s v=" "/>
    <s v="Ativo"/>
    <s v="HIGIENIZADOR DE CARROS"/>
    <x v="8"/>
    <s v="LJNIT"/>
  </r>
  <r>
    <n v="135236"/>
    <s v="SILAS DE ANDRADE BARRETO"/>
    <s v="Diretoria Seminovos"/>
    <s v="RSRIO - Regional Seminovos Varejo Rio de Janeiro"/>
    <s v="LJITD - Loja Seminovos Intendente"/>
    <s v="MARCIO PEREIRA NASCIMENTO FILHO"/>
    <s v="NEGATIVO"/>
    <d v="1899-12-30T03:51:00"/>
    <d v="1899-12-30T03:51:00"/>
    <d v="1899-12-30T00:00:00"/>
    <s v=" "/>
    <s v=" "/>
    <d v="1899-12-30T03:58:00"/>
    <d v="1899-12-30T00:54:00"/>
    <s v=" "/>
    <s v=" "/>
    <s v=" "/>
    <s v=" "/>
    <s v=" "/>
    <s v=" "/>
    <s v=" "/>
    <s v=" "/>
    <s v="Ativo"/>
    <s v="HIGIENIZADOR DE CARROS"/>
    <x v="8"/>
    <s v="LJITD"/>
  </r>
  <r>
    <n v="117689"/>
    <s v="SOLANGE ALVES DA SILVA"/>
    <s v="Diretoria Seminovos"/>
    <s v="RSRIO - Regional Seminovos Varejo Rio de Janeiro"/>
    <s v="LJITD - Loja Seminovos Intendente"/>
    <s v="MARCIO PEREIRA NASCIMENTO FILHO"/>
    <s v="NEGATIVO"/>
    <d v="1899-12-30T11:42:00"/>
    <d v="1899-12-30T11:42:00"/>
    <d v="1899-12-30T00:00:00"/>
    <d v="1899-12-30T10:08:00"/>
    <d v="1899-12-30T01:34:00"/>
    <s v=" "/>
    <s v=" "/>
    <s v=" "/>
    <s v=" "/>
    <s v=" "/>
    <s v=" "/>
    <s v=" "/>
    <s v=" "/>
    <s v=" "/>
    <s v=" "/>
    <s v="Ativo"/>
    <s v="AUX. DE SERVICOS GERAIS - DIRCS"/>
    <x v="8"/>
    <s v="LJITD"/>
  </r>
  <r>
    <n v="133057"/>
    <s v="TAUANA BARBOSA DE SOUZA"/>
    <s v="Diretoria Seminovos"/>
    <s v="RSRIO - Regional Seminovos Varejo Rio de Janeiro"/>
    <s v="LJRJB - Loja Seminovos RJ Avenida Brasil"/>
    <s v="MARLON CESAR RIBEIRO DE LIMA"/>
    <s v="NEGATIVO"/>
    <d v="1900-01-04T09:38:00"/>
    <d v="1900-01-04T09:38:00"/>
    <d v="1899-12-30T00:00:00"/>
    <d v="1900-01-01T03:37:00"/>
    <d v="1899-12-30T12:45:00"/>
    <d v="1900-01-01T17:16:00"/>
    <s v=" "/>
    <s v=" "/>
    <s v=" "/>
    <s v=" "/>
    <s v=" "/>
    <s v=" "/>
    <s v=" "/>
    <s v=" "/>
    <s v=" "/>
    <s v="Licença Mater."/>
    <s v="ADMINISTRATIVO I - FILIAL"/>
    <x v="8"/>
    <s v="LJRJB"/>
  </r>
  <r>
    <n v="136529"/>
    <s v="WALLACE TEIXEIRA ALVES"/>
    <s v="Diretoria Seminovos"/>
    <s v="RSRIO - Regional Seminovos Varejo Rio de Janeiro"/>
    <s v="LJITD - Loja Seminovos Intendente"/>
    <s v="MARCIO PEREIRA NASCIMENTO FILHO"/>
    <s v="NEGATIVO"/>
    <d v="1899-12-30T09:10:00"/>
    <d v="1899-12-30T09:10:00"/>
    <d v="1899-12-30T00:00:00"/>
    <d v="1899-12-30T04:19:00"/>
    <s v=" "/>
    <d v="1899-12-30T02:37:00"/>
    <d v="1899-12-30T02:11:00"/>
    <s v=" "/>
    <s v=" "/>
    <s v=" "/>
    <s v=" "/>
    <s v=" "/>
    <s v=" "/>
    <s v=" "/>
    <s v=" "/>
    <s v="Ativo"/>
    <s v="HIGIENIZADOR DE CARROS"/>
    <x v="8"/>
    <s v="LJITD"/>
  </r>
  <r>
    <n v="132918"/>
    <s v="ADRIANA RODRIGUES VAZ"/>
    <s v="Diretoria Seminovos"/>
    <s v="RSRIO - Regional Seminovos Varejo Rio de Janeiro"/>
    <s v="LJDUQ - Vendas Varejo Seminovos Duque de Caxias"/>
    <s v="OTAVIO BARREIRA DE ARAUJO SOUSA"/>
    <s v="NEGATIVO"/>
    <d v="1899-12-30T15:57:00"/>
    <d v="1899-12-30T15:57:00"/>
    <d v="1899-12-30T00:00:00"/>
    <s v=" "/>
    <d v="1899-12-30T06:45:00"/>
    <d v="1899-12-30T09:05:00"/>
    <s v=" "/>
    <s v=" "/>
    <s v=" "/>
    <s v=" "/>
    <s v=" "/>
    <s v=" "/>
    <s v=" "/>
    <s v=" "/>
    <s v=" "/>
    <s v="Ativo"/>
    <s v="CONSULTOR DE VENDAS"/>
    <x v="8"/>
    <s v="LJDUQ"/>
  </r>
  <r>
    <n v="130742"/>
    <s v="ALISON MENEZES DA ROCHA"/>
    <s v="Diretoria Seminovos"/>
    <s v="RSRIO - Regional Seminovos Varejo Rio de Janeiro"/>
    <s v="LJUPB - Vendas Varejo Seminovos Up Town Barra"/>
    <s v="THIAGO HENRIQUE MELO FERREIRA"/>
    <s v="NEGATIVO"/>
    <d v="1900-01-11T17:12:00"/>
    <d v="1900-01-11T17:12:00"/>
    <d v="1899-12-30T00:00:00"/>
    <s v=" "/>
    <d v="1900-01-06T16:35:00"/>
    <d v="1900-01-03T22:16:00"/>
    <s v=" "/>
    <s v=" "/>
    <s v=" "/>
    <s v=" "/>
    <s v=" "/>
    <s v=" "/>
    <s v=" "/>
    <s v=" "/>
    <s v=" "/>
    <s v="Ativo"/>
    <s v="CONSULTOR DE VENDAS"/>
    <x v="8"/>
    <s v="LJUPB"/>
  </r>
  <r>
    <n v="503617"/>
    <s v="ANDRE LUIZ RIOS DE ALMEIDA"/>
    <s v="Diretoria Seminovos"/>
    <s v="RSRIO - Regional Seminovos Varejo Rio de Janeiro"/>
    <s v="LJDUQ - Vendas Varejo Seminovos Duque de Caxias"/>
    <s v="OTAVIO BARREIRA DE ARAUJO SOUSA"/>
    <s v="NEGATIVO"/>
    <d v="1899-12-30T11:21:00"/>
    <d v="1899-12-30T11:21:00"/>
    <d v="1899-12-30T00:00:00"/>
    <d v="1899-12-30T04:09:00"/>
    <s v=" "/>
    <d v="1899-12-30T07:12:00"/>
    <s v=" "/>
    <s v=" "/>
    <s v=" "/>
    <s v=" "/>
    <s v=" "/>
    <s v=" "/>
    <s v=" "/>
    <s v=" "/>
    <s v=" "/>
    <s v="Ativo"/>
    <s v="CONSULTOR DE VENDAS"/>
    <x v="8"/>
    <s v="LJDUQ"/>
  </r>
  <r>
    <n v="133269"/>
    <s v="BRUNO MELO ARAUJO DA SILVA"/>
    <s v="Diretoria Seminovos"/>
    <s v="RSRIO - Regional Seminovos Varejo Rio de Janeiro"/>
    <s v="LJCGD - Vendas Varejo Seminovos Campo Grande Rj"/>
    <s v="FABIO PINTO PEREZ"/>
    <s v="NEGATIVO"/>
    <d v="1899-12-30T00:12:00"/>
    <d v="1899-12-30T00:12:00"/>
    <d v="1899-12-30T00:00:00"/>
    <s v=" "/>
    <s v=" "/>
    <d v="1899-12-30T00:12:00"/>
    <s v=" "/>
    <s v=" "/>
    <s v=" "/>
    <s v=" "/>
    <s v=" "/>
    <s v=" "/>
    <s v=" "/>
    <s v=" "/>
    <s v=" "/>
    <s v="Contrato de Trabalho Suspenso"/>
    <s v="CONSULTOR DE VENDAS"/>
    <x v="8"/>
    <s v="LJCGD"/>
  </r>
  <r>
    <n v="132830"/>
    <s v="DIEGO GUANABARA MOREIRA"/>
    <s v="Diretoria Seminovos"/>
    <s v="RSRIO - Regional Seminovos Varejo Rio de Janeiro"/>
    <s v="LJRJB - Vendas Varejo Seminovos RJ Avenida Brasil"/>
    <s v="MARLON CESAR RIBEIRO DE LIMA"/>
    <s v="NEGATIVO"/>
    <d v="1899-12-30T05:09:00"/>
    <d v="1899-12-30T05:09:00"/>
    <d v="1899-12-30T00:00:00"/>
    <s v=" "/>
    <s v=" "/>
    <d v="1899-12-30T05:09:00"/>
    <s v=" "/>
    <s v=" "/>
    <s v=" "/>
    <s v=" "/>
    <s v=" "/>
    <s v=" "/>
    <s v=" "/>
    <s v=" "/>
    <s v=" "/>
    <s v="Ativo"/>
    <s v="CONSULTOR DE VENDAS"/>
    <x v="8"/>
    <s v="LJRJB"/>
  </r>
  <r>
    <n v="502078"/>
    <s v="FABIANO RANGEL GOMES"/>
    <s v="Diretoria Seminovos"/>
    <s v="RSRIO - Regional Seminovos Varejo Rio de Janeiro"/>
    <s v="LJNIT - Vendas Varejo Seminovos Niterói"/>
    <s v="FELIPE REIS BARGIELA"/>
    <s v="NEGATIVO"/>
    <d v="1899-12-30T06:31:00"/>
    <d v="1899-12-30T06:31:00"/>
    <d v="1899-12-30T00:00:00"/>
    <s v=" "/>
    <s v=" "/>
    <d v="1899-12-30T07:27:00"/>
    <d v="1899-12-30T07:12:00"/>
    <s v=" "/>
    <s v=" "/>
    <s v=" "/>
    <s v=" "/>
    <s v=" "/>
    <s v=" "/>
    <s v=" "/>
    <s v=" "/>
    <s v="Ativo"/>
    <s v="CONSULTOR DE VENDAS"/>
    <x v="8"/>
    <s v="LJNIT"/>
  </r>
  <r>
    <n v="135982"/>
    <s v="FRANCINE BRITO DA SILVA"/>
    <s v="Diretoria Seminovos"/>
    <s v="RSRIO - Regional Seminovos Varejo Rio de Janeiro"/>
    <s v="LJROS - Vendas Varejo Seminovos Rio das Ostras"/>
    <s v="STEFANO ZELAYA CORREIA"/>
    <s v="NEGATIVO"/>
    <d v="1899-12-30T03:54:00"/>
    <d v="1899-12-30T03:54:00"/>
    <d v="1899-12-30T00:00:00"/>
    <s v=" "/>
    <s v=" "/>
    <d v="1899-12-30T01:18:00"/>
    <d v="1899-12-30T02:36:00"/>
    <s v=" "/>
    <s v=" "/>
    <s v=" "/>
    <s v=" "/>
    <s v=" "/>
    <s v=" "/>
    <s v=" "/>
    <s v=" "/>
    <s v="Ativo"/>
    <s v="CONSULTOR DE VENDAS"/>
    <x v="8"/>
    <s v="LJROS"/>
  </r>
  <r>
    <n v="124228"/>
    <s v="JULIO CESAR DOS SANTOS"/>
    <s v="Diretoria Seminovos"/>
    <s v="RSRIO - Regional Seminovos Varejo Rio de Janeiro"/>
    <s v="LJRJB - Vendas Varejo Seminovos RJ Avenida Brasil"/>
    <s v="MARLON CESAR RIBEIRO DE LIMA"/>
    <s v="NEGATIVO"/>
    <d v="1899-12-30T01:08:00"/>
    <d v="1899-12-30T01:08:00"/>
    <d v="1899-12-30T00:00:00"/>
    <s v=" "/>
    <d v="1899-12-30T00:51:00"/>
    <d v="1899-12-30T00:17:00"/>
    <s v=" "/>
    <s v=" "/>
    <s v=" "/>
    <s v=" "/>
    <s v=" "/>
    <s v=" "/>
    <s v=" "/>
    <s v=" "/>
    <s v=" "/>
    <s v="Ativo"/>
    <s v="CONSULTOR DE VENDAS"/>
    <x v="8"/>
    <s v="LJRJB"/>
  </r>
  <r>
    <n v="125192"/>
    <s v="KELLY VIRGINIO DE SA"/>
    <s v="Diretoria Seminovos"/>
    <s v="RSRIO - Regional Seminovos Varejo Rio de Janeiro"/>
    <s v="LJITG - Vendas Varejo Seminovos Itaguai"/>
    <s v="ANA PAULA DOS SANTOS BATISTA"/>
    <s v="NEGATIVO"/>
    <d v="1900-01-01T19:20:00"/>
    <d v="1900-01-01T19:20:00"/>
    <d v="1899-12-30T00:00:00"/>
    <s v=" "/>
    <d v="1899-12-31T11:16:00"/>
    <d v="1899-12-31T10:22:00"/>
    <d v="1899-12-30T05:15:00"/>
    <s v=" "/>
    <s v=" "/>
    <s v=" "/>
    <s v=" "/>
    <s v=" "/>
    <s v=" "/>
    <s v=" "/>
    <s v=" "/>
    <s v="Ativo"/>
    <s v="CONSULTOR DE VENDAS"/>
    <x v="8"/>
    <s v="LJITG"/>
  </r>
  <r>
    <n v="131226"/>
    <s v="MAIKE DE OLIVEIRA SANT ANA"/>
    <s v="Diretoria Seminovos"/>
    <s v="RSRIO - Regional Seminovos Varejo Rio de Janeiro"/>
    <s v="LJDUQ - Vendas Varejo Seminovos Duque de Caxias"/>
    <s v="OTAVIO BARREIRA DE ARAUJO SOUSA"/>
    <s v="NEGATIVO"/>
    <d v="1899-12-30T22:22:00"/>
    <d v="1899-12-30T22:22:00"/>
    <d v="1899-12-30T00:00:00"/>
    <s v=" "/>
    <d v="1899-12-30T09:56:00"/>
    <d v="1899-12-30T12:26:00"/>
    <s v=" "/>
    <s v=" "/>
    <s v=" "/>
    <s v=" "/>
    <s v=" "/>
    <s v=" "/>
    <s v=" "/>
    <s v=" "/>
    <s v=" "/>
    <s v="Contrato de Trabalho Suspenso"/>
    <s v="CONSULTOR DE VENDAS"/>
    <x v="8"/>
    <s v="LJDUQ"/>
  </r>
  <r>
    <n v="122842"/>
    <s v="MANOEL MAGANO FARIAS"/>
    <s v="Diretoria Seminovos"/>
    <s v="RSRIO - Regional Seminovos Varejo Rio de Janeiro"/>
    <s v="LJRJB - Vendas Varejo Seminovos RJ Avenida Brasil"/>
    <s v="MARLON CESAR RIBEIRO DE LIMA"/>
    <s v="NEGATIVO"/>
    <d v="1900-01-09T11:32:00"/>
    <d v="1900-01-09T11:32:00"/>
    <d v="1899-12-30T00:00:00"/>
    <s v=" "/>
    <d v="1900-01-01T18:24:00"/>
    <d v="1900-01-06T17:08:00"/>
    <s v=" "/>
    <s v=" "/>
    <s v=" "/>
    <s v=" "/>
    <s v=" "/>
    <s v=" "/>
    <s v=" "/>
    <s v=" "/>
    <s v=" "/>
    <s v="Contrato de Trabalho Suspenso"/>
    <s v="CONSULTOR DE VENDAS"/>
    <x v="8"/>
    <s v="LJRJB"/>
  </r>
  <r>
    <n v="135803"/>
    <s v="MARCELO BOUSQUET DE ARAUJO"/>
    <s v="Diretoria Seminovos"/>
    <s v="RSRIO - Regional Seminovos Varejo Rio de Janeiro"/>
    <s v="LJRIO - Vendas Varejo Seminovos Rio de Janeiro"/>
    <s v="LEONARDO MATOS MOURA CAMPOS"/>
    <s v="NEGATIVO"/>
    <d v="1899-12-30T02:24:00"/>
    <d v="1899-12-30T02:24:00"/>
    <d v="1899-12-30T00:00:00"/>
    <s v=" "/>
    <s v=" "/>
    <d v="1899-12-30T00:41:00"/>
    <s v=" "/>
    <s v=" "/>
    <s v=" "/>
    <s v=" "/>
    <s v=" "/>
    <s v=" "/>
    <s v=" "/>
    <s v=" "/>
    <s v=" "/>
    <s v="Ativo"/>
    <s v="CONSULTOR DE VENDAS"/>
    <x v="8"/>
    <s v="LJRIO"/>
  </r>
  <r>
    <n v="130584"/>
    <s v="MARGARIDA SOUZA D IPOLITO"/>
    <s v="Diretoria Seminovos"/>
    <s v="RSRIO - Regional Seminovos Varejo Rio de Janeiro"/>
    <s v="LJNIT - Loja Seminovos Niterói"/>
    <s v="FELIPE REIS BARGIELA"/>
    <s v="NEGATIVO"/>
    <d v="1899-12-30T04:42:00"/>
    <d v="1899-12-30T04:42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8"/>
    <s v="LJNIT"/>
  </r>
  <r>
    <n v="124160"/>
    <s v="MARCELO DA COSTA BRITTO"/>
    <s v="Diretoria Seminovos"/>
    <s v="RSRIO - Regional Seminovos Varejo Rio de Janeiro"/>
    <s v="LJNIG - Vendas Varejo Seminovos Nova Iguaçu"/>
    <s v="TABAJARA ALVARO MENDONCA ALVARES"/>
    <s v="NEGATIVO"/>
    <d v="1899-12-30T01:36:00"/>
    <d v="1899-12-30T01:36:00"/>
    <d v="1899-12-30T00:00:00"/>
    <d v="1899-12-30T11:36:00"/>
    <s v=" "/>
    <d v="1899-12-30T07:12:00"/>
    <s v=" "/>
    <s v=" "/>
    <s v=" "/>
    <s v=" "/>
    <s v=" "/>
    <s v=" "/>
    <s v=" "/>
    <s v=" "/>
    <s v=" "/>
    <s v="Ativo"/>
    <s v="CONSULTOR DE VENDAS"/>
    <x v="8"/>
    <s v="LJNIG"/>
  </r>
  <r>
    <n v="133564"/>
    <s v="MARCIO LUIZ DOS SANTOS MOREIRA"/>
    <s v="Diretoria Seminovos"/>
    <s v="RSRIO - Regional Seminovos Varejo Rio de Janeiro"/>
    <s v="LJITG - Vendas Varejo Seminovos Itaguai"/>
    <s v="ANA PAULA DOS SANTOS BATISTA"/>
    <s v="NEGATIVO"/>
    <d v="1899-12-30T02:45:00"/>
    <d v="1899-12-30T02:45:00"/>
    <d v="1899-12-30T00:00:00"/>
    <s v=" "/>
    <s v=" "/>
    <s v=" "/>
    <d v="1899-12-30T04:26:00"/>
    <s v=" "/>
    <s v=" "/>
    <s v=" "/>
    <s v=" "/>
    <s v=" "/>
    <s v=" "/>
    <s v=" "/>
    <s v=" "/>
    <s v="Ativo"/>
    <s v="CONSULTOR DE VENDAS"/>
    <x v="8"/>
    <s v="LJITG"/>
  </r>
  <r>
    <n v="136168"/>
    <s v="MAURICIO FERREIRA SANTOS FLORET"/>
    <s v="Diretoria Seminovos"/>
    <s v="RSRIO - Regional Seminovos Varejo Rio de Janeiro"/>
    <s v="LJROS - Vendas Varejo Seminovos Rio das Ostras"/>
    <s v="STEFANO ZELAYA CORREIA"/>
    <s v="NEGATIVO"/>
    <d v="1899-12-31T13:31:00"/>
    <d v="1899-12-31T13:31:00"/>
    <d v="1899-12-30T00:00:00"/>
    <s v=" "/>
    <s v=" "/>
    <d v="1899-12-31T12:13:00"/>
    <d v="1899-12-30T01:18:00"/>
    <s v=" "/>
    <s v=" "/>
    <s v=" "/>
    <s v=" "/>
    <s v=" "/>
    <s v=" "/>
    <s v=" "/>
    <s v=" "/>
    <s v="Ativo"/>
    <s v="CONSULTOR DE VENDAS"/>
    <x v="8"/>
    <s v="LJROS"/>
  </r>
  <r>
    <n v="114135"/>
    <s v="MICHELLY FERREIRA BASTOS DE ALCANTARA"/>
    <s v="Diretoria Seminovos"/>
    <s v="RSRIO - Regional Seminovos Varejo Rio de Janeiro"/>
    <s v="LJRJB - Vendas Varejo Seminovos RJ Avenida Brasil"/>
    <s v="MARLON CESAR RIBEIRO DE LIMA"/>
    <s v="NEGATIVO"/>
    <d v="1899-12-30T18:55:00"/>
    <d v="1899-12-30T18:55:00"/>
    <d v="1899-12-30T00:00:00"/>
    <s v=" "/>
    <s v=" "/>
    <d v="1899-12-30T18:55:00"/>
    <s v=" "/>
    <s v=" "/>
    <s v=" "/>
    <s v=" "/>
    <s v=" "/>
    <s v=" "/>
    <s v=" "/>
    <s v=" "/>
    <s v=" "/>
    <s v="Ativo"/>
    <s v="CONSULTOR DE VENDAS"/>
    <x v="8"/>
    <s v="LJRJB"/>
  </r>
  <r>
    <n v="135983"/>
    <s v="NATHALIA AMARO FERREIRA DO VALE MAGALHAES"/>
    <s v="Diretoria Seminovos"/>
    <s v="RSRIO - Regional Seminovos Varejo Rio de Janeiro"/>
    <s v="LJROS - Vendas Varejo Seminovos Rio das Ostras"/>
    <s v="STEFANO ZELAYA CORREIA"/>
    <s v="NEGATIVO"/>
    <d v="1899-12-31T14:03:00"/>
    <d v="1899-12-31T14:03:00"/>
    <d v="1899-12-30T00:00:00"/>
    <s v=" "/>
    <s v=" "/>
    <d v="1899-12-31T04:16:00"/>
    <d v="1899-12-30T09:47:00"/>
    <s v=" "/>
    <s v=" "/>
    <s v=" "/>
    <s v=" "/>
    <s v=" "/>
    <s v=" "/>
    <s v=" "/>
    <s v=" "/>
    <s v="Ativo"/>
    <s v="CONSULTOR DE VENDAS"/>
    <x v="8"/>
    <s v="LJROS"/>
  </r>
  <r>
    <n v="130861"/>
    <s v="RAFAEL DE JESUS DOMINGOS"/>
    <s v="Diretoria Seminovos"/>
    <s v="RSRIO - Regional Seminovos Varejo Rio de Janeiro"/>
    <s v="LJUPB - Vendas Varejo Seminovos Up Town Barra"/>
    <s v="THIAGO HENRIQUE MELO FERREIRA"/>
    <s v="NEGATIVO"/>
    <d v="1899-12-30T07:30:00"/>
    <d v="1899-12-30T07:30:00"/>
    <d v="1899-12-30T00:00:00"/>
    <s v=" "/>
    <s v=" "/>
    <s v=" "/>
    <d v="1899-12-30T04:50:00"/>
    <s v=" "/>
    <s v=" "/>
    <s v=" "/>
    <s v=" "/>
    <s v=" "/>
    <s v=" "/>
    <s v=" "/>
    <s v=" "/>
    <s v="Ativo"/>
    <s v="CONSULTOR DE VENDAS"/>
    <x v="8"/>
    <s v="LJUPB"/>
  </r>
  <r>
    <n v="503332"/>
    <s v="RAFAEL SOARES DA POCA"/>
    <s v="Diretoria Seminovos"/>
    <s v="RSRIO - Regional Seminovos Varejo Rio de Janeiro"/>
    <s v="LJITD - Vendas Varejo Seminovos Intendente"/>
    <s v="MARCIO PEREIRA NASCIMENTO FILHO"/>
    <s v="NEGATIVO"/>
    <d v="1899-12-30T03:49:00"/>
    <d v="1899-12-30T03:49:00"/>
    <d v="1899-12-30T00:00:00"/>
    <s v=" "/>
    <s v=" "/>
    <d v="1899-12-30T04:21:00"/>
    <d v="1899-12-30T07:15:00"/>
    <s v=" "/>
    <s v=" "/>
    <s v=" "/>
    <s v=" "/>
    <s v=" "/>
    <s v=" "/>
    <s v=" "/>
    <s v=" "/>
    <s v="Ativo"/>
    <s v="CONSULTOR DE VENDAS"/>
    <x v="8"/>
    <s v="LJITD"/>
  </r>
  <r>
    <n v="130859"/>
    <s v="RICARDO DOS SANTOS GRIJO SOUZA"/>
    <s v="Diretoria Seminovos"/>
    <s v="RSRIO - Regional Seminovos Varejo Rio de Janeiro"/>
    <s v="LJUPB - Vendas Varejo Seminovos Up Town Barra"/>
    <s v="THIAGO HENRIQUE MELO FERREIRA"/>
    <s v="NEGATIVO"/>
    <d v="1900-01-12T00:23:00"/>
    <d v="1900-01-12T00:23:00"/>
    <d v="1899-12-30T00:00:00"/>
    <s v=" "/>
    <d v="1900-01-07T08:48:00"/>
    <d v="1900-01-03T15:35:00"/>
    <s v=" "/>
    <s v=" "/>
    <s v=" "/>
    <s v=" "/>
    <s v=" "/>
    <s v=" "/>
    <s v=" "/>
    <s v=" "/>
    <s v=" "/>
    <s v="Ativo"/>
    <s v="CONSULTOR DE VENDAS"/>
    <x v="8"/>
    <s v="LJUPB"/>
  </r>
  <r>
    <n v="132238"/>
    <s v="RODRIGO EDUARDO ALVES DE OLIVEIRA"/>
    <s v="Diretoria Seminovos"/>
    <s v="RSRIO - Regional Seminovos Varejo Rio de Janeiro"/>
    <s v="LJUPB - Vendas Varejo Seminovos Up Town Barra"/>
    <s v="THIAGO HENRIQUE MELO FERREIRA"/>
    <s v="NEGATIVO"/>
    <d v="1900-01-09T08:50:00"/>
    <d v="1900-01-09T08:50:00"/>
    <d v="1899-12-30T00:00:00"/>
    <s v=" "/>
    <s v=" "/>
    <s v=" "/>
    <s v=" "/>
    <d v="1900-01-08T14:20:00"/>
    <d v="1899-12-30T18:30:00"/>
    <s v=" "/>
    <s v=" "/>
    <s v=" "/>
    <s v=" "/>
    <s v=" "/>
    <s v=" "/>
    <s v="Contrato de Trabalho Suspenso"/>
    <s v="CONSULTOR DE VENDAS"/>
    <x v="8"/>
    <s v="LJUPB"/>
  </r>
  <r>
    <n v="502898"/>
    <s v="ROGERIO ALVES DE AGUIAR LIMA"/>
    <s v="Diretoria Seminovos"/>
    <s v="RSRIO - Regional Seminovos Varejo Rio de Janeiro"/>
    <s v="LJCGD - Vendas Varejo Seminovos Campo Grande Rj"/>
    <s v="FABIO PINTO PEREZ"/>
    <s v="NEGATIVO"/>
    <d v="1899-12-31T12:38:00"/>
    <d v="1899-12-31T12:38:00"/>
    <d v="1899-12-30T00:00:00"/>
    <s v=" "/>
    <s v=" "/>
    <s v=" "/>
    <d v="1899-12-30T11:15:00"/>
    <s v=" "/>
    <s v=" "/>
    <s v=" "/>
    <s v=" "/>
    <s v=" "/>
    <s v=" "/>
    <s v=" "/>
    <s v=" "/>
    <s v="Ativo"/>
    <s v="CONSULTOR DE VENDAS"/>
    <x v="8"/>
    <s v="LJCGD"/>
  </r>
  <r>
    <n v="125194"/>
    <s v="VANIELLE DOS SANTOS LIRA"/>
    <s v="Diretoria Seminovos"/>
    <s v="RSRIO - Regional Seminovos Varejo Rio de Janeiro"/>
    <s v="LJITG - Vendas Varejo Seminovos Itaguai"/>
    <s v="ANA PAULA DOS SANTOS BATISTA"/>
    <s v="NEGATIVO"/>
    <d v="1899-12-31T23:50:00"/>
    <d v="1899-12-31T23:50:00"/>
    <d v="1899-12-30T00:00:00"/>
    <d v="1899-12-30T05:57:00"/>
    <d v="1899-12-30T02:23:00"/>
    <d v="1899-12-31T00:50:00"/>
    <d v="1899-12-30T14:06:00"/>
    <s v=" "/>
    <s v=" "/>
    <s v=" "/>
    <s v=" "/>
    <s v=" "/>
    <s v=" "/>
    <s v=" "/>
    <s v=" "/>
    <s v="Ativo"/>
    <s v="CONSULTOR DE VENDAS"/>
    <x v="8"/>
    <s v="LJITG"/>
  </r>
  <r>
    <n v="130374"/>
    <s v="VINICIUS OLIVEIRA DE ANDRADE"/>
    <s v="Diretoria Seminovos"/>
    <s v="RSRIO - Regional Seminovos Varejo Rio de Janeiro"/>
    <s v="LJDUQ - Vendas Varejo Seminovos Duque de Caxias"/>
    <s v="OTAVIO BARREIRA DE ARAUJO SOUSA"/>
    <s v="NEGATIVO"/>
    <d v="1899-12-30T23:22:00"/>
    <d v="1899-12-30T23:22:00"/>
    <d v="1899-12-30T00:00:00"/>
    <d v="1899-12-30T14:56:00"/>
    <s v=" "/>
    <d v="1899-12-30T07:12:00"/>
    <s v=" "/>
    <s v=" "/>
    <s v=" "/>
    <s v=" "/>
    <s v=" "/>
    <s v=" "/>
    <s v=" "/>
    <s v=" "/>
    <s v=" "/>
    <s v="Ativo"/>
    <s v="CONSULTOR DE VENDAS"/>
    <x v="8"/>
    <s v="LJDUQ"/>
  </r>
  <r>
    <n v="136514"/>
    <s v="VITOR PEREIRA FARIA"/>
    <s v="Diretoria Seminovos"/>
    <s v="RSRIO - Regional Seminovos Varejo Rio de Janeiro"/>
    <s v="LJRJB - Vendas Varejo Seminovos RJ Avenida Brasil"/>
    <s v="MARLON CESAR RIBEIRO DE LIMA"/>
    <s v="NEGATIVO"/>
    <d v="1899-12-30T19:47:00"/>
    <d v="1899-12-30T19:47:00"/>
    <d v="1899-12-30T00:00:00"/>
    <s v=" "/>
    <d v="1899-12-30T10:53:00"/>
    <d v="1899-12-30T08:54:00"/>
    <s v=" "/>
    <s v=" "/>
    <s v=" "/>
    <s v=" "/>
    <s v=" "/>
    <s v=" "/>
    <s v=" "/>
    <s v=" "/>
    <s v=" "/>
    <s v="Ativo"/>
    <s v="CONSULTOR DE VENDAS"/>
    <x v="8"/>
    <s v="LJRJB"/>
  </r>
  <r>
    <n v="122847"/>
    <s v="WAGNER DA SILVA PINHO"/>
    <s v="Diretoria Seminovos"/>
    <s v="RSRIO - Regional Seminovos Varejo Rio de Janeiro"/>
    <s v="LJRJB - Vendas Varejo Seminovos RJ Avenida Brasil"/>
    <s v="MARLON CESAR RIBEIRO DE LIMA"/>
    <s v="NEGATIVO"/>
    <d v="1899-12-30T02:01:00"/>
    <d v="1899-12-30T02:01:00"/>
    <d v="1899-12-30T00:00:00"/>
    <s v=" "/>
    <s v=" "/>
    <d v="1899-12-30T02:01:00"/>
    <s v=" "/>
    <s v=" "/>
    <s v=" "/>
    <s v=" "/>
    <s v=" "/>
    <s v=" "/>
    <s v=" "/>
    <s v=" "/>
    <s v=" "/>
    <s v="Ativo"/>
    <s v="CONSULTOR DE VENDAS"/>
    <x v="8"/>
    <s v="LJRJB"/>
  </r>
  <r>
    <n v="134611"/>
    <s v="WAGNER QUEIROZ LUIZ"/>
    <s v="Diretoria Seminovos"/>
    <s v="RSRIO - Regional Seminovos Varejo Rio de Janeiro"/>
    <s v="LJDUQ - Vendas Varejo Seminovos Duque de Caxias"/>
    <s v="OTAVIO BARREIRA DE ARAUJO SOUSA"/>
    <s v="NEGATIVO"/>
    <d v="1899-12-30T04:42:00"/>
    <d v="1899-12-30T04:42:00"/>
    <d v="1899-12-30T00:00:00"/>
    <s v=" "/>
    <s v=" "/>
    <d v="1899-12-30T07:29:00"/>
    <s v=" "/>
    <s v=" "/>
    <s v=" "/>
    <s v=" "/>
    <s v=" "/>
    <s v=" "/>
    <s v=" "/>
    <s v=" "/>
    <s v=" "/>
    <s v="Ativo"/>
    <s v="CONSULTOR DE VENDAS"/>
    <x v="8"/>
    <s v="LJDUQ"/>
  </r>
  <r>
    <n v="500294"/>
    <s v="ADEMIR FERREIRA DE ASSUNCAO"/>
    <s v="Diretoria Seminovos"/>
    <s v="RSSAO  - Regional Seminovos Varejo São Paulo"/>
    <s v="LJSAO - Loja Seminovos São Paulo"/>
    <s v="MARCOS ELISEU JAHRMANN"/>
    <s v="NEGATIVO"/>
    <d v="1899-12-31T21:32:00"/>
    <d v="1899-12-31T21:32:00"/>
    <d v="1899-12-30T00:00:00"/>
    <s v=" "/>
    <s v=" "/>
    <s v=" "/>
    <s v=" "/>
    <s v=" "/>
    <s v=" "/>
    <s v=" "/>
    <s v=" "/>
    <d v="1899-12-30T03:02:00"/>
    <d v="1899-12-31T16:37:00"/>
    <d v="1899-12-30T01:53:00"/>
    <s v=" "/>
    <s v="Contrato de Trabalho Suspenso"/>
    <s v="HIGIENIZADOR DE CARROS"/>
    <x v="9"/>
    <s v="LJSAO"/>
  </r>
  <r>
    <n v="120809"/>
    <s v="ALBANITA VIEIRA GOMES CARRAMAO"/>
    <s v="Diretoria Seminovos"/>
    <s v="RSSAO  - Regional Seminovos Varejo São Paulo"/>
    <s v="LJSPP - Loja Seminovos Penha"/>
    <s v="FERNANDO CARDOSO DA SILVA FILHO"/>
    <s v="NEGATIVO"/>
    <d v="1899-12-30T11:32:00"/>
    <d v="1899-12-30T11:32:00"/>
    <d v="1899-12-30T00:00:00"/>
    <s v=" "/>
    <s v=" "/>
    <s v=" "/>
    <s v=" "/>
    <s v=" "/>
    <s v=" "/>
    <d v="1899-12-30T01:00:00"/>
    <s v=" "/>
    <d v="1899-12-30T10:32:00"/>
    <s v=" "/>
    <s v=" "/>
    <s v=" "/>
    <s v="Ativo"/>
    <s v="AUX. DE SERVICOS GERAIS - DIRCS"/>
    <x v="9"/>
    <s v="LJSPP"/>
  </r>
  <r>
    <n v="124554"/>
    <s v="ALBERTINA SOARES DE MEDEIROS"/>
    <s v="Diretoria Seminovos"/>
    <s v="RSSAO  - Regional Seminovos Varejo São Paulo"/>
    <s v="LJSPP - Loja Seminovos Penha"/>
    <s v="FERNANDO CARDOSO DA SILVA FILHO"/>
    <s v="NEGATIVO"/>
    <d v="1899-12-30T15:00:00"/>
    <d v="1899-12-30T15:00:00"/>
    <d v="1899-12-30T00:00:00"/>
    <s v=" "/>
    <s v=" "/>
    <s v=" "/>
    <s v=" "/>
    <s v=" "/>
    <s v=" "/>
    <s v=" "/>
    <s v=" "/>
    <s v=" "/>
    <s v=" "/>
    <s v=" "/>
    <d v="1899-12-30T15:00:00"/>
    <s v="Ativo"/>
    <s v="AUX. DE SERVICOS GERAIS - DIRCS"/>
    <x v="9"/>
    <s v="LJSPP"/>
  </r>
  <r>
    <n v="133747"/>
    <s v="ANA PAULA BARBOSA"/>
    <s v="Diretoria Seminovos"/>
    <s v="RSSAO  - Regional Seminovos Varejo São Paulo"/>
    <s v="LJENC - Loja Seminovos Nova Engenheiro Caetano Alvares"/>
    <s v="LUCIANO ANTONIALLI"/>
    <s v="NEGATIVO"/>
    <d v="1899-12-30T12:44:00"/>
    <d v="1899-12-30T12:44:00"/>
    <d v="1899-12-30T00:00:00"/>
    <s v=" "/>
    <s v=" "/>
    <s v=" "/>
    <s v=" "/>
    <s v=" "/>
    <s v=" "/>
    <s v=" "/>
    <s v=" "/>
    <s v=" "/>
    <s v=" "/>
    <d v="1899-12-30T04:23:00"/>
    <d v="1899-12-30T09:58:00"/>
    <s v="Ativo"/>
    <s v="AUX. DE SERVICOS GERAIS - DIRCS"/>
    <x v="9"/>
    <s v="LJENC"/>
  </r>
  <r>
    <n v="134669"/>
    <s v="ANDREIA CAVALCANTE"/>
    <s v="Diretoria Seminovos"/>
    <s v="RSSAO  - Regional Seminovos Varejo São Paulo"/>
    <s v="LJNAU - Loja Seminovos Nações Unidas"/>
    <s v="DANIEL RODRIGUES CARDOZO DOS SANTOS JUNIOR"/>
    <s v="NEGATIVO"/>
    <d v="1899-12-30T04:52:00"/>
    <d v="1899-12-30T04:52:00"/>
    <d v="1899-12-30T00:00:00"/>
    <s v=" "/>
    <s v=" "/>
    <s v=" "/>
    <s v=" "/>
    <s v=" "/>
    <s v=" "/>
    <s v=" "/>
    <d v="1899-12-30T00:52:00"/>
    <d v="1899-12-30T04:00:00"/>
    <s v=" "/>
    <s v=" "/>
    <s v=" "/>
    <s v="Ativo"/>
    <s v="AUX. DE SERVICOS GERAIS - DIRCS"/>
    <x v="9"/>
    <s v="LJNAU"/>
  </r>
  <r>
    <n v="129948"/>
    <s v="ANTONIO VIEIRA DE ALENCAR"/>
    <s v="Diretoria Seminovos"/>
    <s v="RSSAO  - Regional Seminovos Varejo São Paulo"/>
    <s v="LJSPP - Loja Seminovos Penha"/>
    <s v="FERNANDO CARDOSO DA SILVA FILHO"/>
    <s v="NEGATIVO"/>
    <d v="1900-01-07T15:34:00"/>
    <d v="1900-01-07T15:34:00"/>
    <d v="1899-12-30T00:00:00"/>
    <s v=" "/>
    <s v=" "/>
    <s v=" "/>
    <s v=" "/>
    <s v=" "/>
    <s v=" "/>
    <s v=" "/>
    <s v=" "/>
    <d v="1899-12-30T04:09:00"/>
    <d v="1900-01-03T10:37:00"/>
    <d v="1900-01-02T07:12:00"/>
    <d v="1899-12-30T17:36:00"/>
    <s v="Ativo"/>
    <s v="HIGIENIZADOR DE CARROS"/>
    <x v="9"/>
    <s v="LJSPP"/>
  </r>
  <r>
    <n v="121964"/>
    <s v="BRUNO AMORIM DE ARRUDA CAMPOS"/>
    <s v="Diretoria Seminovos"/>
    <s v="RSSAO  - Regional Seminovos Varejo São Paulo"/>
    <s v="LJNAU - Loja Seminovos Nações Unidas"/>
    <s v="DANIEL RODRIGUES CARDOZO DOS SANTOS JUNIOR"/>
    <s v="NEGATIVO"/>
    <d v="1899-12-30T13:45:00"/>
    <d v="1899-12-30T13:45:00"/>
    <d v="1899-12-30T00:00:00"/>
    <s v=" "/>
    <s v=" "/>
    <s v=" "/>
    <s v=" "/>
    <s v=" "/>
    <s v=" "/>
    <s v=" "/>
    <s v=" "/>
    <d v="1899-12-30T05:45:00"/>
    <d v="1899-12-30T08:00:00"/>
    <s v=" "/>
    <s v=" "/>
    <s v="Ativo"/>
    <s v="HIGIENIZADOR DE CARROS"/>
    <x v="9"/>
    <s v="LJNAU"/>
  </r>
  <r>
    <n v="133032"/>
    <s v="CELUTA VIRGEM SIQUEIRA"/>
    <s v="Diretoria Seminovos"/>
    <s v="RSSAO  - Regional Seminovos Varejo São Paulo"/>
    <s v="LJNAU - Loja Seminovos Nações Unidas"/>
    <s v="DANIEL RODRIGUES CARDOZO DOS SANTOS JUNIOR"/>
    <s v="NEGATIVO"/>
    <d v="1899-12-30T00:35:00"/>
    <d v="1899-12-30T00:35:00"/>
    <d v="1899-12-30T00:00:00"/>
    <s v=" "/>
    <s v=" "/>
    <s v=" "/>
    <s v=" "/>
    <s v=" "/>
    <s v=" "/>
    <s v=" "/>
    <s v=" "/>
    <d v="1899-12-30T00:35:00"/>
    <s v=" "/>
    <s v=" "/>
    <s v=" "/>
    <s v="Ativo"/>
    <s v="ADMINISTRATIVO I - FILIAL"/>
    <x v="9"/>
    <s v="LJNAU"/>
  </r>
  <r>
    <n v="129718"/>
    <s v="CHRYSTIAN MALTA DA SILVA VESCO"/>
    <s v="Diretoria Seminovos"/>
    <s v="RSSAO  - Regional Seminovos Varejo São Paulo"/>
    <s v="LJPRI - Loja Seminovos Prime"/>
    <s v="LUCIANO ANTONIALLI"/>
    <s v="NEGATIVO"/>
    <d v="1900-01-08T05:05:00"/>
    <d v="1900-01-08T05:05:00"/>
    <d v="1899-12-30T00:00:00"/>
    <s v=" "/>
    <s v=" "/>
    <s v=" "/>
    <s v=" "/>
    <s v=" "/>
    <s v=" "/>
    <s v=" "/>
    <s v=" "/>
    <d v="1899-12-30T15:39:00"/>
    <d v="1899-12-30T08:00:00"/>
    <d v="1900-01-07T00:00:00"/>
    <d v="1899-12-30T05:26:00"/>
    <s v="Ativo"/>
    <s v="HIGIENIZADOR DE CARROS"/>
    <x v="9"/>
    <s v="LJPRI"/>
  </r>
  <r>
    <n v="135800"/>
    <s v="CLEBER DE JESUS SANTOS"/>
    <s v="Diretoria Seminovos"/>
    <s v="RSSAO  - Regional Seminovos Varejo São Paulo"/>
    <s v="LJLEP - Loja Seminovos Vila Leopoldina"/>
    <s v="RENIVALDO GONCALVES DO NASCIMENTO"/>
    <s v="NEGATIVO"/>
    <d v="1899-12-30T10:06:00"/>
    <d v="1899-12-30T10:06:00"/>
    <d v="1899-12-30T00:00:00"/>
    <s v=" "/>
    <s v=" "/>
    <s v=" "/>
    <s v=" "/>
    <s v=" "/>
    <s v=" "/>
    <s v=" "/>
    <s v=" "/>
    <s v=" "/>
    <d v="1899-12-30T10:06:00"/>
    <s v=" "/>
    <s v=" "/>
    <s v="Ativo"/>
    <s v="HIGIENIZADOR DE CARROS"/>
    <x v="9"/>
    <s v="LJLEP"/>
  </r>
  <r>
    <n v="134640"/>
    <s v="DAVI RODRIGUES DA SILVA"/>
    <s v="Diretoria Seminovos"/>
    <s v="RSSAO  - Regional Seminovos Varejo São Paulo"/>
    <s v="LJNAU - Loja Seminovos Nações Unidas"/>
    <s v="DANIEL RODRIGUES CARDOZO DOS SANTOS JUNIOR"/>
    <s v="NEGATIVO"/>
    <d v="1899-12-30T09:35:00"/>
    <d v="1899-12-30T09:35:00"/>
    <d v="1899-12-30T00:00:00"/>
    <s v=" "/>
    <s v=" "/>
    <s v=" "/>
    <s v=" "/>
    <s v=" "/>
    <s v=" "/>
    <s v=" "/>
    <s v=" "/>
    <d v="1899-12-30T01:35:00"/>
    <d v="1899-12-30T08:00:00"/>
    <s v=" "/>
    <s v=" "/>
    <s v="Ativo"/>
    <s v="HIGIENIZADOR DE CARROS"/>
    <x v="9"/>
    <s v="LJNAU"/>
  </r>
  <r>
    <n v="130573"/>
    <s v="DOUGLAS FONTANA DE LIMA"/>
    <s v="Diretoria Seminovos"/>
    <s v="RSSAO  - Regional Seminovos Varejo São Paulo"/>
    <s v="LJCTN - Loja Seminovos Center Norte"/>
    <s v="MARCOS CAZARINI"/>
    <s v="NEGATIVO"/>
    <d v="1899-12-30T16:00:00"/>
    <d v="1899-12-30T16:00:00"/>
    <d v="1899-12-30T00:00:00"/>
    <s v=" "/>
    <s v=" "/>
    <s v=" "/>
    <s v=" "/>
    <s v=" "/>
    <s v=" "/>
    <s v=" "/>
    <s v=" "/>
    <s v=" "/>
    <s v=" "/>
    <d v="1899-12-30T16:00:00"/>
    <s v=" "/>
    <s v="Ativo"/>
    <s v="HIGIENIZADOR DE CARROS"/>
    <x v="9"/>
    <s v="LJCTN"/>
  </r>
  <r>
    <n v="132954"/>
    <s v="EZEQUIEL BANDEIRA COIMBRA"/>
    <s v="Diretoria Seminovos"/>
    <s v="RSSAO  - Regional Seminovos Varejo São Paulo"/>
    <s v="LJCTN - Loja Seminovos Center Norte"/>
    <s v="MARCOS CAZARINI"/>
    <s v="NEGATIVO"/>
    <d v="1900-01-01T04:13:00"/>
    <d v="1900-01-01T04:13:00"/>
    <d v="1899-12-30T00:00:00"/>
    <s v=" "/>
    <s v=" "/>
    <s v=" "/>
    <s v=" "/>
    <s v=" "/>
    <s v=" "/>
    <s v=" "/>
    <d v="1900-01-01T03:49:00"/>
    <s v=" "/>
    <s v=" "/>
    <s v=" "/>
    <d v="1899-12-30T00:24:00"/>
    <s v="Ativo"/>
    <s v="ADMINISTRATIVO I - FILIAL"/>
    <x v="9"/>
    <s v="LJCTN"/>
  </r>
  <r>
    <n v="130838"/>
    <s v="FABIO DE ASSIS CARRAMAO"/>
    <s v="Diretoria Seminovos"/>
    <s v="RSSAO  - Regional Seminovos Varejo São Paulo"/>
    <s v="LJCTN - Loja Seminovos Center Norte"/>
    <s v="MARCOS CAZARINI"/>
    <s v="NEGATIVO"/>
    <d v="1899-12-31T06:46:00"/>
    <d v="1899-12-31T06:46:00"/>
    <d v="1899-12-30T00:00:00"/>
    <s v=" "/>
    <s v=" "/>
    <s v=" "/>
    <s v=" "/>
    <s v=" "/>
    <s v=" "/>
    <s v=" "/>
    <s v=" "/>
    <d v="1899-12-30T06:46:00"/>
    <d v="1899-12-30T08:00:00"/>
    <d v="1899-12-30T16:00:00"/>
    <s v=" "/>
    <s v="Ativo"/>
    <s v="HIGIENIZADOR DE CARROS"/>
    <x v="9"/>
    <s v="LJCTN"/>
  </r>
  <r>
    <n v="502582"/>
    <s v="FRANCISCO ERNESTO PINHEIRO SOARES"/>
    <s v="Diretoria Seminovos"/>
    <s v="RSSAO  - Regional Seminovos Varejo São Paulo"/>
    <s v="LJSAM - Loja Seminovos Santo Amaro"/>
    <s v="RENIVALDO GONCALVES DO NASCIMENTO"/>
    <s v="NEGATIVO"/>
    <d v="1899-12-30T15:40:00"/>
    <d v="1899-12-30T15:40:00"/>
    <d v="1899-12-30T00:00:00"/>
    <s v=" "/>
    <s v=" "/>
    <s v=" "/>
    <s v=" "/>
    <s v=" "/>
    <s v=" "/>
    <s v=" "/>
    <s v=" "/>
    <s v=" "/>
    <s v=" "/>
    <d v="1899-12-30T04:53:00"/>
    <d v="1899-12-30T11:57:00"/>
    <s v="Ativo"/>
    <s v="HIGIENIZADOR DE CARROS"/>
    <x v="9"/>
    <s v="LJSAM"/>
  </r>
  <r>
    <n v="120568"/>
    <s v="JOAO FRANCISCO BRITO DA CRUZ"/>
    <s v="Diretoria Seminovos"/>
    <s v="RSSAO  - Regional Seminovos Varejo São Paulo"/>
    <s v="LJSAO - Loja Seminovos São Paulo"/>
    <s v="MARCOS ELISEU JAHRMANN"/>
    <s v="NEGATIVO"/>
    <d v="1899-12-31T16:26:00"/>
    <d v="1899-12-31T16:26:00"/>
    <d v="1899-12-30T00:00:00"/>
    <s v=" "/>
    <s v=" "/>
    <s v=" "/>
    <s v=" "/>
    <s v=" "/>
    <s v=" "/>
    <s v=" "/>
    <s v=" "/>
    <s v=" "/>
    <d v="1899-12-31T05:23:00"/>
    <d v="1899-12-30T12:20:00"/>
    <d v="1899-12-30T00:59:00"/>
    <s v="Ativo"/>
    <s v="HIGIENIZADOR DE CARROS"/>
    <x v="9"/>
    <s v="LJSAO"/>
  </r>
  <r>
    <n v="129319"/>
    <s v="JOAO PAULO BENEDITO"/>
    <s v="Diretoria Seminovos"/>
    <s v="RSSAO  - Regional Seminovos Varejo São Paulo"/>
    <s v="LJRJF - Loja Seminovos Ricardo Jafet"/>
    <s v="GUILHERME COIMBRA GUIMARAES"/>
    <s v="NEGATIVO"/>
    <d v="1900-01-03T04:53:00"/>
    <d v="1900-01-03T04:53:00"/>
    <d v="1899-12-30T00:00:00"/>
    <s v=" "/>
    <s v=" "/>
    <s v=" "/>
    <s v=" "/>
    <s v=" "/>
    <s v=" "/>
    <s v=" "/>
    <s v=" "/>
    <s v=" "/>
    <d v="1899-12-31T10:15:00"/>
    <d v="1900-01-01T08:45:00"/>
    <d v="1899-12-30T07:26:00"/>
    <s v="Ativo"/>
    <s v="HIGIENIZADOR DE CARROS"/>
    <x v="9"/>
    <s v="LJRJF"/>
  </r>
  <r>
    <n v="500746"/>
    <s v="JOSE CARLOS CONCEICAO RAMOS"/>
    <s v="Diretoria Seminovos"/>
    <s v="RSSAO  - Regional Seminovos Varejo São Paulo"/>
    <s v="LJLPA - Loja Seminovos Lapa"/>
    <s v="BRUNO SILVEIRA KAESER"/>
    <s v="NEGATIVO"/>
    <d v="1900-01-11T00:06:00"/>
    <d v="1900-01-11T00:06:00"/>
    <d v="1899-12-30T00:00:00"/>
    <s v=" "/>
    <s v=" "/>
    <s v=" "/>
    <s v=" "/>
    <s v=" "/>
    <s v=" "/>
    <s v=" "/>
    <s v=" "/>
    <s v=" "/>
    <d v="1900-01-02T17:44:00"/>
    <d v="1900-01-07T05:50:00"/>
    <d v="1899-12-30T00:32:00"/>
    <s v="Ativo"/>
    <s v="HIGIENIZADOR DE CARROS"/>
    <x v="9"/>
    <s v="LJLPA"/>
  </r>
  <r>
    <n v="132284"/>
    <s v="JOSE ROMARIO PEREIRA VASCONCELOS"/>
    <s v="Diretoria Seminovos"/>
    <s v="RSSAO  - Regional Seminovos Varejo São Paulo"/>
    <s v="LJSPP - Loja Seminovos Penha"/>
    <s v="FERNANDO CARDOSO DA SILVA FILHO"/>
    <s v="NEGATIVO"/>
    <d v="1900-01-04T05:27:00"/>
    <d v="1900-01-04T05:27:00"/>
    <d v="1899-12-30T00:00:00"/>
    <s v=" "/>
    <s v=" "/>
    <s v=" "/>
    <s v=" "/>
    <s v=" "/>
    <s v=" "/>
    <s v=" "/>
    <s v=" "/>
    <d v="1899-12-30T01:14:00"/>
    <d v="1900-01-03T19:25:00"/>
    <d v="1899-12-30T08:48:00"/>
    <s v=" "/>
    <s v="Contrato de Trabalho Suspenso"/>
    <s v="HIGIENIZADOR DE CARROS"/>
    <x v="9"/>
    <s v="LJSPP"/>
  </r>
  <r>
    <n v="133466"/>
    <s v="KATE CRISTINA ALVES SILVA OLIVEIRA"/>
    <s v="Diretoria Seminovos"/>
    <s v="RSSAO  - Regional Seminovos Varejo São Paulo"/>
    <s v="LJSPP - Loja Seminovos Penha"/>
    <s v="FERNANDO CARDOSO DA SILVA FILHO"/>
    <s v="NEGATIVO"/>
    <d v="1900-01-01T06:26:00"/>
    <d v="1900-01-01T06:26:00"/>
    <d v="1899-12-30T00:00:00"/>
    <s v=" "/>
    <s v=" "/>
    <s v=" "/>
    <d v="1899-12-30T02:35:00"/>
    <d v="1899-12-30T10:36:00"/>
    <d v="1899-12-30T00:13:00"/>
    <d v="1899-12-30T04:32:00"/>
    <d v="1899-12-30T17:36:00"/>
    <d v="1899-12-30T18:54:00"/>
    <s v=" "/>
    <s v=" "/>
    <s v=" "/>
    <s v="Ativo"/>
    <s v="ADMINISTRATIVO I - FILIAL"/>
    <x v="9"/>
    <s v="LJSPP"/>
  </r>
  <r>
    <n v="133618"/>
    <s v="KLEBER CORREIA PAULO"/>
    <s v="Diretoria Seminovos"/>
    <s v="RSSAO  - Regional Seminovos Varejo São Paulo"/>
    <s v="LJSPN - Vendas Varejo Seminovos Vila Guilherme"/>
    <s v="ALAN GUARNIERI NUNES"/>
    <s v="NEGATIVO"/>
    <d v="1899-12-30T04:20:00"/>
    <d v="1899-12-30T04:20:00"/>
    <d v="1899-12-30T00:00:00"/>
    <s v=" "/>
    <s v=" "/>
    <s v=" "/>
    <s v=" "/>
    <s v=" "/>
    <s v=" "/>
    <s v=" "/>
    <s v=" "/>
    <s v=" "/>
    <s v=" "/>
    <d v="1899-12-30T02:07:00"/>
    <d v="1899-12-30T05:02:00"/>
    <s v="Ativo"/>
    <s v="CONSULTOR DE VENDAS"/>
    <x v="9"/>
    <s v="LJSPN"/>
  </r>
  <r>
    <n v="124977"/>
    <s v="MARCELO LEAL BIRACCHI PINTO"/>
    <s v="Diretoria Seminovos"/>
    <s v="RSSAO  - Regional Seminovos Varejo São Paulo"/>
    <s v="LJLEP - Loja Seminovos Vila Leopoldina"/>
    <s v="RENIVALDO GONCALVES DO NASCIMENTO"/>
    <s v="NEGATIVO"/>
    <d v="1899-12-30T02:37:00"/>
    <d v="1899-12-30T02:37:00"/>
    <d v="1899-12-30T00:00:00"/>
    <s v=" "/>
    <s v=" "/>
    <s v=" "/>
    <s v=" "/>
    <s v=" "/>
    <s v=" "/>
    <s v=" "/>
    <s v=" "/>
    <s v=" "/>
    <d v="1899-12-30T02:37:00"/>
    <s v=" "/>
    <s v=" "/>
    <s v="Contrato de Trabalho Suspenso"/>
    <s v="HIGIENIZADOR DE CARROS"/>
    <x v="9"/>
    <s v="LJLEP"/>
  </r>
  <r>
    <n v="122479"/>
    <s v="MARCIO ARAUJO DE SOUZA"/>
    <s v="Diretoria Seminovos"/>
    <s v="RSSAO  - Regional Seminovos Varejo São Paulo"/>
    <s v="LJSCM - Loja Seminovos Shopping Cidade Morumbi Sp"/>
    <s v="JOAO FELIPE DE BARROS BICUDO"/>
    <s v="NEGATIVO"/>
    <d v="1900-01-14T09:36:00"/>
    <d v="1900-01-14T09:36:00"/>
    <d v="1899-12-30T00:00:00"/>
    <s v=" "/>
    <s v=" "/>
    <s v=" "/>
    <s v=" "/>
    <s v=" "/>
    <s v=" "/>
    <s v=" "/>
    <s v=" "/>
    <s v=" "/>
    <d v="1900-01-06T08:00:00"/>
    <d v="1900-01-07T01:36:00"/>
    <s v=" "/>
    <s v="Ativo"/>
    <s v="HIGIENIZADOR DE CARROS"/>
    <x v="9"/>
    <s v="LJSCM"/>
  </r>
  <r>
    <n v="500680"/>
    <s v="MARIA ALVANEIDE DA SILVA"/>
    <s v="Diretoria Seminovos"/>
    <s v="RSSAO  - Regional Seminovos Varejo São Paulo"/>
    <s v="LJLPA - Loja Seminovos Lapa"/>
    <s v="BRUNO SILVEIRA KAESER"/>
    <s v="NEGATIVO"/>
    <d v="1899-12-31T00:28:00"/>
    <d v="1899-12-31T00:28:00"/>
    <d v="1899-12-30T00:00:00"/>
    <s v=" "/>
    <s v=" "/>
    <s v=" "/>
    <s v=" "/>
    <s v=" "/>
    <s v=" "/>
    <s v=" "/>
    <s v=" "/>
    <d v="1899-12-30T20:51:00"/>
    <s v=" "/>
    <s v=" "/>
    <d v="1899-12-30T03:37:00"/>
    <s v="Ativo"/>
    <s v="AUX. DE SERVICOS GERAIS - DIRCS"/>
    <x v="9"/>
    <s v="LJLPA"/>
  </r>
  <r>
    <n v="129986"/>
    <s v="ALEXANDRE DA SILVA PACIELLO"/>
    <s v="Diretoria Seminovos"/>
    <s v="RSSAO  - Regional Seminovos Varejo São Paulo"/>
    <s v="LJSAO - Vendas Varejo Seminovos São Paulo"/>
    <s v="MARCOS ELISEU JAHRMANN"/>
    <s v="NEGATIVO"/>
    <d v="1899-12-30T00:04:00"/>
    <d v="1899-12-30T00:04:00"/>
    <d v="1899-12-30T00:00:00"/>
    <s v=" "/>
    <s v=" "/>
    <s v=" "/>
    <s v=" "/>
    <s v=" "/>
    <s v=" "/>
    <s v=" "/>
    <s v=" "/>
    <s v=" "/>
    <s v=" "/>
    <s v=" "/>
    <d v="1899-12-30T00:54:00"/>
    <s v="Ativo"/>
    <s v="CONSULTOR DE VENDAS"/>
    <x v="9"/>
    <s v="LJSAO"/>
  </r>
  <r>
    <n v="503532"/>
    <s v="WELLINGTON WANDERLEY MARTINS CAMPOS"/>
    <s v="Diretoria Seminovos"/>
    <s v="RSSAO  - Regional Seminovos Varejo São Paulo"/>
    <s v="LJSPP - Vendas Varejo Seminovos Penha"/>
    <s v="FERNANDO CARDOSO DA SILVA FILHO"/>
    <s v="NEGATIVO"/>
    <d v="1899-12-30T01:19:00"/>
    <d v="1899-12-30T01:19:00"/>
    <d v="1899-12-30T00:00:00"/>
    <s v=" "/>
    <s v=" "/>
    <s v=" "/>
    <s v=" "/>
    <s v=" "/>
    <s v=" "/>
    <s v=" "/>
    <s v=" "/>
    <s v=" "/>
    <s v=" "/>
    <s v=" "/>
    <d v="1899-12-30T00:39:00"/>
    <s v="Ativo"/>
    <s v="CONSULTOR DE VENDAS"/>
    <x v="9"/>
    <s v="LJSPP"/>
  </r>
  <r>
    <n v="122004"/>
    <s v="NELSON CANDIDO DA SILVA FILHO"/>
    <s v="Diretoria Seminovos"/>
    <s v="RSSAO  - Regional Seminovos Varejo São Paulo"/>
    <s v="LJLPA - Loja Seminovos Lapa"/>
    <s v="BRUNO SILVEIRA KAESER"/>
    <s v="NEGATIVO"/>
    <d v="1900-01-02T05:17:00"/>
    <d v="1900-01-02T05:17:00"/>
    <d v="1899-12-30T00:00:00"/>
    <s v=" "/>
    <s v=" "/>
    <s v=" "/>
    <s v=" "/>
    <s v=" "/>
    <s v=" "/>
    <s v=" "/>
    <s v=" "/>
    <s v=" "/>
    <d v="1900-01-02T05:17:00"/>
    <s v=" "/>
    <s v=" "/>
    <s v="Ativo"/>
    <s v="HIGIENIZADOR DE CARROS"/>
    <x v="9"/>
    <s v="LJLPA"/>
  </r>
  <r>
    <n v="130026"/>
    <s v="PEDRO NEVES DOS SANTOS"/>
    <s v="Diretoria Seminovos"/>
    <s v="RSSAO  - Regional Seminovos Varejo São Paulo"/>
    <s v="LJSMT - Loja Seminovos São Mateus"/>
    <s v="EDERSON TRAMA"/>
    <s v="NEGATIVO"/>
    <d v="1899-12-30T08:48:00"/>
    <d v="1899-12-30T08:48:00"/>
    <d v="1899-12-30T00:00:00"/>
    <s v=" "/>
    <s v=" "/>
    <s v=" "/>
    <s v=" "/>
    <s v=" "/>
    <s v=" "/>
    <s v=" "/>
    <s v=" "/>
    <s v=" "/>
    <d v="1899-12-30T08:48:00"/>
    <s v=" "/>
    <s v=" "/>
    <s v="Ativo"/>
    <s v="HIGIENIZADOR DE CARROS"/>
    <x v="9"/>
    <s v="LJSMT"/>
  </r>
  <r>
    <n v="135865"/>
    <s v="RAFAEL SANTOS DA SILVA"/>
    <s v="Diretoria Seminovos"/>
    <s v="RSSAO  - Regional Seminovos Varejo São Paulo"/>
    <s v="LJNAU - Loja Seminovos Nações Unidas"/>
    <s v="DANIEL RODRIGUES CARDOZO DOS SANTOS JUNIOR"/>
    <s v="NEGATIVO"/>
    <d v="1899-12-30T08:00:00"/>
    <d v="1899-12-30T08:00:00"/>
    <d v="1899-12-30T00:00:00"/>
    <s v=" "/>
    <s v=" "/>
    <s v=" "/>
    <s v=" "/>
    <s v=" "/>
    <s v=" "/>
    <s v=" "/>
    <s v=" "/>
    <s v=" "/>
    <d v="1899-12-30T08:00:00"/>
    <s v=" "/>
    <s v=" "/>
    <s v="Ativo"/>
    <s v="HIGIENIZADOR DE CARROS"/>
    <x v="9"/>
    <s v="LJNAU"/>
  </r>
  <r>
    <n v="502909"/>
    <s v="REGINALDO BERNARDES"/>
    <s v="Diretoria Seminovos"/>
    <s v="RSSAO  - Regional Seminovos Varejo São Paulo"/>
    <s v="LJSPN - Loja Seminovos Vila Guilherme"/>
    <s v="ALAN GUARNIERI NUNES"/>
    <s v="NEGATIVO"/>
    <d v="1899-12-30T03:13:00"/>
    <d v="1899-12-30T03:13:00"/>
    <d v="1899-12-30T00:00:00"/>
    <s v=" "/>
    <s v=" "/>
    <s v=" "/>
    <s v=" "/>
    <s v=" "/>
    <s v=" "/>
    <s v=" "/>
    <s v=" "/>
    <d v="1899-12-30T02:20:00"/>
    <d v="1899-12-30T00:53:00"/>
    <s v=" "/>
    <s v=" "/>
    <s v="Contrato de Trabalho Suspenso"/>
    <s v="HIGIENIZADOR DE CARROS"/>
    <x v="9"/>
    <s v="LJSPN"/>
  </r>
  <r>
    <n v="122592"/>
    <s v="ROMULLO MALCOLM SILVA SALES"/>
    <s v="Diretoria Seminovos"/>
    <s v="RSSAO  - Regional Seminovos Varejo São Paulo"/>
    <s v="LJSPN - Loja Seminovos Vila Guilherme"/>
    <s v="ALAN GUARNIERI NUNES"/>
    <s v="NEGATIVO"/>
    <d v="1900-01-07T01:05:00"/>
    <d v="1900-01-07T01:05:00"/>
    <d v="1899-12-30T00:00:00"/>
    <s v=" "/>
    <s v=" "/>
    <s v=" "/>
    <s v=" "/>
    <s v=" "/>
    <d v="1900-01-01T00:41:00"/>
    <d v="1899-12-31T13:37:00"/>
    <d v="1900-01-01T14:47:00"/>
    <d v="1899-12-31T20:00:00"/>
    <s v=" "/>
    <s v=" "/>
    <s v=" "/>
    <s v="Ativo"/>
    <s v="ADMINISTRATIVO I - FILIAL"/>
    <x v="9"/>
    <s v="LJSPN"/>
  </r>
  <r>
    <n v="502398"/>
    <s v="ROSILENE FERREIRA CORDEIRO"/>
    <s v="Diretoria Seminovos"/>
    <s v="RSSAO  - Regional Seminovos Varejo São Paulo"/>
    <s v="LJNAU - Loja Seminovos Nações Unidas"/>
    <s v="DANIEL RODRIGUES CARDOZO DOS SANTOS JUNIOR"/>
    <s v="NEGATIVO"/>
    <d v="1899-12-30T10:53:00"/>
    <d v="1899-12-30T10:53:00"/>
    <d v="1899-12-30T00:00:00"/>
    <s v=" "/>
    <s v=" "/>
    <s v=" "/>
    <s v=" "/>
    <s v=" "/>
    <s v=" "/>
    <s v=" "/>
    <s v=" "/>
    <d v="1899-12-30T02:53:00"/>
    <s v=" "/>
    <s v=" "/>
    <s v=" "/>
    <s v="Ativo"/>
    <s v="AUX. DE SERVICOS GERAIS - DIRCS"/>
    <x v="9"/>
    <s v="LJNAU"/>
  </r>
  <r>
    <n v="120996"/>
    <s v="SAMUEL BISPO DO ROSARIO"/>
    <s v="Diretoria Seminovos"/>
    <s v="RSSAO  - Regional Seminovos Varejo São Paulo"/>
    <s v="LJSPP - Loja Seminovos Penha"/>
    <s v="FERNANDO CARDOSO DA SILVA FILHO"/>
    <s v="NEGATIVO"/>
    <d v="1900-01-04T08:00:00"/>
    <d v="1900-01-04T08:00:00"/>
    <d v="1899-12-30T00:00:00"/>
    <s v=" "/>
    <s v=" "/>
    <s v=" "/>
    <s v=" "/>
    <s v=" "/>
    <s v=" "/>
    <s v=" "/>
    <s v=" "/>
    <s v=" "/>
    <d v="1900-01-02T08:00:00"/>
    <d v="1899-12-31T00:00:00"/>
    <d v="1899-12-31T00:00:00"/>
    <s v="Ativo"/>
    <s v="HIGIENIZADOR DE CARROS"/>
    <x v="9"/>
    <s v="LJSPP"/>
  </r>
  <r>
    <n v="121865"/>
    <s v="SIDINEI ANASTACIO"/>
    <s v="Diretoria Seminovos"/>
    <s v="RSSAO  - Regional Seminovos Varejo São Paulo"/>
    <s v="LJSPS - Loja Seminovos Francisco Morato"/>
    <s v="SAMUEL SATOSHI SANTOS SUZUKI"/>
    <s v="NEGATIVO"/>
    <d v="1899-12-30T08:01:00"/>
    <d v="1899-12-30T08:01:00"/>
    <d v="1899-12-30T00:00:00"/>
    <s v=" "/>
    <s v=" "/>
    <s v=" "/>
    <s v=" "/>
    <s v=" "/>
    <s v=" "/>
    <s v=" "/>
    <s v=" "/>
    <s v=" "/>
    <s v=" "/>
    <d v="1899-12-30T04:01:00"/>
    <d v="1899-12-30T04:00:00"/>
    <s v="Contrato de Trabalho Suspenso"/>
    <s v="HIGIENIZADOR DE CARROS"/>
    <x v="9"/>
    <s v="LJSPS"/>
  </r>
  <r>
    <n v="503398"/>
    <s v="SILVIA PEREIRA DOS SANTOS"/>
    <s v="Diretoria Seminovos"/>
    <s v="RSSAO  - Regional Seminovos Varejo São Paulo"/>
    <s v="LJSAO - Administração Seminovos São Paulo"/>
    <s v="MARCELA ATAIDE MUNIZ"/>
    <s v="NEGATIVO"/>
    <d v="1899-12-30T06:31:00"/>
    <d v="1899-12-30T06:31:00"/>
    <d v="1899-12-30T00:00:00"/>
    <d v="1899-12-30T04:53:00"/>
    <d v="1899-12-30T01:38:00"/>
    <s v=" "/>
    <s v=" "/>
    <s v=" "/>
    <s v=" "/>
    <s v=" "/>
    <s v=" "/>
    <s v=" "/>
    <s v=" "/>
    <s v=" "/>
    <s v=" "/>
    <s v="Ativo"/>
    <s v="ADMINISTRATIVO I - FILIAL"/>
    <x v="9"/>
    <s v="LJSAO"/>
  </r>
  <r>
    <n v="136266"/>
    <s v="WILLIAM MENEZES NERY"/>
    <s v="Diretoria Seminovos"/>
    <s v="RSSAO  - Regional Seminovos Varejo São Paulo"/>
    <s v="SNLOG/SAO - Gerência de Logística"/>
    <s v="BERNARDO DIAS GOMIDE"/>
    <s v="NEGATIVO"/>
    <d v="1900-01-29T16:16:00"/>
    <d v="1900-01-29T16:16:00"/>
    <d v="1899-12-30T00:00:00"/>
    <d v="1900-01-03T06:40:00"/>
    <d v="1900-01-05T14:24:00"/>
    <d v="1900-01-05T23:12:00"/>
    <d v="1900-01-05T14:24:00"/>
    <d v="1900-01-01T00:24:00"/>
    <d v="1900-01-03T05:12:00"/>
    <s v=" "/>
    <s v=" "/>
    <s v=" "/>
    <s v=" "/>
    <s v=" "/>
    <s v=" "/>
    <s v="Ativo"/>
    <s v="AUX. MOVIMENTACAO DE FROTA"/>
    <x v="9"/>
    <s v="SNLOG"/>
  </r>
  <r>
    <n v="132415"/>
    <s v="ADAILTON JOSE DE OLIVEIRA"/>
    <s v="Diretoria Seminovos"/>
    <s v="RSSAO  - Regional Seminovos Varejo São Paulo"/>
    <s v="LJLPA - Vendas Varejo Seminovos Lapa"/>
    <s v="BRUNO SILVEIRA KAESER"/>
    <s v="NEGATIVO"/>
    <d v="1900-01-11T10:31:00"/>
    <d v="1900-01-11T10:31:00"/>
    <d v="1899-12-30T00:00:00"/>
    <s v=" "/>
    <s v=" "/>
    <s v=" "/>
    <s v=" "/>
    <s v=" "/>
    <s v=" "/>
    <s v=" "/>
    <s v=" "/>
    <s v=" "/>
    <d v="1900-01-03T04:07:00"/>
    <d v="1900-01-07T06:24:00"/>
    <s v=" "/>
    <s v="Contrato de Trabalho Suspenso"/>
    <s v="CONSULTOR DE VENDAS"/>
    <x v="9"/>
    <s v="LJLPA"/>
  </r>
  <r>
    <n v="130794"/>
    <s v="ADILSON AVELINO DA SILVA"/>
    <s v="Diretoria Seminovos"/>
    <s v="RSSAO  - Regional Seminovos Varejo São Paulo"/>
    <s v="LJCTN - Vendas Varejo Seminovos Center Norte"/>
    <s v="MARCOS CAZARINI"/>
    <s v="NEGATIVO"/>
    <d v="1899-12-31T00:30:00"/>
    <d v="1899-12-31T00:30:00"/>
    <d v="1899-12-30T00:00:00"/>
    <s v=" "/>
    <s v=" "/>
    <s v=" "/>
    <s v=" "/>
    <s v=" "/>
    <s v=" "/>
    <s v=" "/>
    <d v="1899-12-30T10:06:00"/>
    <s v=" "/>
    <s v=" "/>
    <d v="1899-12-30T14:24:00"/>
    <s v=" "/>
    <s v="Contrato de Trabalho Suspenso"/>
    <s v="CONSULTOR DE VENDAS"/>
    <x v="9"/>
    <s v="LJCTN"/>
  </r>
  <r>
    <n v="122978"/>
    <s v="ALESSANDRO DA SILVA MARTINS BASTOS"/>
    <s v="Diretoria Seminovos"/>
    <s v="RSSAO  - Regional Seminovos Varejo São Paulo"/>
    <s v="LJSPP - Vendas Varejo Seminovos Penha"/>
    <s v="FERNANDO CARDOSO DA SILVA FILHO"/>
    <s v="NEGATIVO"/>
    <d v="1900-01-08T13:53:00"/>
    <d v="1900-01-08T13:53:00"/>
    <d v="1899-12-30T00:00:00"/>
    <s v=" "/>
    <s v=" "/>
    <s v=" "/>
    <s v=" "/>
    <s v=" "/>
    <s v=" "/>
    <s v=" "/>
    <s v=" "/>
    <s v=" "/>
    <d v="1900-01-05T12:45:00"/>
    <d v="1900-01-02T00:00:00"/>
    <d v="1899-12-30T09:50:00"/>
    <s v="Ativo"/>
    <s v="CONSULTOR DE VENDAS"/>
    <x v="9"/>
    <s v="LJSPP"/>
  </r>
  <r>
    <n v="131511"/>
    <s v="ALISSON SOARES DE OLIVEIRA"/>
    <s v="Diretoria Seminovos"/>
    <s v="RSSAO  - Regional Seminovos Varejo São Paulo"/>
    <s v="LJSPP - Vendas Varejo Seminovos Penha"/>
    <s v="FERNANDO CARDOSO DA SILVA FILHO"/>
    <s v="NEGATIVO"/>
    <d v="1899-12-30T08:45:00"/>
    <d v="1899-12-30T08:45:00"/>
    <d v="1899-12-30T00:00:00"/>
    <s v=" "/>
    <s v=" "/>
    <s v=" "/>
    <s v=" "/>
    <s v=" "/>
    <s v=" "/>
    <s v=" "/>
    <s v=" "/>
    <s v=" "/>
    <s v=" "/>
    <s v=" "/>
    <d v="1899-12-30T08:45:00"/>
    <s v="Ativo"/>
    <s v="CONSULTOR DE VENDAS"/>
    <x v="9"/>
    <s v="LJSPP"/>
  </r>
  <r>
    <n v="133730"/>
    <s v="ANDERSON SIMOES MORGON"/>
    <s v="Diretoria Seminovos"/>
    <s v="RSSAO  - Regional Seminovos Varejo São Paulo"/>
    <s v="LJSPP - Vendas Varejo Seminovos Penha"/>
    <s v="FERNANDO CARDOSO DA SILVA FILHO"/>
    <s v="NEGATIVO"/>
    <d v="1900-01-05T23:12:00"/>
    <d v="1900-01-05T23:12:00"/>
    <d v="1899-12-30T00:00:00"/>
    <s v=" "/>
    <s v=" "/>
    <s v=" "/>
    <s v=" "/>
    <s v=" "/>
    <s v=" "/>
    <s v=" "/>
    <s v=" "/>
    <s v=" "/>
    <d v="1900-01-02T01:36:00"/>
    <d v="1900-01-01T16:48:00"/>
    <d v="1899-12-31T04:48:00"/>
    <s v="Ativo"/>
    <s v="CONSULTOR DE VENDAS"/>
    <x v="9"/>
    <s v="LJSPP"/>
  </r>
  <r>
    <n v="132034"/>
    <s v="BIANCA LEDESMA"/>
    <s v="Diretoria Seminovos"/>
    <s v="RSSAO  - Regional Seminovos Varejo São Paulo"/>
    <s v="LJSAO - Loja Seminovos São Paulo"/>
    <s v="MARCOS ELISEU JAHRMANN"/>
    <s v="NEGATIVO"/>
    <d v="1899-12-30T21:10:00"/>
    <d v="1899-12-30T21:10:00"/>
    <d v="1899-12-30T00:00:00"/>
    <d v="1899-12-30T21:10:00"/>
    <s v=" "/>
    <s v=" "/>
    <s v=" "/>
    <s v=" "/>
    <s v=" "/>
    <s v=" "/>
    <s v=" "/>
    <s v=" "/>
    <s v=" "/>
    <s v=" "/>
    <s v=" "/>
    <s v="Af.Previdência"/>
    <s v="CONSULTOR DE VENDAS"/>
    <x v="9"/>
    <s v="LJSAO"/>
  </r>
  <r>
    <n v="125492"/>
    <s v="CARLA DANIELA LEONCINI BELCORSO"/>
    <s v="Diretoria Seminovos"/>
    <s v="RSSAO  - Regional Seminovos Varejo São Paulo"/>
    <s v="LJPRI - Vendas Varejo Seminovos Prime"/>
    <s v="LUCIANO ANTONIALLI"/>
    <s v="NEGATIVO"/>
    <d v="1900-01-02T07:32:00"/>
    <d v="1900-01-02T07:32:00"/>
    <d v="1899-12-30T00:00:00"/>
    <s v=" "/>
    <s v=" "/>
    <s v=" "/>
    <s v=" "/>
    <s v=" "/>
    <s v=" "/>
    <s v=" "/>
    <s v=" "/>
    <s v=" "/>
    <d v="1900-01-02T02:20:00"/>
    <d v="1899-12-30T05:04:00"/>
    <d v="1899-12-30T03:47:00"/>
    <s v="Ativo"/>
    <s v="CONSULTOR DE VENDAS"/>
    <x v="9"/>
    <s v="LJPRI"/>
  </r>
  <r>
    <n v="503296"/>
    <s v="CARLOS ALBERTO JORGE"/>
    <s v="Diretoria Seminovos"/>
    <s v="RSSAO  - Regional Seminovos Varejo São Paulo"/>
    <s v="LJSPS - Vendas Varejo Seminovos Francisco Morato"/>
    <s v="SAMUEL SATOSHI SANTOS SUZUKI"/>
    <s v="NEGATIVO"/>
    <d v="1900-01-03T19:12:00"/>
    <d v="1900-01-03T19:12:00"/>
    <d v="1899-12-30T00:00:00"/>
    <s v=" "/>
    <s v=" "/>
    <s v=" "/>
    <s v=" "/>
    <s v=" "/>
    <s v=" "/>
    <s v=" "/>
    <s v=" "/>
    <s v=" "/>
    <d v="1900-01-03T19:12:00"/>
    <s v=" "/>
    <s v=" "/>
    <s v="Ativo"/>
    <s v="CONSULTOR DE VENDAS"/>
    <x v="9"/>
    <s v="LJSPS"/>
  </r>
  <r>
    <n v="503558"/>
    <s v="CATIA ROBERTA GARCIA DA RESSURREICAO"/>
    <s v="Diretoria Seminovos"/>
    <s v="RSSAO  - Regional Seminovos Varejo São Paulo"/>
    <s v="LJLEP - Vendas Varejo Seminovos Vila Leopoldina"/>
    <s v="RENIVALDO GONCALVES DO NASCIMENTO"/>
    <s v="NEGATIVO"/>
    <d v="1900-01-03T12:36:00"/>
    <d v="1900-01-03T12:36:00"/>
    <d v="1899-12-30T00:00:00"/>
    <s v=" "/>
    <s v=" "/>
    <s v=" "/>
    <s v=" "/>
    <s v=" "/>
    <s v=" "/>
    <s v=" "/>
    <s v=" "/>
    <s v=" "/>
    <d v="1900-01-03T12:36:00"/>
    <s v=" "/>
    <s v=" "/>
    <s v="Ativo"/>
    <s v="CONSULTOR DE VENDAS"/>
    <x v="9"/>
    <s v="LJLEP"/>
  </r>
  <r>
    <n v="125600"/>
    <s v="CESAR RAFAEL BRITO DA SILVA"/>
    <s v="Diretoria Seminovos"/>
    <s v="RSSAO  - Regional Seminovos Varejo São Paulo"/>
    <s v="LJPRI - Vendas Varejo Seminovos Prime"/>
    <s v="LUCIANO ANTONIALLI"/>
    <s v="NEGATIVO"/>
    <d v="1900-01-05T07:01:00"/>
    <d v="1900-01-05T07:01:00"/>
    <d v="1899-12-30T00:00:00"/>
    <s v=" "/>
    <s v=" "/>
    <s v=" "/>
    <s v=" "/>
    <s v=" "/>
    <s v=" "/>
    <s v=" "/>
    <s v=" "/>
    <s v=" "/>
    <d v="1900-01-04T17:16:00"/>
    <d v="1899-12-30T13:45:00"/>
    <s v=" "/>
    <s v="Ativo"/>
    <s v="CONSULTOR DE VENDAS"/>
    <x v="9"/>
    <s v="LJPRI"/>
  </r>
  <r>
    <n v="503111"/>
    <s v="CLAUDINALVA DE CARVALHO MOSCARDINI"/>
    <s v="Diretoria Seminovos"/>
    <s v="RSSAO  - Regional Seminovos Varejo São Paulo"/>
    <s v="LJLPA - Vendas Varejo Seminovos Lapa"/>
    <s v="BRUNO SILVEIRA KAESER"/>
    <s v="NEGATIVO"/>
    <d v="1899-12-30T11:30:00"/>
    <d v="1899-12-30T11:30:00"/>
    <d v="1899-12-30T00:00:00"/>
    <s v=" "/>
    <d v="1899-12-30T11:30:00"/>
    <s v=" "/>
    <s v=" "/>
    <s v=" "/>
    <s v=" "/>
    <s v=" "/>
    <s v=" "/>
    <s v=" "/>
    <s v=" "/>
    <s v=" "/>
    <s v=" "/>
    <s v="Af.Previdência"/>
    <s v="CONSULTOR DE VENDAS"/>
    <x v="9"/>
    <s v="LJLPA"/>
  </r>
  <r>
    <n v="502805"/>
    <s v="DANIEL LOPES LEAL"/>
    <s v="Diretoria Seminovos"/>
    <s v="RSSAO  - Regional Seminovos Varejo São Paulo"/>
    <s v="LJRJF - Vendas Varejo Seminovos Ricardo Jafet"/>
    <s v="GUILHERME COIMBRA GUIMARAES"/>
    <s v="NEGATIVO"/>
    <d v="1900-01-14T00:24:00"/>
    <d v="1900-01-14T00:24:00"/>
    <d v="1899-12-30T00:00:00"/>
    <s v=" "/>
    <s v=" "/>
    <s v=" "/>
    <s v=" "/>
    <s v=" "/>
    <s v=" "/>
    <s v=" "/>
    <s v=" "/>
    <s v=" "/>
    <d v="1900-01-06T05:12:00"/>
    <d v="1900-01-06T19:12:00"/>
    <s v=" "/>
    <s v="Contrato de Trabalho Suspenso"/>
    <s v="CONSULTOR DE VENDAS"/>
    <x v="9"/>
    <s v="LJRJF"/>
  </r>
  <r>
    <n v="503538"/>
    <s v="DANIEL RODRIGO CORREIA"/>
    <s v="Diretoria Seminovos"/>
    <s v="RSSAO  - Regional Seminovos Varejo São Paulo"/>
    <s v="LJSAO - Vendas Varejo Seminovos São Paulo"/>
    <s v="MARCOS ELISEU JAHRMANN"/>
    <s v="NEGATIVO"/>
    <d v="1899-12-30T06:45:00"/>
    <d v="1899-12-30T06:45:00"/>
    <d v="1899-12-30T00:00:00"/>
    <s v=" "/>
    <s v=" "/>
    <s v=" "/>
    <s v=" "/>
    <s v=" "/>
    <s v=" "/>
    <s v=" "/>
    <s v=" "/>
    <s v=" "/>
    <s v=" "/>
    <d v="1899-12-30T06:36:00"/>
    <d v="1899-12-30T00:09:00"/>
    <s v="Contrato de Trabalho Suspenso"/>
    <s v="CONSULTOR DE VENDAS"/>
    <x v="9"/>
    <s v="LJSAO"/>
  </r>
  <r>
    <n v="136001"/>
    <s v="DANILO CORREIA DIAS"/>
    <s v="Diretoria Seminovos"/>
    <s v="RSSAO  - Regional Seminovos Varejo São Paulo"/>
    <s v="LJCTN - Vendas Varejo Seminovos Center Norte"/>
    <s v="MARCOS CAZARINI"/>
    <s v="NEGATIVO"/>
    <d v="1899-12-30T14:24:00"/>
    <d v="1899-12-30T14:24:00"/>
    <d v="1899-12-30T00:00:00"/>
    <s v=" "/>
    <s v=" "/>
    <s v=" "/>
    <s v=" "/>
    <s v=" "/>
    <s v=" "/>
    <s v=" "/>
    <s v=" "/>
    <s v=" "/>
    <s v=" "/>
    <d v="1899-12-30T14:24:00"/>
    <s v=" "/>
    <s v="Ativo"/>
    <s v="CONSULTOR DE VENDAS"/>
    <x v="9"/>
    <s v="LJCTN"/>
  </r>
  <r>
    <n v="503567"/>
    <s v="DENER DE SOUZA SILVA"/>
    <s v="Diretoria Seminovos"/>
    <s v="RSSAO  - Regional Seminovos Varejo São Paulo"/>
    <s v="LJSMT - Vendas Varejo Seminovos São Mateus"/>
    <s v="EDERSON TRAMA"/>
    <s v="NEGATIVO"/>
    <d v="1899-12-30T00:40:00"/>
    <d v="1899-12-30T00:40:00"/>
    <d v="1899-12-30T00:00:00"/>
    <s v=" "/>
    <s v=" "/>
    <s v=" "/>
    <s v=" "/>
    <s v=" "/>
    <s v=" "/>
    <s v=" "/>
    <d v="1899-12-30T00:40:00"/>
    <s v=" "/>
    <s v=" "/>
    <s v=" "/>
    <s v=" "/>
    <s v="Ativo"/>
    <s v="CONSULTOR DE VENDAS"/>
    <x v="9"/>
    <s v="LJSMT"/>
  </r>
  <r>
    <n v="134649"/>
    <s v="ELTON RODRIGUES DE SOUSA"/>
    <s v="Diretoria Seminovos"/>
    <s v="RSSAO  - Regional Seminovos Varejo São Paulo"/>
    <s v="LJSPS - Vendas Varejo Seminovos Francisco Morato"/>
    <s v="SAMUEL SATOSHI SANTOS SUZUKI"/>
    <s v="NEGATIVO"/>
    <d v="1900-01-03T01:44:00"/>
    <d v="1900-01-03T01:44:00"/>
    <d v="1899-12-30T00:00:00"/>
    <s v=" "/>
    <s v=" "/>
    <s v=" "/>
    <s v=" "/>
    <s v=" "/>
    <s v=" "/>
    <s v=" "/>
    <s v=" "/>
    <s v=" "/>
    <d v="1900-01-03T01:44:00"/>
    <s v=" "/>
    <s v=" "/>
    <s v="Contrato de Trabalho Suspenso"/>
    <s v="CONSULTOR DE VENDAS"/>
    <x v="9"/>
    <s v="LJSPS"/>
  </r>
  <r>
    <n v="503573"/>
    <s v="EMERSON RODRIGUES DOS SANTOS"/>
    <s v="Diretoria Seminovos"/>
    <s v="RSSAO  - Regional Seminovos Varejo São Paulo"/>
    <s v="LJLPA - Vendas Varejo Seminovos Lapa"/>
    <s v="BRUNO SILVEIRA KAESER"/>
    <s v="NEGATIVO"/>
    <d v="1900-01-14T07:20:00"/>
    <d v="1900-01-14T07:20:00"/>
    <d v="1899-12-30T00:00:00"/>
    <s v=" "/>
    <s v=" "/>
    <s v=" "/>
    <s v=" "/>
    <s v=" "/>
    <s v=" "/>
    <s v=" "/>
    <d v="1900-01-01T22:56:00"/>
    <d v="1900-01-01T02:24:00"/>
    <d v="1900-01-02T18:00:00"/>
    <d v="1900-01-05T12:00:00"/>
    <s v=" "/>
    <s v="Contrato de Trabalho Suspenso"/>
    <s v="CONSULTOR DE VENDAS"/>
    <x v="9"/>
    <s v="LJLPA"/>
  </r>
  <r>
    <n v="132005"/>
    <s v="FABIO AUGUSTO PEREIRA DE ALMEIDA"/>
    <s v="Diretoria Seminovos"/>
    <s v="RSSAO  - Regional Seminovos Varejo São Paulo"/>
    <s v="LJLEP - Vendas Varejo Seminovos Vila Leopoldina"/>
    <s v="RENIVALDO GONCALVES DO NASCIMENTO"/>
    <s v="NEGATIVO"/>
    <d v="1899-12-30T22:12:00"/>
    <d v="1899-12-30T22:12:00"/>
    <d v="1899-12-30T00:00:00"/>
    <s v=" "/>
    <s v=" "/>
    <s v=" "/>
    <s v=" "/>
    <s v=" "/>
    <s v=" "/>
    <s v=" "/>
    <s v=" "/>
    <s v=" "/>
    <d v="1899-12-30T22:12:00"/>
    <s v=" "/>
    <s v=" "/>
    <s v="Ativo"/>
    <s v="CONSULTOR DE VENDAS"/>
    <x v="9"/>
    <s v="LJLEP"/>
  </r>
  <r>
    <n v="135849"/>
    <s v="FABIO HITOSHI IDENAGA"/>
    <s v="Diretoria Seminovos"/>
    <s v="RSSAO  - Regional Seminovos Varejo São Paulo"/>
    <s v="LJRJF - Vendas Varejo Seminovos Ricardo Jafet"/>
    <s v="GUILHERME COIMBRA GUIMARAES"/>
    <s v="NEGATIVO"/>
    <d v="1900-01-14T13:36:00"/>
    <d v="1900-01-14T13:36:00"/>
    <d v="1899-12-30T00:00:00"/>
    <s v=" "/>
    <s v=" "/>
    <s v=" "/>
    <s v=" "/>
    <s v=" "/>
    <s v=" "/>
    <s v=" "/>
    <s v=" "/>
    <s v=" "/>
    <d v="1900-01-07T01:36:00"/>
    <d v="1900-01-06T12:00:00"/>
    <s v=" "/>
    <s v="Ativo"/>
    <s v="CONSULTOR DE VENDAS"/>
    <x v="9"/>
    <s v="LJRJF"/>
  </r>
  <r>
    <n v="131164"/>
    <s v="FATIMA FERNANDA DOS SANTOS"/>
    <s v="Diretoria Seminovos"/>
    <s v="RSSAO  - Regional Seminovos Varejo São Paulo"/>
    <s v="LJLPA - Vendas Varejo Seminovos Lapa"/>
    <s v="BRUNO SILVEIRA KAESER"/>
    <s v="NEGATIVO"/>
    <d v="1900-01-10T22:13:00"/>
    <d v="1900-01-10T22:13:00"/>
    <d v="1899-12-30T00:00:00"/>
    <s v=" "/>
    <s v=" "/>
    <s v=" "/>
    <s v=" "/>
    <s v=" "/>
    <s v=" "/>
    <s v=" "/>
    <s v=" "/>
    <s v=" "/>
    <d v="1900-01-03T03:01:00"/>
    <d v="1900-01-06T19:12:00"/>
    <s v=" "/>
    <s v="Ativo"/>
    <s v="CONSULTOR DE VENDAS"/>
    <x v="9"/>
    <s v="LJLPA"/>
  </r>
  <r>
    <n v="123555"/>
    <s v="FRANCISCO DE ALMEIDA LIMA FILHO"/>
    <s v="Diretoria Seminovos"/>
    <s v="RSSAO  - Regional Seminovos Varejo São Paulo"/>
    <s v="LJLEP - Vendas Varejo Seminovos Vila Leopoldina"/>
    <s v="RENIVALDO GONCALVES DO NASCIMENTO"/>
    <s v="NEGATIVO"/>
    <d v="1899-12-30T15:00:00"/>
    <d v="1899-12-30T15:00:00"/>
    <d v="1899-12-30T00:00:00"/>
    <s v=" "/>
    <s v=" "/>
    <s v=" "/>
    <s v=" "/>
    <s v=" "/>
    <s v=" "/>
    <s v=" "/>
    <s v=" "/>
    <s v=" "/>
    <d v="1899-12-30T15:00:00"/>
    <s v=" "/>
    <s v=" "/>
    <s v="Ativo"/>
    <s v="CONSULTOR DE VENDAS"/>
    <x v="9"/>
    <s v="LJLEP"/>
  </r>
  <r>
    <n v="503261"/>
    <s v="GILSON VENANCIO DE SOUZA"/>
    <s v="Diretoria Seminovos"/>
    <s v="RSSAO  - Regional Seminovos Varejo São Paulo"/>
    <s v="LJSPP - Vendas Varejo Seminovos Penha"/>
    <s v="FERNANDO CARDOSO DA SILVA FILHO"/>
    <s v="NEGATIVO"/>
    <d v="1900-01-05T05:48:00"/>
    <d v="1900-01-05T05:48:00"/>
    <d v="1899-12-30T00:00:00"/>
    <s v=" "/>
    <s v=" "/>
    <s v=" "/>
    <s v=" "/>
    <s v=" "/>
    <s v=" "/>
    <s v=" "/>
    <s v=" "/>
    <s v=" "/>
    <d v="1900-01-03T02:36:00"/>
    <d v="1899-12-31T19:12:00"/>
    <s v=" "/>
    <s v="Contrato de Trabalho Suspenso"/>
    <s v="CONSULTOR DE VENDAS"/>
    <x v="9"/>
    <s v="LJSPP"/>
  </r>
  <r>
    <n v="503448"/>
    <s v="JEFERSON ANDERSON BEZERRA DOS SANTOS"/>
    <s v="Diretoria Seminovos"/>
    <s v="RSSAO  - Regional Seminovos Varejo São Paulo"/>
    <s v="LJCTN - Vendas Varejo Seminovos Center Norte"/>
    <s v="MARCOS CAZARINI"/>
    <s v="NEGATIVO"/>
    <d v="1900-01-04T01:48:00"/>
    <d v="1900-01-04T01:48:00"/>
    <d v="1899-12-30T00:00:00"/>
    <s v=" "/>
    <s v=" "/>
    <s v=" "/>
    <s v=" "/>
    <s v=" "/>
    <s v=" "/>
    <s v=" "/>
    <s v=" "/>
    <s v=" "/>
    <d v="1900-01-02T21:00:00"/>
    <d v="1899-12-31T04:48:00"/>
    <s v=" "/>
    <s v="Ativo"/>
    <s v="CONSULTOR DE VENDAS"/>
    <x v="9"/>
    <s v="LJCTN"/>
  </r>
  <r>
    <n v="124949"/>
    <s v="JEFFERSON VERISSIMO DOS SANTOS DO NASCIMENTO"/>
    <s v="Diretoria Seminovos"/>
    <s v="RSSAO  - Regional Seminovos Varejo São Paulo"/>
    <s v="LJSPS - Vendas Varejo Seminovos Francisco Morato"/>
    <s v="SAMUEL SATOSHI SANTOS SUZUKI"/>
    <s v="NEGATIVO"/>
    <d v="1899-12-30T20:24:00"/>
    <d v="1899-12-30T20:24:00"/>
    <d v="1899-12-30T00:00:00"/>
    <s v=" "/>
    <s v=" "/>
    <s v=" "/>
    <s v=" "/>
    <s v=" "/>
    <s v=" "/>
    <s v=" "/>
    <s v=" "/>
    <s v=" "/>
    <d v="1899-12-30T20:24:00"/>
    <s v=" "/>
    <s v=" "/>
    <s v="Ativo"/>
    <s v="CONSULTOR DE VENDAS"/>
    <x v="9"/>
    <s v="LJSPS"/>
  </r>
  <r>
    <n v="134373"/>
    <s v="JEREMIAS SOUZA SANTOS"/>
    <s v="Diretoria Seminovos"/>
    <s v="RSSAO  - Regional Seminovos Varejo São Paulo"/>
    <s v="LJCTN - Vendas Varejo Seminovos Center Norte"/>
    <s v="MARCOS CAZARINI"/>
    <s v="NEGATIVO"/>
    <d v="1899-12-30T17:09:00"/>
    <d v="1899-12-30T17:09:00"/>
    <d v="1899-12-30T00:00:00"/>
    <s v=" "/>
    <s v=" "/>
    <s v=" "/>
    <s v=" "/>
    <s v=" "/>
    <s v=" "/>
    <s v=" "/>
    <d v="1899-12-30T09:57:00"/>
    <s v=" "/>
    <s v=" "/>
    <s v=" "/>
    <d v="1899-12-30T07:12:00"/>
    <s v="Ativo"/>
    <s v="CONSULTOR DE VENDAS"/>
    <x v="9"/>
    <s v="LJCTN"/>
  </r>
  <r>
    <n v="125908"/>
    <s v="JOAO PEREIRA DA SILVA NETO"/>
    <s v="Diretoria Seminovos"/>
    <s v="RSSAO  - Regional Seminovos Varejo São Paulo"/>
    <s v="LJSPS - Vendas Varejo Seminovos Francisco Morato"/>
    <s v="SAMUEL SATOSHI SANTOS SUZUKI"/>
    <s v="NEGATIVO"/>
    <d v="1899-12-30T11:01:00"/>
    <d v="1899-12-30T11:01:00"/>
    <d v="1899-12-30T00:00:00"/>
    <s v=" "/>
    <s v=" "/>
    <s v=" "/>
    <s v=" "/>
    <s v=" "/>
    <s v=" "/>
    <s v=" "/>
    <s v=" "/>
    <d v="1899-12-30T11:01:00"/>
    <s v=" "/>
    <s v=" "/>
    <s v=" "/>
    <s v="Ativo"/>
    <s v="CONSULTOR DE VENDAS"/>
    <x v="9"/>
    <s v="LJSPS"/>
  </r>
  <r>
    <n v="502808"/>
    <s v="JOSE MARIA LOPES DA SILVA"/>
    <s v="Diretoria Seminovos"/>
    <s v="RSSAO  - Regional Seminovos Varejo São Paulo"/>
    <s v="LJNAU - Vendas Varejo Seminovos Nações Unidas"/>
    <s v="DANIEL RODRIGUES CARDOZO DOS SANTOS JUNIOR"/>
    <s v="NEGATIVO"/>
    <d v="1899-12-30T16:08:00"/>
    <d v="1899-12-30T16:08:00"/>
    <d v="1899-12-30T00:00:00"/>
    <s v=" "/>
    <s v=" "/>
    <s v=" "/>
    <s v=" "/>
    <s v=" "/>
    <s v=" "/>
    <d v="1899-12-30T07:20:00"/>
    <d v="1899-12-30T08:48:00"/>
    <s v=" "/>
    <s v=" "/>
    <s v=" "/>
    <s v=" "/>
    <s v="Ativo"/>
    <s v="CONSULTOR DE VENDAS"/>
    <x v="9"/>
    <s v="LJNAU"/>
  </r>
  <r>
    <n v="132900"/>
    <s v="KELLY DOS SANTOS ANJOS"/>
    <s v="Diretoria Seminovos"/>
    <s v="RSSAO  - Regional Seminovos Varejo São Paulo"/>
    <s v="LJNAU - Vendas Varejo Seminovos Nações Unidas"/>
    <s v="DANIEL RODRIGUES CARDOZO DOS SANTOS JUNIOR"/>
    <s v="NEGATIVO"/>
    <d v="1899-12-31T12:21:00"/>
    <d v="1899-12-31T12:21:00"/>
    <d v="1899-12-30T00:00:00"/>
    <s v=" "/>
    <s v=" "/>
    <s v=" "/>
    <s v=" "/>
    <s v=" "/>
    <s v=" "/>
    <s v=" "/>
    <d v="1899-12-30T14:30:00"/>
    <d v="1899-12-30T00:15:00"/>
    <d v="1899-12-30T21:36:00"/>
    <s v=" "/>
    <s v=" "/>
    <s v="Contrato de Trabalho Suspenso"/>
    <s v="CONSULTOR DE VENDAS"/>
    <x v="9"/>
    <s v="LJNAU"/>
  </r>
  <r>
    <n v="134910"/>
    <s v="KLEIDIANE BRITO DE CARVALHO"/>
    <s v="Diretoria Seminovos"/>
    <s v="RSSAO  - Regional Seminovos Varejo São Paulo"/>
    <s v="LJSPS - Vendas Varejo Seminovos Francisco Morato"/>
    <s v="SAMUEL SATOSHI SANTOS SUZUKI"/>
    <s v="NEGATIVO"/>
    <d v="1900-01-02T10:24:00"/>
    <d v="1900-01-02T10:24:00"/>
    <d v="1899-12-30T00:00:00"/>
    <s v=" "/>
    <s v=" "/>
    <s v=" "/>
    <s v=" "/>
    <s v=" "/>
    <s v=" "/>
    <s v=" "/>
    <s v=" "/>
    <s v=" "/>
    <d v="1900-01-02T10:24:00"/>
    <s v=" "/>
    <s v=" "/>
    <s v="Ativo"/>
    <s v="CONSULTOR DE VENDAS"/>
    <x v="9"/>
    <s v="LJSPS"/>
  </r>
  <r>
    <n v="131742"/>
    <s v="LEANDRO DO AMARAL DUARTE"/>
    <s v="Diretoria Seminovos"/>
    <s v="RSSAO  - Regional Seminovos Varejo São Paulo"/>
    <s v="LJRJF - Vendas Varejo Seminovos Ricardo Jafet"/>
    <s v="GUILHERME COIMBRA GUIMARAES"/>
    <s v="NEGATIVO"/>
    <d v="1900-01-14T20:11:00"/>
    <d v="1900-01-14T20:11:00"/>
    <d v="1899-12-30T00:00:00"/>
    <s v=" "/>
    <s v=" "/>
    <s v=" "/>
    <s v=" "/>
    <s v=" "/>
    <s v=" "/>
    <s v=" "/>
    <s v=" "/>
    <d v="1899-12-30T16:59:00"/>
    <d v="1900-01-06T08:00:00"/>
    <d v="1900-01-06T19:12:00"/>
    <s v=" "/>
    <s v="Ativo"/>
    <s v="CONSULTOR DE VENDAS"/>
    <x v="9"/>
    <s v="LJRJF"/>
  </r>
  <r>
    <n v="503504"/>
    <s v="LEONARDO SGURA NETO"/>
    <s v="Diretoria Seminovos"/>
    <s v="RSSAO  - Regional Seminovos Varejo São Paulo"/>
    <s v="LJRJF - Vendas Varejo Seminovos Ricardo Jafet"/>
    <s v="GUILHERME COIMBRA GUIMARAES"/>
    <s v="NEGATIVO"/>
    <d v="1900-01-06T15:12:00"/>
    <d v="1900-01-06T15:12:00"/>
    <d v="1899-12-30T00:00:00"/>
    <s v=" "/>
    <s v=" "/>
    <s v=" "/>
    <s v=" "/>
    <s v=" "/>
    <s v=" "/>
    <s v=" "/>
    <s v=" "/>
    <s v=" "/>
    <d v="1900-01-06T08:00:00"/>
    <d v="1899-12-30T07:12:00"/>
    <s v=" "/>
    <s v="Ativo"/>
    <s v="CONSULTOR DE VENDAS"/>
    <x v="9"/>
    <s v="LJRJF"/>
  </r>
  <r>
    <n v="503114"/>
    <s v="LUIZ CLAUDIO DE JESUS SANTOS"/>
    <s v="Diretoria Seminovos"/>
    <s v="RSSAO  - Regional Seminovos Varejo São Paulo"/>
    <s v="LJNAU - Vendas Varejo Seminovos Nações Unidas"/>
    <s v="DANIEL RODRIGUES CARDOZO DOS SANTOS JUNIOR"/>
    <s v="NEGATIVO"/>
    <d v="1899-12-30T01:16:00"/>
    <d v="1899-12-30T01:16:00"/>
    <d v="1899-12-30T00:00:00"/>
    <s v=" "/>
    <s v=" "/>
    <s v=" "/>
    <s v=" "/>
    <s v=" "/>
    <s v=" "/>
    <s v=" "/>
    <s v=" "/>
    <s v=" "/>
    <s v=" "/>
    <d v="1899-12-30T01:16:00"/>
    <s v=" "/>
    <s v="Ativo"/>
    <s v="CONSULTOR DE VENDAS"/>
    <x v="9"/>
    <s v="LJNAU"/>
  </r>
  <r>
    <n v="501179"/>
    <s v="MARCELO RIGASO LEMOS"/>
    <s v="Diretoria Seminovos"/>
    <s v="RSSAO  - Regional Seminovos Varejo São Paulo"/>
    <s v="LJSPN - Vendas Varejo Seminovos Vila Guilherme"/>
    <s v="ALAN GUARNIERI NUNES"/>
    <s v="NEGATIVO"/>
    <d v="1899-12-31T11:22:00"/>
    <d v="1899-12-31T11:22:00"/>
    <d v="1899-12-30T00:00:00"/>
    <s v=" "/>
    <s v=" "/>
    <s v=" "/>
    <s v=" "/>
    <s v=" "/>
    <s v=" "/>
    <s v=" "/>
    <s v=" "/>
    <s v=" "/>
    <d v="1899-12-31T11:22:00"/>
    <s v=" "/>
    <s v=" "/>
    <s v="Contrato de Trabalho Suspenso"/>
    <s v="CONSULTOR DE VENDAS"/>
    <x v="9"/>
    <s v="LJSPN"/>
  </r>
  <r>
    <n v="130669"/>
    <s v="MARCIA JAQUELINE FARIA MARTINS"/>
    <s v="Diretoria Seminovos"/>
    <s v="RSSAO  - Regional Seminovos Varejo São Paulo"/>
    <s v="LJCTN - Vendas Varejo Seminovos Center Norte"/>
    <s v="MARCOS CAZARINI"/>
    <s v="NEGATIVO"/>
    <d v="1899-12-30T14:24:00"/>
    <d v="1899-12-30T14:24:00"/>
    <d v="1899-12-30T00:00:00"/>
    <s v=" "/>
    <s v=" "/>
    <s v=" "/>
    <s v=" "/>
    <s v=" "/>
    <s v=" "/>
    <s v=" "/>
    <s v=" "/>
    <s v=" "/>
    <s v=" "/>
    <d v="1899-12-30T14:24:00"/>
    <s v=" "/>
    <s v="Ativo"/>
    <s v="CONSULTOR DE VENDAS"/>
    <x v="9"/>
    <s v="LJCTN"/>
  </r>
  <r>
    <n v="131899"/>
    <s v="MARCOS FERNANDES DA SILVA"/>
    <s v="Diretoria Seminovos"/>
    <s v="RSSAO  - Regional Seminovos Varejo São Paulo"/>
    <s v="LJLPA - Vendas Varejo Seminovos Lapa"/>
    <s v="BRUNO SILVEIRA KAESER"/>
    <s v="NEGATIVO"/>
    <d v="1899-12-30T07:57:00"/>
    <d v="1899-12-30T07:57:00"/>
    <d v="1899-12-30T00:00:00"/>
    <s v=" "/>
    <s v=" "/>
    <s v=" "/>
    <s v=" "/>
    <s v=" "/>
    <s v=" "/>
    <s v=" "/>
    <s v=" "/>
    <d v="1899-12-30T07:57:00"/>
    <s v=" "/>
    <s v=" "/>
    <s v=" "/>
    <s v="Ativo"/>
    <s v="CONSULTOR DE VENDAS"/>
    <x v="9"/>
    <s v="LJLPA"/>
  </r>
  <r>
    <n v="129954"/>
    <s v="MARIO BRITO DE OLIVEIRA"/>
    <s v="Diretoria Seminovos"/>
    <s v="RSSAO  - Regional Seminovos Varejo São Paulo"/>
    <s v="LJSPS - Vendas Varejo Seminovos Francisco Morato"/>
    <s v="SAMUEL SATOSHI SANTOS SUZUKI"/>
    <s v="NEGATIVO"/>
    <d v="1900-01-03T19:12:00"/>
    <d v="1900-01-03T19:12:00"/>
    <d v="1899-12-30T00:00:00"/>
    <s v=" "/>
    <s v=" "/>
    <s v=" "/>
    <s v=" "/>
    <s v=" "/>
    <s v=" "/>
    <s v=" "/>
    <s v=" "/>
    <s v=" "/>
    <d v="1900-01-03T19:12:00"/>
    <s v=" "/>
    <s v=" "/>
    <s v="Contrato de Trabalho Suspenso"/>
    <s v="CONSULTOR DE VENDAS"/>
    <x v="9"/>
    <s v="LJSPS"/>
  </r>
  <r>
    <n v="503406"/>
    <s v="PAULA CRISTINA RODRIGUES IYAMA"/>
    <s v="Diretoria Seminovos"/>
    <s v="RSSAO  - Regional Seminovos Varejo São Paulo"/>
    <s v="LJSPP - Vendas Varejo Seminovos Penha"/>
    <s v="FERNANDO CARDOSO DA SILVA FILHO"/>
    <s v="NEGATIVO"/>
    <d v="1900-01-04T07:43:00"/>
    <d v="1900-01-04T07:43:00"/>
    <d v="1899-12-30T00:00:00"/>
    <s v=" "/>
    <s v=" "/>
    <s v=" "/>
    <s v=" "/>
    <s v=" "/>
    <s v=" "/>
    <s v=" "/>
    <s v=" "/>
    <s v=" "/>
    <d v="1900-01-04T07:43:00"/>
    <s v=" "/>
    <s v=" "/>
    <s v="Contrato de Trabalho Suspenso"/>
    <s v="CONSULTOR DE VENDAS"/>
    <x v="9"/>
    <s v="LJSPP"/>
  </r>
  <r>
    <n v="501755"/>
    <s v="RAFAEL NASCIMENTO SILVA"/>
    <s v="Diretoria Seminovos"/>
    <s v="RSSAO  - Regional Seminovos Varejo São Paulo"/>
    <s v="LJNAU - Vendas Varejo Seminovos Nações Unidas"/>
    <s v="DANIEL RODRIGUES CARDOZO DOS SANTOS JUNIOR"/>
    <s v="NEGATIVO"/>
    <d v="1899-12-31T06:05:00"/>
    <d v="1899-12-31T06:05:00"/>
    <d v="1899-12-30T00:00:00"/>
    <s v=" "/>
    <s v=" "/>
    <s v=" "/>
    <s v=" "/>
    <s v=" "/>
    <s v=" "/>
    <s v=" "/>
    <d v="1899-12-30T15:33:00"/>
    <d v="1899-12-30T00:08:00"/>
    <d v="1899-12-30T07:12:00"/>
    <d v="1899-12-30T07:12:00"/>
    <s v=" "/>
    <s v="Ativo"/>
    <s v="CONSULTOR DE VENDAS"/>
    <x v="9"/>
    <s v="LJNAU"/>
  </r>
  <r>
    <n v="123024"/>
    <s v="RENILDA GOMES MALTA DOS SANTOS DE OLIVEIRA"/>
    <s v="Diretoria Seminovos"/>
    <s v="RSSAO  - Regional Seminovos Varejo São Paulo"/>
    <s v="LJSMT - Vendas Varejo Seminovos São Mateus"/>
    <s v="EDERSON TRAMA"/>
    <s v="NEGATIVO"/>
    <d v="1899-12-30T07:12:00"/>
    <d v="1899-12-30T07:12:00"/>
    <d v="1899-12-30T00:00:00"/>
    <s v=" "/>
    <s v=" "/>
    <s v=" "/>
    <s v=" "/>
    <s v=" "/>
    <s v=" "/>
    <s v=" "/>
    <s v=" "/>
    <s v=" "/>
    <d v="1899-12-30T07:12:00"/>
    <s v=" "/>
    <s v=" "/>
    <s v="Ativo"/>
    <s v="CONSULTOR DE VENDAS"/>
    <x v="9"/>
    <s v="LJSMT"/>
  </r>
  <r>
    <n v="131301"/>
    <s v="ROGERIO BATISTA BROCCA DOS SANTOS"/>
    <s v="Diretoria Seminovos"/>
    <s v="RSSAO  - Regional Seminovos Varejo São Paulo"/>
    <s v="LJCTN - Vendas Varejo Seminovos Center Norte"/>
    <s v="MARCOS CAZARINI"/>
    <s v="NEGATIVO"/>
    <d v="1899-12-30T14:24:00"/>
    <d v="1899-12-30T14:24:00"/>
    <d v="1899-12-30T00:00:00"/>
    <s v=" "/>
    <s v=" "/>
    <s v=" "/>
    <s v=" "/>
    <s v=" "/>
    <s v=" "/>
    <s v=" "/>
    <s v=" "/>
    <s v=" "/>
    <s v=" "/>
    <d v="1899-12-30T14:24:00"/>
    <s v=" "/>
    <s v="Ativo"/>
    <s v="CONSULTOR DE VENDAS"/>
    <x v="9"/>
    <s v="LJCTN"/>
  </r>
  <r>
    <n v="123941"/>
    <s v="VALDECI JUVENCIO DA SILVA"/>
    <s v="Diretoria Seminovos"/>
    <s v="RSSAO  - Regional Seminovos Varejo São Paulo"/>
    <s v="LJNAU - Vendas Varejo Seminovos Nações Unidas"/>
    <s v="DANIEL RODRIGUES CARDOZO DOS SANTOS JUNIOR"/>
    <s v="NEGATIVO"/>
    <d v="1899-12-30T18:16:00"/>
    <d v="1899-12-30T18:16:00"/>
    <d v="1899-12-30T00:00:00"/>
    <s v=" "/>
    <s v=" "/>
    <s v=" "/>
    <s v=" "/>
    <s v=" "/>
    <s v=" "/>
    <s v=" "/>
    <d v="1899-12-30T18:16:00"/>
    <s v=" "/>
    <s v=" "/>
    <s v=" "/>
    <s v=" "/>
    <s v="Ativo"/>
    <s v="CONSULTOR DE VENDAS"/>
    <x v="9"/>
    <s v="LJNAU"/>
  </r>
  <r>
    <n v="129535"/>
    <s v="VICENTE DA CRUZ BARBOSA FILHO"/>
    <s v="Diretoria Seminovos"/>
    <s v="RSSAO  - Regional Seminovos Varejo São Paulo"/>
    <s v="LJSPP - Vendas Varejo Seminovos Penha"/>
    <s v="FERNANDO CARDOSO DA SILVA FILHO"/>
    <s v="NEGATIVO"/>
    <d v="1900-01-04T05:55:00"/>
    <d v="1900-01-04T05:55:00"/>
    <d v="1899-12-30T00:00:00"/>
    <s v=" "/>
    <s v=" "/>
    <s v=" "/>
    <s v=" "/>
    <s v=" "/>
    <s v=" "/>
    <s v=" "/>
    <s v=" "/>
    <s v=" "/>
    <d v="1900-01-02T17:10:00"/>
    <d v="1899-12-31T12:45:00"/>
    <s v=" "/>
    <s v="Contrato de Trabalho Suspenso"/>
    <s v="CONSULTOR DE VENDAS"/>
    <x v="9"/>
    <s v="LJSPP"/>
  </r>
  <r>
    <n v="131071"/>
    <s v="VINICIUS DE CASTRO CRUZ"/>
    <s v="Diretoria Seminovos"/>
    <s v="RSSAO  - Regional Seminovos Varejo São Paulo"/>
    <s v="LJLPA - Vendas Varejo Seminovos Lapa"/>
    <s v="BRUNO SILVEIRA KAESER"/>
    <s v="NEGATIVO"/>
    <d v="1900-01-09T02:19:00"/>
    <d v="1900-01-09T02:19:00"/>
    <d v="1899-12-30T00:00:00"/>
    <s v=" "/>
    <s v=" "/>
    <s v=" "/>
    <s v=" "/>
    <s v=" "/>
    <s v=" "/>
    <s v=" "/>
    <s v=" "/>
    <d v="1899-12-30T02:30:00"/>
    <d v="1900-01-01T05:36:00"/>
    <d v="1900-01-06T18:13:00"/>
    <s v=" "/>
    <s v="Ativo"/>
    <s v="CONSULTOR DE VENDAS"/>
    <x v="9"/>
    <s v="LJLPA"/>
  </r>
  <r>
    <n v="135054"/>
    <s v="WANDERSON NEVES DA SILVA"/>
    <s v="Diretoria Seminovos"/>
    <s v="RSSAO  - Regional Seminovos Varejo São Paulo"/>
    <s v="LJNAU - Vendas Varejo Seminovos Nações Unidas"/>
    <s v="DANIEL RODRIGUES CARDOZO DOS SANTOS JUNIOR"/>
    <s v="NEGATIVO"/>
    <d v="1899-12-30T20:23:00"/>
    <d v="1899-12-30T20:23:00"/>
    <d v="1899-12-30T00:00:00"/>
    <s v=" "/>
    <s v=" "/>
    <s v=" "/>
    <s v=" "/>
    <s v=" "/>
    <s v=" "/>
    <d v="1899-12-30T11:45:00"/>
    <d v="1899-12-30T00:44:00"/>
    <d v="1899-12-30T00:42:00"/>
    <d v="1899-12-30T07:12:00"/>
    <s v=" "/>
    <s v=" "/>
    <s v="Contrato de Trabalho Suspenso"/>
    <s v="CONSULTOR DE VENDAS"/>
    <x v="9"/>
    <s v="LJNAU"/>
  </r>
  <r>
    <n v="503054"/>
    <s v="WILLIAM PALADINI"/>
    <s v="Diretoria Seminovos"/>
    <s v="RSSAO  - Regional Seminovos Varejo São Paulo"/>
    <s v="LJLPA - Vendas Varejo Seminovos Lapa"/>
    <s v="BRUNO SILVEIRA KAESER"/>
    <s v="NEGATIVO"/>
    <d v="1900-01-02T14:08:00"/>
    <d v="1900-01-02T14:08:00"/>
    <d v="1899-12-30T00:00:00"/>
    <s v=" "/>
    <s v=" "/>
    <s v=" "/>
    <s v=" "/>
    <s v=" "/>
    <s v=" "/>
    <s v=" "/>
    <s v=" "/>
    <s v=" "/>
    <d v="1900-01-01T03:10:00"/>
    <d v="1899-12-31T10:58:00"/>
    <s v=" "/>
    <s v="Contrato de Trabalho Suspenso"/>
    <s v="CONSULTOR DE VENDAS"/>
    <x v="9"/>
    <s v="LJLPA"/>
  </r>
  <r>
    <n v="135743"/>
    <s v="ANDERSON FERNANDO DA CRUZ"/>
    <s v="Diretoria Seminovos"/>
    <s v="RSSPI  - Regional Seminovos Varejo São Paulo Interior"/>
    <s v="LJCPK - Loja Seminovos Campinas"/>
    <s v="MARCELO RIBEIRO ANTONIO"/>
    <s v="NEGATIVO"/>
    <d v="1900-01-01T22:24:00"/>
    <d v="1900-01-01T22:24:00"/>
    <d v="1899-12-30T00:00:00"/>
    <s v=" "/>
    <s v=" "/>
    <s v=" "/>
    <s v=" "/>
    <s v=" "/>
    <s v=" "/>
    <s v=" "/>
    <s v=" "/>
    <s v=" "/>
    <s v=" "/>
    <s v=" "/>
    <d v="1900-01-01T22:24:00"/>
    <s v="Ativo"/>
    <s v="HIGIENIZADOR DE CARROS"/>
    <x v="10"/>
    <s v="LJCPK"/>
  </r>
  <r>
    <n v="125462"/>
    <s v="ANDRE LUIS EVANGELISTA"/>
    <s v="Diretoria Seminovos"/>
    <s v="RSSPI  - Regional Seminovos Varejo São Paulo Interior"/>
    <s v="LJMAR - Loja Seminovos Marilia"/>
    <s v="FABIO DAISUKE DANDOKO"/>
    <s v="NEGATIVO"/>
    <d v="1899-12-30T07:50:00"/>
    <d v="1899-12-30T07:50:00"/>
    <d v="1899-12-30T00:00:00"/>
    <s v=" "/>
    <s v=" "/>
    <s v=" "/>
    <s v=" "/>
    <s v=" "/>
    <s v=" "/>
    <s v=" "/>
    <s v=" "/>
    <s v=" "/>
    <d v="1899-12-30T07:50:00"/>
    <s v=" "/>
    <s v=" "/>
    <s v="Ativo"/>
    <s v="HIGIENIZADOR DE CARROS"/>
    <x v="10"/>
    <s v="LJMAR"/>
  </r>
  <r>
    <n v="118444"/>
    <s v="CEZARIO DIAS DE CASTRO"/>
    <s v="Diretoria Seminovos"/>
    <s v="RSSPI  - Regional Seminovos Varejo São Paulo Interior"/>
    <s v="LJMGF - Loja Seminovos Maringá"/>
    <s v="JOHN LESLIE ROSSONI"/>
    <s v="NEGATIVO"/>
    <d v="1899-12-30T08:00:00"/>
    <d v="1899-12-30T08:00:00"/>
    <d v="1899-12-30T00:00:00"/>
    <s v=" "/>
    <s v=" "/>
    <s v=" "/>
    <s v=" "/>
    <s v=" "/>
    <s v=" "/>
    <s v=" "/>
    <s v=" "/>
    <s v=" "/>
    <s v=" "/>
    <s v=" "/>
    <d v="1899-12-30T08:00:00"/>
    <s v="Férias"/>
    <s v="HIGIENIZADOR DE CARROS"/>
    <x v="10"/>
    <s v="LJMGF"/>
  </r>
  <r>
    <n v="131230"/>
    <s v="DANIELTON JOSE DA SILVA"/>
    <s v="Diretoria Seminovos"/>
    <s v="RSSPI  - Regional Seminovos Varejo São Paulo Interior"/>
    <s v="LJSTB - Loja Seminovos Santa Bárbara do Oeste"/>
    <s v="PABLO HENRIQUE CAMPOS MIGUEL"/>
    <s v="NEGATIVO"/>
    <d v="1899-12-31T23:56:00"/>
    <d v="1899-12-31T23:56:00"/>
    <d v="1899-12-30T00:00:00"/>
    <s v=" "/>
    <s v=" "/>
    <s v=" "/>
    <s v=" "/>
    <s v=" "/>
    <s v=" "/>
    <s v=" "/>
    <s v=" "/>
    <s v=" "/>
    <d v="1899-12-31T23:56:00"/>
    <s v=" "/>
    <s v=" "/>
    <s v="Ativo"/>
    <s v="HIGIENIZADOR DE CARROS"/>
    <x v="10"/>
    <s v="LJSTB"/>
  </r>
  <r>
    <n v="130842"/>
    <s v="DOUGLAS DE SOUZA BRIGATTI"/>
    <s v="Diretoria Seminovos"/>
    <s v="RSSPI  - Regional Seminovos Varejo São Paulo Interior"/>
    <s v="LJAMC - Loja Seminovos Americana"/>
    <s v="ENIO GRECHI NETO"/>
    <s v="NEGATIVO"/>
    <d v="1900-01-04T01:38:00"/>
    <d v="1900-01-04T01:38:00"/>
    <d v="1899-12-30T00:00:00"/>
    <s v=" "/>
    <s v=" "/>
    <s v=" "/>
    <s v=" "/>
    <s v=" "/>
    <s v=" "/>
    <s v=" "/>
    <s v=" "/>
    <s v=" "/>
    <d v="1900-01-03T06:00:00"/>
    <d v="1899-12-30T11:38:00"/>
    <s v=" "/>
    <s v="Contrato de Trabalho Suspenso"/>
    <s v="HIGIENIZADOR DE CARROS"/>
    <x v="10"/>
    <s v="LJAMC"/>
  </r>
  <r>
    <n v="124508"/>
    <s v="EDINALVA BATISTA DE SOUZA"/>
    <s v="Diretoria Seminovos"/>
    <s v="RSSPI  - Regional Seminovos Varejo São Paulo Interior"/>
    <s v="LJPRC - Loja Seminovos Piracicaba"/>
    <s v="LEANDRO LUCIANO BIASINI"/>
    <s v="NEGATIVO"/>
    <d v="1900-01-04T16:41:00"/>
    <d v="1900-01-04T16:41:00"/>
    <d v="1899-12-30T00:00:00"/>
    <s v=" "/>
    <s v=" "/>
    <s v=" "/>
    <s v=" "/>
    <s v=" "/>
    <s v=" "/>
    <s v=" "/>
    <d v="1899-12-31T23:41:00"/>
    <s v=" "/>
    <s v=" "/>
    <d v="1900-01-02T13:00:00"/>
    <d v="1899-12-30T04:00:00"/>
    <s v="Ativo"/>
    <s v="AUX. DE SERVICOS GERAIS - DIRCS"/>
    <x v="10"/>
    <s v="LJPRC"/>
  </r>
  <r>
    <n v="132059"/>
    <s v="EDSON AFONSO VITAL"/>
    <s v="Diretoria Seminovos"/>
    <s v="RSSPI  - Regional Seminovos Varejo São Paulo Interior"/>
    <s v="LJAMC - Loja Seminovos Americana"/>
    <s v="ENIO GRECHI NETO"/>
    <s v="NEGATIVO"/>
    <d v="1899-12-30T09:55:00"/>
    <d v="1899-12-30T09:55:00"/>
    <d v="1899-12-30T00:00:00"/>
    <s v=" "/>
    <s v=" "/>
    <s v=" "/>
    <s v=" "/>
    <s v=" "/>
    <s v=" "/>
    <s v=" "/>
    <s v=" "/>
    <s v=" "/>
    <d v="1899-12-30T06:52:00"/>
    <d v="1899-12-30T08:20:00"/>
    <d v="1899-12-30T00:13:00"/>
    <s v="Ativo"/>
    <s v="HIGIENIZADOR DE CARROS"/>
    <x v="10"/>
    <s v="LJAMC"/>
  </r>
  <r>
    <n v="501441"/>
    <s v="EDUARDO BALTAZAR BEBIANO"/>
    <s v="Diretoria Seminovos"/>
    <s v="RSSPI  - Regional Seminovos Varejo São Paulo Interior"/>
    <s v="LJCPQ - Loja Seminovos Campinas"/>
    <s v="PAULO CESAR RIBEIRO"/>
    <s v="NEGATIVO"/>
    <d v="1900-01-01T16:00:00"/>
    <d v="1900-01-01T16:00:00"/>
    <d v="1899-12-30T00:00:00"/>
    <s v=" "/>
    <s v=" "/>
    <s v=" "/>
    <s v=" "/>
    <s v=" "/>
    <s v=" "/>
    <s v=" "/>
    <s v=" "/>
    <s v=" "/>
    <d v="1900-01-01T16:00:00"/>
    <s v=" "/>
    <s v=" "/>
    <s v="Ativo"/>
    <s v="HIGIENIZADOR DE CARROS"/>
    <x v="10"/>
    <s v="LJCPQ"/>
  </r>
  <r>
    <n v="132817"/>
    <s v="ELIANE APARECIDA DE SOUZA FLAUSINO"/>
    <s v="Diretoria Seminovos"/>
    <s v="RSSPI  - Regional Seminovos Varejo São Paulo Interior"/>
    <s v="LJIND - Loja Seminovos Indaiatuba"/>
    <s v="EDELCIO DE SOUZA SILVA"/>
    <s v="NEGATIVO"/>
    <d v="1899-12-31T00:00:00"/>
    <d v="1899-12-31T00:00:00"/>
    <d v="1899-12-30T00:00:00"/>
    <s v=" "/>
    <s v=" "/>
    <s v=" "/>
    <s v=" "/>
    <s v=" "/>
    <s v=" "/>
    <s v=" "/>
    <s v=" "/>
    <s v=" "/>
    <d v="1899-12-30T20:00:00"/>
    <d v="1899-12-30T04:00:00"/>
    <s v=" "/>
    <s v="Ativo"/>
    <s v="AUX. DE SERVICOS GERAIS - DIRCS"/>
    <x v="10"/>
    <s v="LJIND"/>
  </r>
  <r>
    <n v="123287"/>
    <s v="IRACEMA DE FATIMA SILVA CRUZ"/>
    <s v="Diretoria Seminovos"/>
    <s v="RSSPI  - Regional Seminovos Varejo São Paulo Interior"/>
    <s v="LJMAR - Loja Seminovos Marilia"/>
    <s v="FABIO DAISUKE DANDOKO"/>
    <s v="NEGATIVO"/>
    <d v="1900-01-01T16:44:00"/>
    <d v="1900-01-01T16:44:00"/>
    <d v="1899-12-30T00:00:00"/>
    <s v=" "/>
    <s v=" "/>
    <s v=" "/>
    <s v=" "/>
    <s v=" "/>
    <s v=" "/>
    <d v="1899-12-30T00:44:00"/>
    <d v="1900-01-01T16:00:00"/>
    <s v=" "/>
    <s v=" "/>
    <s v=" "/>
    <s v=" "/>
    <s v="Ativo"/>
    <s v="AUX. DE SERVICOS GERAIS - DIRCS"/>
    <x v="10"/>
    <s v="LJMAR"/>
  </r>
  <r>
    <n v="134668"/>
    <s v="JESSICA CRISTINA PAULA SABINO"/>
    <s v="Diretoria Seminovos"/>
    <s v="RSSPI  - Regional Seminovos Varejo São Paulo Interior"/>
    <s v="LJSJP - Loja Seminovos São José do Rio Preto"/>
    <s v="FABIANO GOMES DE CAMPOS"/>
    <s v="NEGATIVO"/>
    <d v="1899-12-31T09:20:00"/>
    <d v="1899-12-31T09:20:00"/>
    <d v="1899-12-30T00:00:00"/>
    <s v=" "/>
    <s v=" "/>
    <s v=" "/>
    <s v=" "/>
    <s v=" "/>
    <s v=" "/>
    <s v=" "/>
    <s v=" "/>
    <s v=" "/>
    <s v=" "/>
    <d v="1899-12-31T07:59:00"/>
    <d v="1899-12-30T01:22:00"/>
    <s v="Ativo"/>
    <s v="AUX. DE SERVICOS GERAIS - DIRCS"/>
    <x v="10"/>
    <s v="LJSJP"/>
  </r>
  <r>
    <n v="135804"/>
    <s v="JILVANIA SANTOS SANTANA"/>
    <s v="Diretoria Seminovos"/>
    <s v="RSSPI  - Regional Seminovos Varejo São Paulo Interior"/>
    <s v="LJSTB - Loja Seminovos Santa Bárbara do Oeste"/>
    <s v="PABLO HENRIQUE CAMPOS MIGUEL"/>
    <s v="NEGATIVO"/>
    <d v="1900-01-05T22:10:00"/>
    <d v="1900-01-05T22:10:00"/>
    <d v="1899-12-30T00:00:00"/>
    <s v=" "/>
    <s v=" "/>
    <s v=" "/>
    <s v=" "/>
    <s v=" "/>
    <s v=" "/>
    <s v=" "/>
    <d v="1900-01-01T18:10:00"/>
    <d v="1900-01-01T08:00:00"/>
    <s v=" "/>
    <d v="1899-12-31T20:00:00"/>
    <s v=" "/>
    <s v="Ativo"/>
    <s v="AUX. DE SERVICOS GERAIS - DIRCS"/>
    <x v="10"/>
    <s v="LJSTB"/>
  </r>
  <r>
    <n v="501126"/>
    <s v="JOANA D ARC GONCALVES DE ARAUJO SILVA"/>
    <s v="Diretoria Seminovos"/>
    <s v="RSSPI  - Regional Seminovos Varejo São Paulo Interior"/>
    <s v="LJCPQ - Loja Seminovos Campinas"/>
    <s v="PAULO CESAR RIBEIRO"/>
    <s v="NEGATIVO"/>
    <d v="1899-12-30T19:02:00"/>
    <d v="1899-12-30T19:02:00"/>
    <d v="1899-12-30T00:00:00"/>
    <s v=" "/>
    <s v=" "/>
    <s v=" "/>
    <s v=" "/>
    <s v=" "/>
    <s v=" "/>
    <s v=" "/>
    <d v="1899-12-30T19:02:00"/>
    <s v=" "/>
    <s v=" "/>
    <s v=" "/>
    <s v=" "/>
    <s v="Ativo"/>
    <s v="AUX. DE SERVICOS GERAIS - DIRCS"/>
    <x v="10"/>
    <s v="LJCPQ"/>
  </r>
  <r>
    <n v="131739"/>
    <s v="KENON CRHYSTIAN DE OLIVEIRA BORNAL"/>
    <s v="Diretoria Seminovos"/>
    <s v="RSSPI  - Regional Seminovos Varejo São Paulo Interior"/>
    <s v="LJLDB - Loja Seminovos Londrina"/>
    <s v="ANA RITA NEVES MOREIRA"/>
    <s v="NEGATIVO"/>
    <d v="1899-12-30T17:40:00"/>
    <d v="1899-12-30T17:40:00"/>
    <d v="1899-12-30T00:00:00"/>
    <s v=" "/>
    <s v=" "/>
    <s v=" "/>
    <s v=" "/>
    <s v=" "/>
    <s v=" "/>
    <s v=" "/>
    <s v=" "/>
    <s v=" "/>
    <s v=" "/>
    <d v="1899-12-30T09:20:00"/>
    <d v="1899-12-30T05:36:00"/>
    <s v="Ativo"/>
    <s v="HIGIENIZADOR DE CARROS"/>
    <x v="10"/>
    <s v="LJLDB"/>
  </r>
  <r>
    <n v="132763"/>
    <s v="LIZETE NELIDIA ALEXANDRINO DA SILVA"/>
    <s v="Diretoria Seminovos"/>
    <s v="RSSPI  - Regional Seminovos Varejo São Paulo Interior"/>
    <s v="LJAMC - Loja Seminovos Americana"/>
    <s v="ENIO GRECHI NETO"/>
    <s v="NEGATIVO"/>
    <d v="1899-12-31T13:03:00"/>
    <d v="1899-12-31T13:03:00"/>
    <d v="1899-12-30T00:00:00"/>
    <s v=" "/>
    <s v=" "/>
    <s v=" "/>
    <s v=" "/>
    <s v=" "/>
    <s v=" "/>
    <s v=" "/>
    <d v="1899-12-30T08:19:00"/>
    <d v="1899-12-30T05:02:00"/>
    <s v=" "/>
    <d v="1899-12-30T19:22:00"/>
    <d v="1899-12-30T06:00:00"/>
    <s v="Ativo"/>
    <s v="AUX. DE SERVICOS GERAIS - DIRCS"/>
    <x v="10"/>
    <s v="LJAMC"/>
  </r>
  <r>
    <n v="125454"/>
    <s v="MARIA APARECIDA DOS SANTOS"/>
    <s v="Diretoria Seminovos"/>
    <s v="RSSPI  - Regional Seminovos Varejo São Paulo Interior"/>
    <s v="LJJUN - Loja Seminovos Jundiaí"/>
    <s v="EDUARDO DE MELO JAGOBUCCI"/>
    <s v="NEGATIVO"/>
    <d v="1900-01-03T04:00:00"/>
    <d v="1900-01-03T04:00:00"/>
    <d v="1899-12-30T00:00:00"/>
    <s v=" "/>
    <s v=" "/>
    <s v=" "/>
    <s v=" "/>
    <s v=" "/>
    <s v=" "/>
    <s v=" "/>
    <s v=" "/>
    <s v=" "/>
    <s v=" "/>
    <d v="1900-01-03T04:00:00"/>
    <s v=" "/>
    <s v="Ativo"/>
    <s v="AUX. DE SERVICOS GERAIS - DIRCS"/>
    <x v="10"/>
    <s v="LJJUN"/>
  </r>
  <r>
    <n v="117928"/>
    <s v="MARIA DOLORES SILVA DE MELO"/>
    <s v="Diretoria Seminovos"/>
    <s v="RSSPI  - Regional Seminovos Varejo São Paulo Interior"/>
    <s v="LJMGF - Loja Seminovos Maringá"/>
    <s v="JOHN LESLIE ROSSONI"/>
    <s v="NEGATIVO"/>
    <d v="1899-12-31T07:04:00"/>
    <d v="1899-12-31T07:04:00"/>
    <d v="1899-12-30T00:00:00"/>
    <s v=" "/>
    <s v=" "/>
    <s v=" "/>
    <s v=" "/>
    <s v=" "/>
    <s v=" "/>
    <s v=" "/>
    <s v=" "/>
    <s v=" "/>
    <s v=" "/>
    <s v=" "/>
    <d v="1899-12-30T15:04:00"/>
    <s v="Ativo"/>
    <s v="AUX. DE SERVICOS GERAIS - DIRCS"/>
    <x v="10"/>
    <s v="LJMGF"/>
  </r>
  <r>
    <n v="135819"/>
    <s v="MARIA IVANIR SOUSA LIMA"/>
    <s v="Diretoria Seminovos"/>
    <s v="RSSPI  - Regional Seminovos Varejo São Paulo Interior"/>
    <s v="LJTAQ - Loja Seminovos Taquaral Campinas"/>
    <s v="ANDRE LUIZ LOPES"/>
    <s v="NEGATIVO"/>
    <d v="1899-12-30T00:31:00"/>
    <d v="1899-12-30T00:31:00"/>
    <d v="1899-12-30T00:00:00"/>
    <s v=" "/>
    <s v=" "/>
    <s v=" "/>
    <s v=" "/>
    <s v=" "/>
    <s v=" "/>
    <s v=" "/>
    <d v="1899-12-30T00:31:00"/>
    <s v=" "/>
    <s v=" "/>
    <s v=" "/>
    <s v=" "/>
    <s v="Ativo"/>
    <s v="ADMINISTRATIVO I - FILIAL"/>
    <x v="10"/>
    <s v="LJTAQ"/>
  </r>
  <r>
    <n v="125453"/>
    <s v="MARRONE MATHEUS BATISTA"/>
    <s v="Diretoria Seminovos"/>
    <s v="RSSPI  - Regional Seminovos Varejo São Paulo Interior"/>
    <s v="LJJUN - Loja Seminovos Jundiaí"/>
    <s v="EDUARDO DE MELO JAGOBUCCI"/>
    <s v="NEGATIVO"/>
    <d v="1900-01-06T08:00:00"/>
    <d v="1900-01-06T08:00:00"/>
    <d v="1899-12-30T00:00:00"/>
    <s v=" "/>
    <s v=" "/>
    <s v=" "/>
    <s v=" "/>
    <s v=" "/>
    <s v=" "/>
    <s v=" "/>
    <s v=" "/>
    <s v=" "/>
    <s v=" "/>
    <d v="1900-01-06T08:00:00"/>
    <s v=" "/>
    <s v="Ativo"/>
    <s v="HIGIENIZADOR DE CARROS"/>
    <x v="10"/>
    <s v="LJJUN"/>
  </r>
  <r>
    <n v="134680"/>
    <s v="PAULO HENRIQUE CASEMIRO"/>
    <s v="Diretoria Seminovos"/>
    <s v="RSSPI  - Regional Seminovos Varejo São Paulo Interior"/>
    <s v="LJARA - Loja Seminovos Araraquara"/>
    <s v="PETERSON CRAVEIRO FERNANDES"/>
    <s v="NEGATIVO"/>
    <d v="1899-12-30T08:53:00"/>
    <d v="1899-12-30T08:53:00"/>
    <d v="1899-12-30T00:00:00"/>
    <s v=" "/>
    <s v=" "/>
    <s v=" "/>
    <s v=" "/>
    <s v=" "/>
    <s v=" "/>
    <s v=" "/>
    <s v=" "/>
    <s v=" "/>
    <s v=" "/>
    <d v="1899-12-30T07:58:00"/>
    <d v="1899-12-30T00:55:00"/>
    <s v="Ativo"/>
    <s v="HIGIENIZADOR DE CARROS"/>
    <x v="10"/>
    <s v="LJARA"/>
  </r>
  <r>
    <n v="122225"/>
    <s v="ROBERTO DA SILVA PACHECO"/>
    <s v="Diretoria Seminovos"/>
    <s v="RSSPI  - Regional Seminovos Varejo São Paulo Interior"/>
    <s v="LJIND - Loja Seminovos Indaiatuba"/>
    <s v="EDELCIO DE SOUZA SILVA"/>
    <s v="NEGATIVO"/>
    <d v="1900-01-01T00:00:00"/>
    <d v="1900-01-01T00:00:00"/>
    <d v="1899-12-30T00:00:00"/>
    <s v=" "/>
    <s v=" "/>
    <s v=" "/>
    <s v=" "/>
    <s v=" "/>
    <s v=" "/>
    <s v=" "/>
    <s v=" "/>
    <s v=" "/>
    <d v="1899-12-31T16:00:00"/>
    <d v="1899-12-30T08:00:00"/>
    <s v=" "/>
    <s v="Ativo"/>
    <s v="HIGIENIZADOR DE CARROS"/>
    <x v="10"/>
    <s v="LJIND"/>
  </r>
  <r>
    <n v="131447"/>
    <s v="RODRIGO APARECIDO DE OLIVEIRA"/>
    <s v="Diretoria Seminovos"/>
    <s v="RSSPI  - Regional Seminovos Varejo São Paulo Interior"/>
    <s v="LJBAU - Loja Seminovos Bauru"/>
    <s v="EDUARDO HARUTOSHI HORIKAWA"/>
    <s v="NEGATIVO"/>
    <d v="1899-12-30T14:17:00"/>
    <d v="1899-12-30T14:17:00"/>
    <d v="1899-12-30T00:00:00"/>
    <s v=" "/>
    <s v=" "/>
    <s v=" "/>
    <s v=" "/>
    <s v=" "/>
    <s v=" "/>
    <s v=" "/>
    <s v=" "/>
    <s v=" "/>
    <s v=" "/>
    <d v="1899-12-30T09:38:00"/>
    <d v="1899-12-30T05:57:00"/>
    <s v="Ativo"/>
    <s v="HIGIENIZADOR DE CARROS"/>
    <x v="10"/>
    <s v="LJBAU"/>
  </r>
  <r>
    <n v="136130"/>
    <s v="SILVANA APARECIDA JACOMINI"/>
    <s v="Diretoria Seminovos"/>
    <s v="RSSPI  - Regional Seminovos Varejo São Paulo Interior"/>
    <s v="LJRBP - Loja Seminovos  Ribeirão Preto"/>
    <s v="EVARISTO ALVES MATOS"/>
    <s v="NEGATIVO"/>
    <d v="1900-01-07T19:29:00"/>
    <d v="1900-01-07T19:29:00"/>
    <d v="1899-12-30T00:00:00"/>
    <s v=" "/>
    <s v=" "/>
    <s v=" "/>
    <s v=" "/>
    <d v="1899-12-30T08:57:00"/>
    <d v="1899-12-31T02:24:00"/>
    <d v="1899-12-31T07:17:00"/>
    <d v="1900-01-01T19:15:00"/>
    <s v=" "/>
    <s v=" "/>
    <d v="1900-01-01T21:00:00"/>
    <d v="1899-12-30T04:24:00"/>
    <s v="Ativo"/>
    <s v="AUX. DE SERVICOS GERAIS - DIRCS"/>
    <x v="10"/>
    <s v="LJRBP"/>
  </r>
  <r>
    <n v="121057"/>
    <s v="WELLINGTON PEREIRA DOS SANTOS"/>
    <s v="Diretoria Seminovos"/>
    <s v="RSSPI  - Regional Seminovos Varejo São Paulo Interior"/>
    <s v="LJMGF - Loja Seminovos Maringá"/>
    <s v="JOHN LESLIE ROSSONI"/>
    <s v="NEGATIVO"/>
    <d v="1900-01-02T04:29:00"/>
    <d v="1900-01-02T04:29:00"/>
    <d v="1899-12-30T00:00:00"/>
    <s v=" "/>
    <s v=" "/>
    <s v=" "/>
    <s v=" "/>
    <s v=" "/>
    <s v=" "/>
    <s v=" "/>
    <s v=" "/>
    <s v=" "/>
    <s v=" "/>
    <s v=" "/>
    <d v="1899-12-31T16:29:00"/>
    <s v="Ativo"/>
    <s v="HIGIENIZADOR DE CARROS"/>
    <x v="10"/>
    <s v="LJMGF"/>
  </r>
  <r>
    <n v="135023"/>
    <s v="ALBERTO JOSE BATISTA PEREIRA"/>
    <s v="Diretoria Seminovos"/>
    <s v="RSSPI  - Regional Seminovos Varejo São Paulo Interior"/>
    <s v="LJTAQ - Vendas Varejo Seminovos Taquaral Campinas"/>
    <s v="ANDRE LUIZ LOPES"/>
    <s v="NEGATIVO"/>
    <d v="1899-12-30T11:22:00"/>
    <d v="1899-12-30T11:22:00"/>
    <d v="1899-12-30T00:00:00"/>
    <s v=" "/>
    <s v=" "/>
    <s v=" "/>
    <s v=" "/>
    <s v=" "/>
    <s v=" "/>
    <s v=" "/>
    <d v="1899-12-30T02:34:00"/>
    <d v="1899-12-30T08:48:00"/>
    <s v=" "/>
    <s v=" "/>
    <s v=" "/>
    <s v="Ativo"/>
    <s v="CONSULTOR DE VENDAS"/>
    <x v="10"/>
    <s v="LJTAQ"/>
  </r>
  <r>
    <n v="135376"/>
    <s v="ALEXANDER VACCARI"/>
    <s v="Diretoria Seminovos"/>
    <s v="RSSPI  - Regional Seminovos Varejo São Paulo Interior"/>
    <s v="LJRBP - Vendas Varejo Seminovos Ribeirão Preto"/>
    <s v="EVARISTO ALVES MATOS"/>
    <s v="NEGATIVO"/>
    <d v="1899-12-30T19:47:00"/>
    <d v="1899-12-30T19:47:00"/>
    <d v="1899-12-30T00:00:00"/>
    <s v=" "/>
    <s v=" "/>
    <s v=" "/>
    <s v=" "/>
    <s v=" "/>
    <s v=" "/>
    <d v="1899-12-30T08:19:00"/>
    <d v="1899-12-30T05:52:00"/>
    <d v="1899-12-30T04:00:00"/>
    <s v=" "/>
    <s v=" "/>
    <s v=" "/>
    <s v="Ativo"/>
    <s v="CONSULTOR DE VENDAS"/>
    <x v="10"/>
    <s v="LJRBP"/>
  </r>
  <r>
    <n v="133617"/>
    <s v="ANA CAROLYNE DA SILVA CAMILO"/>
    <s v="Diretoria Seminovos"/>
    <s v="RSSPI  - Regional Seminovos Varejo São Paulo Interior"/>
    <s v="LJMGF - Vendas Varejo Seminovos Maringá"/>
    <s v="JOHN LESLIE ROSSONI"/>
    <s v="NEGATIVO"/>
    <d v="1899-12-30T13:01:00"/>
    <d v="1899-12-30T13:01:00"/>
    <d v="1899-12-30T00:00:00"/>
    <s v=" "/>
    <s v=" "/>
    <s v=" "/>
    <s v=" "/>
    <s v=" "/>
    <s v=" "/>
    <s v=" "/>
    <s v=" "/>
    <s v=" "/>
    <d v="1899-12-30T12:13:00"/>
    <d v="1899-12-30T04:00:00"/>
    <s v=" "/>
    <s v="Ativo"/>
    <s v="CONSULTOR DE VENDAS"/>
    <x v="10"/>
    <s v="LJMGF"/>
  </r>
  <r>
    <n v="131482"/>
    <s v="ANA PAULA DA SILVA CAMILO LOMBARDI"/>
    <s v="Diretoria Seminovos"/>
    <s v="RSSPI  - Regional Seminovos Varejo São Paulo Interior"/>
    <s v="LJLDB - Vendas Varejo Seminovos Londrina"/>
    <s v="ANA RITA NEVES MOREIRA"/>
    <s v="NEGATIVO"/>
    <d v="1899-12-30T05:08:00"/>
    <d v="1899-12-30T05:08:00"/>
    <d v="1899-12-30T00:00:00"/>
    <s v=" "/>
    <s v=" "/>
    <s v=" "/>
    <s v=" "/>
    <s v=" "/>
    <s v=" "/>
    <s v=" "/>
    <s v=" "/>
    <s v=" "/>
    <s v=" "/>
    <d v="1899-12-30T12:10:00"/>
    <d v="1899-12-30T00:45:00"/>
    <s v="Ativo"/>
    <s v="CONSULTOR DE VENDAS"/>
    <x v="10"/>
    <s v="LJLDB"/>
  </r>
  <r>
    <n v="134576"/>
    <s v="ARALDO JOSE RIVIERI"/>
    <s v="Diretoria Seminovos"/>
    <s v="RSSPI  - Regional Seminovos Varejo São Paulo Interior"/>
    <s v="LJIND - Vendas Varejo Seminovos Indaiatuba"/>
    <s v="EDELCIO DE SOUZA SILVA"/>
    <s v="NEGATIVO"/>
    <d v="1899-12-30T19:56:00"/>
    <d v="1899-12-30T19:56:00"/>
    <d v="1899-12-30T00:00:00"/>
    <s v=" "/>
    <s v=" "/>
    <s v=" "/>
    <s v=" "/>
    <s v=" "/>
    <s v=" "/>
    <s v=" "/>
    <s v=" "/>
    <d v="1899-12-30T19:56:00"/>
    <s v=" "/>
    <s v=" "/>
    <s v=" "/>
    <s v="Ativo"/>
    <s v="CONSULTOR DE VENDAS"/>
    <x v="10"/>
    <s v="LJIND"/>
  </r>
  <r>
    <n v="130261"/>
    <s v="CINTIA CORREA OTRE"/>
    <s v="Diretoria Seminovos"/>
    <s v="RSSPI  - Regional Seminovos Varejo São Paulo Interior"/>
    <s v="LJMAR - Vendas Varejo Seminovos Marília"/>
    <s v="FABIO DAISUKE DANDOKO"/>
    <s v="NEGATIVO"/>
    <d v="1899-12-30T19:30:00"/>
    <d v="1899-12-30T19:30:00"/>
    <d v="1899-12-30T00:00:00"/>
    <s v=" "/>
    <s v=" "/>
    <s v=" "/>
    <s v=" "/>
    <s v=" "/>
    <s v=" "/>
    <s v=" "/>
    <d v="1899-12-30T12:18:00"/>
    <s v=" "/>
    <s v=" "/>
    <d v="1899-12-30T07:12:00"/>
    <s v=" "/>
    <s v="Ativo"/>
    <s v="CONSULTOR DE VENDAS"/>
    <x v="10"/>
    <s v="LJMAR"/>
  </r>
  <r>
    <n v="130739"/>
    <s v="CRISTIANA DA COSTA BARRETO"/>
    <s v="Diretoria Seminovos"/>
    <s v="RSSPI  - Regional Seminovos Varejo São Paulo Interior"/>
    <s v="LJARA - Vendas Varejo Seminovos Araraquara"/>
    <s v="PETERSON CRAVEIRO FERNANDES"/>
    <s v="NEGATIVO"/>
    <d v="1899-12-30T10:08:00"/>
    <d v="1899-12-30T10:08:00"/>
    <d v="1899-12-30T00:00:00"/>
    <s v=" "/>
    <s v=" "/>
    <s v=" "/>
    <s v=" "/>
    <s v=" "/>
    <s v=" "/>
    <s v=" "/>
    <s v=" "/>
    <s v=" "/>
    <d v="1899-12-30T05:44:00"/>
    <d v="1899-12-30T04:24:00"/>
    <s v=" "/>
    <s v="Ativo"/>
    <s v="CONSULTOR DE VENDAS"/>
    <x v="10"/>
    <s v="LJARA"/>
  </r>
  <r>
    <n v="137209"/>
    <s v="EDUARDO FERREIRA MACHADO POMPEU"/>
    <s v="Diretoria Seminovos"/>
    <s v="RSSPI  - Regional Seminovos Varejo São Paulo Interior"/>
    <s v="LJLIM - Vendas Varejo Seminovos Limeira"/>
    <s v="ENIO GRECHI NETO"/>
    <s v="NEGATIVO"/>
    <d v="1899-12-30T00:12:00"/>
    <d v="1899-12-30T00:12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LIM"/>
  </r>
  <r>
    <n v="123055"/>
    <s v="DANILO NOVAIS DE OLIVEIRA"/>
    <s v="Diretoria Seminovos"/>
    <s v="RSSPI  - Regional Seminovos Varejo São Paulo Interior"/>
    <s v="LJMAR - Vendas Varejo Seminovos Marília"/>
    <s v="FABIO DAISUKE DANDOKO"/>
    <s v="NEGATIVO"/>
    <d v="1899-12-30T08:54:00"/>
    <d v="1899-12-30T08:54:00"/>
    <d v="1899-12-30T00:00:00"/>
    <s v=" "/>
    <s v=" "/>
    <s v=" "/>
    <s v=" "/>
    <s v=" "/>
    <s v=" "/>
    <d v="1899-12-30T02:22:00"/>
    <d v="1899-12-30T06:32:00"/>
    <s v=" "/>
    <s v=" "/>
    <s v=" "/>
    <s v=" "/>
    <s v="Ativo"/>
    <s v="CONSULTOR DE VENDAS"/>
    <x v="10"/>
    <s v="LJMAR"/>
  </r>
  <r>
    <n v="132418"/>
    <s v="FABIO GOMES BEZERRA"/>
    <s v="Diretoria Seminovos"/>
    <s v="RSSPI  - Regional Seminovos Varejo São Paulo Interior"/>
    <s v="LJCPQ - Vendas Varejo Seminovos Campinas"/>
    <s v="PAULO CESAR RIBEIRO"/>
    <s v="NEGATIVO"/>
    <d v="1900-01-01T22:24:00"/>
    <d v="1900-01-01T22:24:00"/>
    <d v="1899-12-30T00:00:00"/>
    <s v=" "/>
    <s v=" "/>
    <s v=" "/>
    <s v=" "/>
    <s v=" "/>
    <s v=" "/>
    <s v=" "/>
    <s v=" "/>
    <s v=" "/>
    <d v="1900-01-01T22:24:00"/>
    <s v=" "/>
    <s v=" "/>
    <s v="Ativo"/>
    <s v="CONSULTOR DE VENDAS"/>
    <x v="10"/>
    <s v="LJCPQ"/>
  </r>
  <r>
    <n v="134516"/>
    <s v="FELIPE CALONI"/>
    <s v="Diretoria Seminovos"/>
    <s v="RSSPI  - Regional Seminovos Varejo São Paulo Interior"/>
    <s v="LJARA - Vendas Varejo Seminovos Araraquara"/>
    <s v="PETERSON CRAVEIRO FERNANDES"/>
    <s v="NEGATIVO"/>
    <d v="1900-01-03T12:08:00"/>
    <d v="1900-01-03T12:08:00"/>
    <d v="1899-12-30T00:00:00"/>
    <s v=" "/>
    <s v=" "/>
    <s v=" "/>
    <s v=" "/>
    <s v=" "/>
    <s v=" "/>
    <s v=" "/>
    <s v=" "/>
    <s v=" "/>
    <d v="1899-12-30T07:20:00"/>
    <d v="1900-01-03T04:48:00"/>
    <s v=" "/>
    <s v="Ativo"/>
    <s v="CONSULTOR DE VENDAS"/>
    <x v="10"/>
    <s v="LJARA"/>
  </r>
  <r>
    <n v="133959"/>
    <s v="FELIPE SODRE MARQUES"/>
    <s v="Diretoria Seminovos"/>
    <s v="RSSPI  - Regional Seminovos Varejo São Paulo Interior"/>
    <s v="LJCPQ - Vendas Varejo Seminovos Campinas"/>
    <s v="PAULO CESAR RIBEIRO"/>
    <s v="NEGATIVO"/>
    <d v="1900-01-01T09:36:00"/>
    <d v="1900-01-01T09:36:00"/>
    <d v="1899-12-30T00:00:00"/>
    <s v=" "/>
    <s v=" "/>
    <s v=" "/>
    <s v=" "/>
    <s v=" "/>
    <s v=" "/>
    <s v=" "/>
    <s v=" "/>
    <s v=" "/>
    <d v="1900-01-01T09:36:00"/>
    <s v=" "/>
    <s v=" "/>
    <s v="Ativo"/>
    <s v="CONSULTOR DE VENDAS"/>
    <x v="10"/>
    <s v="LJCPQ"/>
  </r>
  <r>
    <n v="132809"/>
    <s v="GREGORY DIOGO"/>
    <s v="Diretoria Seminovos"/>
    <s v="RSSPI  - Regional Seminovos Varejo São Paulo Interior"/>
    <s v="LJCPK - Vendas Varejo Seminovos Campinas"/>
    <s v="MARCELO RIBEIRO ANTONIO"/>
    <s v="NEGATIVO"/>
    <d v="1899-12-30T08:00:00"/>
    <d v="1899-12-30T08:00:00"/>
    <d v="1899-12-30T00:00:00"/>
    <s v=" "/>
    <s v=" "/>
    <s v=" "/>
    <s v=" "/>
    <s v=" "/>
    <s v=" "/>
    <s v=" "/>
    <s v=" "/>
    <s v=" "/>
    <d v="1899-12-30T08:00:00"/>
    <s v=" "/>
    <s v=" "/>
    <s v="Ativo"/>
    <s v="CONSULTOR DE VENDAS"/>
    <x v="10"/>
    <s v="LJCPK"/>
  </r>
  <r>
    <n v="129701"/>
    <s v="HELDER PEREIRA DA SILVA"/>
    <s v="Diretoria Seminovos"/>
    <s v="RSSPI  - Regional Seminovos Varejo São Paulo Interior"/>
    <s v="LJCPQ - Vendas Varejo Seminovos Campinas"/>
    <s v="PAULO CESAR RIBEIRO"/>
    <s v="NEGATIVO"/>
    <d v="1900-01-01T04:18:00"/>
    <d v="1900-01-01T04:18:00"/>
    <d v="1899-12-30T00:00:00"/>
    <s v=" "/>
    <s v=" "/>
    <s v=" "/>
    <s v=" "/>
    <s v=" "/>
    <s v=" "/>
    <s v=" "/>
    <s v=" "/>
    <s v=" "/>
    <d v="1900-01-01T04:18:00"/>
    <s v=" "/>
    <s v=" "/>
    <s v="Ativo"/>
    <s v="CONSULTOR DE VENDAS"/>
    <x v="10"/>
    <s v="LJCPQ"/>
  </r>
  <r>
    <n v="503351"/>
    <s v="HILARIO JOSE MANTOVANI"/>
    <s v="Diretoria Seminovos"/>
    <s v="RSSPI  - Regional Seminovos Varejo São Paulo Interior"/>
    <s v="LJBAU - Vendas Varejo Seminovos Bauru"/>
    <s v="EDUARDO HARUTOSHI HORIKAWA"/>
    <s v="NEGATIVO"/>
    <d v="1899-12-30T03:16:00"/>
    <d v="1899-12-30T03:16:00"/>
    <d v="1899-12-30T00:00:00"/>
    <s v=" "/>
    <s v=" "/>
    <s v=" "/>
    <s v=" "/>
    <s v=" "/>
    <s v=" "/>
    <s v=" "/>
    <s v=" "/>
    <s v=" "/>
    <s v=" "/>
    <s v=" "/>
    <d v="1899-12-30T02:55:00"/>
    <s v="Ativo"/>
    <s v="CONSULTOR DE VENDAS"/>
    <x v="10"/>
    <s v="LJBAU"/>
  </r>
  <r>
    <n v="123337"/>
    <s v="JOAO GUILHERME LISBOA"/>
    <s v="Diretoria Seminovos"/>
    <s v="RSSPI  - Regional Seminovos Varejo São Paulo Interior"/>
    <s v="LJMGF - Vendas Varejo Seminovos Maringá"/>
    <s v="JOHN LESLIE ROSSONI"/>
    <s v="NEGATIVO"/>
    <d v="1899-12-30T04:40:00"/>
    <d v="1899-12-30T04:40:00"/>
    <d v="1899-12-30T00:00:00"/>
    <s v=" "/>
    <s v=" "/>
    <s v=" "/>
    <s v=" "/>
    <s v=" "/>
    <s v=" "/>
    <s v=" "/>
    <s v=" "/>
    <s v=" "/>
    <d v="1899-12-30T00:52:00"/>
    <d v="1899-12-30T03:48:00"/>
    <s v=" "/>
    <s v="Contrato de Trabalho Suspenso"/>
    <s v="CONSULTOR DE VENDAS"/>
    <x v="10"/>
    <s v="LJMGF"/>
  </r>
  <r>
    <n v="131271"/>
    <s v="JOAO RICARDO DE OLIVEIRA SANTOS"/>
    <s v="Diretoria Seminovos"/>
    <s v="RSSPI  - Regional Seminovos Varejo São Paulo Interior"/>
    <s v="LJLDB - Vendas Varejo Seminovos Londrina"/>
    <s v="ANA RITA NEVES MOREIRA"/>
    <s v="NEGATIVO"/>
    <d v="1899-12-30T04:10:00"/>
    <d v="1899-12-30T04:10:00"/>
    <d v="1899-12-30T00:00:00"/>
    <s v=" "/>
    <s v=" "/>
    <s v=" "/>
    <s v=" "/>
    <s v=" "/>
    <s v=" "/>
    <s v=" "/>
    <s v=" "/>
    <s v=" "/>
    <s v=" "/>
    <d v="1899-12-30T01:07:00"/>
    <d v="1899-12-30T05:10:00"/>
    <s v="Ativo"/>
    <s v="CONSULTOR DE VENDAS"/>
    <x v="10"/>
    <s v="LJLDB"/>
  </r>
  <r>
    <n v="129584"/>
    <s v="JOSEPH ANTHONY GREGORIO MOURA"/>
    <s v="Diretoria Seminovos"/>
    <s v="RSSPI  - Regional Seminovos Varejo São Paulo Interior"/>
    <s v="LJTAQ - Loja Seminovos Taquaral Campinas"/>
    <s v="ANDRE LUIZ LOPES"/>
    <s v="NEGATIVO"/>
    <d v="1899-12-30T00:24:00"/>
    <d v="1899-12-30T00:24:00"/>
    <d v="1899-12-30T00:00:00"/>
    <s v=" "/>
    <s v=" "/>
    <s v=" "/>
    <s v=" "/>
    <s v=" "/>
    <s v=" "/>
    <s v=" "/>
    <s v=" "/>
    <s v=" "/>
    <s v=" "/>
    <s v=" "/>
    <d v="1899-12-30T00:36:00"/>
    <s v="Ativo"/>
    <s v="HIGIENIZADOR DE CARROS"/>
    <x v="10"/>
    <s v="LJTAQ"/>
  </r>
  <r>
    <n v="129410"/>
    <s v="JOSE CARLOS DO NASCIMENTO"/>
    <s v="Diretoria Seminovos"/>
    <s v="RSSPI  - Regional Seminovos Varejo São Paulo Interior"/>
    <s v="LJMGF - Vendas Varejo Seminovos Maringá"/>
    <s v="JOHN LESLIE ROSSONI"/>
    <s v="NEGATIVO"/>
    <d v="1899-12-30T01:04:00"/>
    <d v="1899-12-30T01:04:00"/>
    <d v="1899-12-30T00:00:00"/>
    <s v=" "/>
    <s v=" "/>
    <s v=" "/>
    <s v=" "/>
    <s v=" "/>
    <s v=" "/>
    <s v=" "/>
    <s v=" "/>
    <d v="1899-12-30T04:16:00"/>
    <s v=" "/>
    <s v=" "/>
    <s v=" "/>
    <s v="Ativo"/>
    <s v="CONSULTOR DE VENDAS"/>
    <x v="10"/>
    <s v="LJMGF"/>
  </r>
  <r>
    <n v="131536"/>
    <s v="LINCOLN FELISBERTO CANDOIA"/>
    <s v="Diretoria Seminovos"/>
    <s v="RSSPI  - Regional Seminovos Varejo São Paulo Interior"/>
    <s v="LJPRC - Vendas Varejo Seminovos Piracicaba"/>
    <s v="LEANDRO LUCIANO BIASINI"/>
    <s v="NEGATIVO"/>
    <d v="1899-12-31T00:27:00"/>
    <d v="1899-12-31T00:27:00"/>
    <d v="1899-12-30T00:00:00"/>
    <s v=" "/>
    <s v=" "/>
    <s v=" "/>
    <s v=" "/>
    <s v=" "/>
    <s v=" "/>
    <s v=" "/>
    <s v=" "/>
    <d v="1899-12-30T01:39:00"/>
    <d v="1899-12-30T22:48:00"/>
    <s v=" "/>
    <s v=" "/>
    <s v="Contrato de Trabalho Suspenso"/>
    <s v="CONSULTOR DE VENDAS"/>
    <x v="10"/>
    <s v="LJPRC"/>
  </r>
  <r>
    <n v="134171"/>
    <s v="LUCAS CHAGAS MAZOLI"/>
    <s v="Diretoria Seminovos"/>
    <s v="RSSPI  - Regional Seminovos Varejo São Paulo Interior"/>
    <s v="LJCPK - Vendas Varejo Seminovos Campinas"/>
    <s v="MARCELO RIBEIRO ANTONIO"/>
    <s v="NEGATIVO"/>
    <d v="1899-12-30T18:21:00"/>
    <d v="1899-12-30T18:21:00"/>
    <d v="1899-12-30T00:00:00"/>
    <s v=" "/>
    <s v=" "/>
    <s v=" "/>
    <s v=" "/>
    <s v=" "/>
    <s v=" "/>
    <s v=" "/>
    <d v="1899-12-30T09:57:00"/>
    <d v="1899-12-30T08:24:00"/>
    <s v=" "/>
    <s v=" "/>
    <s v=" "/>
    <s v="Ativo"/>
    <s v="CONSULTOR DE VENDAS"/>
    <x v="10"/>
    <s v="LJCPK"/>
  </r>
  <r>
    <n v="132716"/>
    <s v="LUCIANA APARECIDA PEDRO DE ANDRADE"/>
    <s v="Diretoria Seminovos"/>
    <s v="RSSPI  - Regional Seminovos Varejo São Paulo Interior"/>
    <s v="LJTAQ - Vendas Varejo Seminovos Taquaral Campinas"/>
    <s v="ANDRE LUIZ LOPES"/>
    <s v="NEGATIVO"/>
    <d v="1899-12-30T01:08:00"/>
    <d v="1899-12-30T01:08:00"/>
    <d v="1899-12-30T00:00:00"/>
    <s v=" "/>
    <s v=" "/>
    <s v=" "/>
    <s v=" "/>
    <s v=" "/>
    <s v=" "/>
    <s v=" "/>
    <s v=" "/>
    <d v="1899-12-30T01:08:00"/>
    <s v=" "/>
    <s v=" "/>
    <s v=" "/>
    <s v="Ativo"/>
    <s v="CONSULTOR DE VENDAS"/>
    <x v="10"/>
    <s v="LJTAQ"/>
  </r>
  <r>
    <n v="135726"/>
    <s v="MARA LUCIA GOMES BRANCO"/>
    <s v="Diretoria Seminovos"/>
    <s v="RSSPI  - Regional Seminovos Varejo São Paulo Interior"/>
    <s v="LJLDB - Vendas Varejo Seminovos Londrina"/>
    <s v="ANA RITA NEVES MOREIRA"/>
    <s v="NEGATIVO"/>
    <d v="1899-12-30T13:45:00"/>
    <d v="1899-12-30T13:45:00"/>
    <d v="1899-12-30T00:00:00"/>
    <s v=" "/>
    <s v=" "/>
    <s v=" "/>
    <s v=" "/>
    <s v=" "/>
    <s v=" "/>
    <s v=" "/>
    <d v="1899-12-30T05:29:00"/>
    <d v="1899-12-30T04:48:00"/>
    <s v=" "/>
    <s v=" "/>
    <d v="1899-12-30T02:58:00"/>
    <s v="Ativo"/>
    <s v="CONSULTOR DE VENDAS"/>
    <x v="10"/>
    <s v="LJLDB"/>
  </r>
  <r>
    <n v="503513"/>
    <s v="MARCELO ANTONIO BARBOSA"/>
    <s v="Diretoria Seminovos"/>
    <s v="RSSPI  - Regional Seminovos Varejo São Paulo Interior"/>
    <s v="LJCPK - Vendas Varejo Seminovos Campinas"/>
    <s v="MARCELO RIBEIRO ANTONIO"/>
    <s v="NEGATIVO"/>
    <d v="1899-12-30T13:10:00"/>
    <d v="1899-12-30T13:10:00"/>
    <d v="1899-12-30T00:00:00"/>
    <s v=" "/>
    <s v=" "/>
    <s v=" "/>
    <s v=" "/>
    <s v=" "/>
    <s v=" "/>
    <s v=" "/>
    <d v="1899-12-30T07:10:00"/>
    <d v="1899-12-30T06:00:00"/>
    <s v=" "/>
    <s v=" "/>
    <s v=" "/>
    <s v="Ativo"/>
    <s v="CONSULTOR DE VENDAS"/>
    <x v="10"/>
    <s v="LJCPK"/>
  </r>
  <r>
    <n v="135729"/>
    <s v="MARCELO HENRIQUE LOPES DOS SANTOS"/>
    <s v="Diretoria Seminovos"/>
    <s v="RSSPI  - Regional Seminovos Varejo São Paulo Interior"/>
    <s v="LJBAU - Vendas Varejo Seminovos Bauru"/>
    <s v="EDUARDO HARUTOSHI HORIKAWA"/>
    <s v="NEGATIVO"/>
    <d v="1899-12-31T00:44:00"/>
    <d v="1899-12-31T00:44:00"/>
    <d v="1899-12-30T00:00:00"/>
    <s v=" "/>
    <s v=" "/>
    <s v=" "/>
    <s v=" "/>
    <s v=" "/>
    <s v=" "/>
    <s v=" "/>
    <s v=" "/>
    <s v=" "/>
    <s v=" "/>
    <d v="1899-12-30T11:49:00"/>
    <d v="1899-12-30T07:41:00"/>
    <s v="Ativo"/>
    <s v="CONSULTOR DE VENDAS"/>
    <x v="10"/>
    <s v="LJBAU"/>
  </r>
  <r>
    <n v="134608"/>
    <s v="MARCOS ANDRE RODRIGUES RONCONI"/>
    <s v="Diretoria Seminovos"/>
    <s v="RSSPI  - Regional Seminovos Varejo São Paulo Interior"/>
    <s v="LJLDB - Vendas Varejo Seminovos Londrina"/>
    <s v="ANA RITA NEVES MOREIRA"/>
    <s v="NEGATIVO"/>
    <d v="1899-12-30T13:19:00"/>
    <d v="1899-12-30T13:19:00"/>
    <d v="1899-12-30T00:00:00"/>
    <s v=" "/>
    <s v=" "/>
    <s v=" "/>
    <s v=" "/>
    <s v=" "/>
    <s v=" "/>
    <s v=" "/>
    <d v="1899-12-30T08:56:00"/>
    <s v=" "/>
    <s v=" "/>
    <d v="1899-12-30T00:57:00"/>
    <d v="1899-12-30T01:52:00"/>
    <s v="Ativo"/>
    <s v="CONSULTOR DE VENDAS"/>
    <x v="10"/>
    <s v="LJLDB"/>
  </r>
  <r>
    <n v="134161"/>
    <s v="MICHAEL JONATHAN GUBOLIN"/>
    <s v="Diretoria Seminovos"/>
    <s v="RSSPI  - Regional Seminovos Varejo São Paulo Interior"/>
    <s v="LJSJP - Vendas Varejo Seminovos São José do Rio Preto"/>
    <s v="FABIANO GOMES DE CAMPOS"/>
    <s v="NEGATIVO"/>
    <d v="1899-12-30T10:57:00"/>
    <d v="1899-12-30T10:57:00"/>
    <d v="1899-12-30T00:00:00"/>
    <s v=" "/>
    <s v=" "/>
    <s v=" "/>
    <s v=" "/>
    <s v=" "/>
    <s v=" "/>
    <s v=" "/>
    <s v=" "/>
    <s v=" "/>
    <s v=" "/>
    <s v=" "/>
    <d v="1899-12-30T04:49:00"/>
    <s v="Ativo"/>
    <s v="CONSULTOR DE VENDAS"/>
    <x v="10"/>
    <s v="LJSJP"/>
  </r>
  <r>
    <n v="136032"/>
    <s v="MIGUEL FERNANDO SOARES DOS SANTOS"/>
    <s v="Diretoria Seminovos"/>
    <s v="RSSPI  - Regional Seminovos Varejo São Paulo Interior"/>
    <s v="LJMAR - Vendas Varejo Seminovos Marília"/>
    <s v="FABIO DAISUKE DANDOKO"/>
    <s v="NEGATIVO"/>
    <d v="1899-12-30T00:40:00"/>
    <d v="1899-12-30T00:40:00"/>
    <d v="1899-12-30T00:00:00"/>
    <s v=" "/>
    <s v=" "/>
    <s v=" "/>
    <s v=" "/>
    <s v=" "/>
    <s v=" "/>
    <s v=" "/>
    <d v="1899-12-30T00:40:00"/>
    <s v=" "/>
    <s v=" "/>
    <s v=" "/>
    <s v=" "/>
    <s v="Ativo"/>
    <s v="CONSULTOR DE VENDAS"/>
    <x v="10"/>
    <s v="LJMAR"/>
  </r>
  <r>
    <n v="132004"/>
    <s v="PETRONIO CORDEIRO NETO"/>
    <s v="Diretoria Seminovos"/>
    <s v="RSSPI  - Regional Seminovos Varejo São Paulo Interior"/>
    <s v="LJMGF - Vendas Varejo Seminovos Maringá"/>
    <s v="JOHN LESLIE ROSSONI"/>
    <s v="NEGATIVO"/>
    <d v="1899-12-30T19:47:00"/>
    <d v="1899-12-30T19:47:00"/>
    <d v="1899-12-30T00:00:00"/>
    <s v=" "/>
    <s v=" "/>
    <s v=" "/>
    <s v=" "/>
    <s v=" "/>
    <s v=" "/>
    <s v=" "/>
    <s v=" "/>
    <s v=" "/>
    <d v="1899-12-30T15:48:00"/>
    <d v="1899-12-30T03:59:00"/>
    <s v=" "/>
    <s v="Contrato de Trabalho Suspenso"/>
    <s v="CONSULTOR DE VENDAS"/>
    <x v="10"/>
    <s v="LJMGF"/>
  </r>
  <r>
    <n v="130461"/>
    <s v="REINALDO BRESSAN NAVARRO"/>
    <s v="Diretoria Seminovos"/>
    <s v="RSSPI  - Regional Seminovos Varejo São Paulo Interior"/>
    <s v="LJMGF - Vendas Varejo Seminovos Maringá"/>
    <s v="JOHN LESLIE ROSSONI"/>
    <s v="NEGATIVO"/>
    <d v="1899-12-30T04:15:00"/>
    <d v="1899-12-30T04:15:00"/>
    <d v="1899-12-30T00:00:00"/>
    <s v=" "/>
    <s v=" "/>
    <s v=" "/>
    <s v=" "/>
    <s v=" "/>
    <s v=" "/>
    <s v=" "/>
    <d v="1899-12-30T07:27:00"/>
    <s v=" "/>
    <s v=" "/>
    <s v=" "/>
    <s v=" "/>
    <s v="Ativo"/>
    <s v="CONSULTOR DE VENDAS"/>
    <x v="10"/>
    <s v="LJMGF"/>
  </r>
  <r>
    <n v="131115"/>
    <s v="ROBSON RODRIGUES DA SILVA"/>
    <s v="Diretoria Seminovos"/>
    <s v="RSSPI  - Regional Seminovos Varejo São Paulo Interior"/>
    <s v="LJJUN - Vendas Varejo Seminovos Jundiaí"/>
    <s v="EDUARDO DE MELO JAGOBUCCI"/>
    <s v="NEGATIVO"/>
    <d v="1900-01-06T23:47:00"/>
    <d v="1900-01-06T23:47:00"/>
    <d v="1899-12-30T00:00:00"/>
    <s v=" "/>
    <s v=" "/>
    <s v=" "/>
    <s v=" "/>
    <s v=" "/>
    <s v=" "/>
    <s v=" "/>
    <s v=" "/>
    <s v=" "/>
    <d v="1900-01-06T15:11:00"/>
    <d v="1899-12-30T08:36:00"/>
    <s v=" "/>
    <s v="Ativo"/>
    <s v="CONSULTOR DE VENDAS"/>
    <x v="10"/>
    <s v="LJJUN"/>
  </r>
  <r>
    <n v="133628"/>
    <s v="RODRIGO LOMBARDI"/>
    <s v="Diretoria Seminovos"/>
    <s v="RSSPI  - Regional Seminovos Varejo São Paulo Interior"/>
    <s v="LJBAU - Vendas Varejo Seminovos Bauru"/>
    <s v="EDUARDO HARUTOSHI HORIKAWA"/>
    <s v="NEGATIVO"/>
    <d v="1900-01-02T06:48:00"/>
    <d v="1900-01-02T06:48:00"/>
    <d v="1899-12-30T00:00:00"/>
    <s v=" "/>
    <s v=" "/>
    <s v=" "/>
    <s v=" "/>
    <s v=" "/>
    <s v=" "/>
    <s v=" "/>
    <s v=" "/>
    <s v=" "/>
    <s v=" "/>
    <d v="1900-01-01T18:40:00"/>
    <d v="1899-12-30T11:11:00"/>
    <s v="Ativo"/>
    <s v="CONSULTOR DE VENDAS"/>
    <x v="10"/>
    <s v="LJBAU"/>
  </r>
  <r>
    <n v="503531"/>
    <s v="SERGIO HENRIQUE FERREIRA ALVES"/>
    <s v="Diretoria Seminovos"/>
    <s v="RSSPI  - Regional Seminovos Varejo São Paulo Interior"/>
    <s v="LJCPQ - Vendas Varejo Seminovos Campinas"/>
    <s v="PAULO CESAR RIBEIRO"/>
    <s v="NEGATIVO"/>
    <d v="1900-01-01T09:36:00"/>
    <d v="1900-01-01T09:36:00"/>
    <d v="1899-12-30T00:00:00"/>
    <s v=" "/>
    <s v=" "/>
    <s v=" "/>
    <s v=" "/>
    <s v=" "/>
    <s v=" "/>
    <s v=" "/>
    <s v=" "/>
    <s v=" "/>
    <d v="1900-01-01T09:36:00"/>
    <s v=" "/>
    <s v=" "/>
    <s v="Ativo"/>
    <s v="CONSULTOR DE VENDAS"/>
    <x v="10"/>
    <s v="LJCPQ"/>
  </r>
  <r>
    <n v="130746"/>
    <s v="TARCILA AGDA TEREZANI BONETTI"/>
    <s v="Diretoria Seminovos"/>
    <s v="RSSPI  - Regional Seminovos Varejo São Paulo Interior"/>
    <s v="LJARA - Vendas Varejo Seminovos Araraquara"/>
    <s v="PETERSON CRAVEIRO FERNANDES"/>
    <s v="NEGATIVO"/>
    <d v="1899-12-30T02:48:00"/>
    <d v="1899-12-30T02:48:00"/>
    <d v="1899-12-30T00:00:00"/>
    <s v=" "/>
    <s v=" "/>
    <s v=" "/>
    <s v=" "/>
    <s v=" "/>
    <s v=" "/>
    <s v=" "/>
    <s v=" "/>
    <s v=" "/>
    <d v="1899-12-30T02:48:00"/>
    <s v=" "/>
    <s v=" "/>
    <s v="Ativo"/>
    <s v="CONSULTOR DE VENDAS"/>
    <x v="10"/>
    <s v="LJARA"/>
  </r>
  <r>
    <n v="129872"/>
    <s v="THIAGO ENDERSON DE OLIVEIRA MILANO"/>
    <s v="Diretoria Seminovos"/>
    <s v="RSSPI  - Regional Seminovos Varejo São Paulo Interior"/>
    <s v="LJBAU - Vendas Varejo Seminovos Bauru"/>
    <s v="EDUARDO HARUTOSHI HORIKAWA"/>
    <s v="NEGATIVO"/>
    <d v="1899-12-31T03:39:00"/>
    <d v="1899-12-31T03:39:00"/>
    <d v="1899-12-30T00:00:00"/>
    <s v=" "/>
    <s v=" "/>
    <s v=" "/>
    <s v=" "/>
    <s v=" "/>
    <s v=" "/>
    <s v=" "/>
    <s v=" "/>
    <s v=" "/>
    <s v=" "/>
    <d v="1899-12-30T17:09:00"/>
    <d v="1899-12-30T05:43:00"/>
    <s v="Ativo"/>
    <s v="CONSULTOR DE VENDAS"/>
    <x v="10"/>
    <s v="LJBAU"/>
  </r>
  <r>
    <n v="502742"/>
    <s v="THIAGO IMOLA"/>
    <s v="Diretoria Seminovos"/>
    <s v="RSSPI  - Regional Seminovos Varejo São Paulo Interior"/>
    <s v="LJCPQ - Vendas Varejo Seminovos Campinas"/>
    <s v="PAULO CESAR RIBEIRO"/>
    <s v="NEGATIVO"/>
    <d v="1900-01-01T09:36:00"/>
    <d v="1900-01-01T09:36:00"/>
    <d v="1899-12-30T00:00:00"/>
    <s v=" "/>
    <s v=" "/>
    <s v=" "/>
    <s v=" "/>
    <s v=" "/>
    <s v=" "/>
    <s v=" "/>
    <s v=" "/>
    <s v=" "/>
    <d v="1900-01-01T09:36:00"/>
    <s v=" "/>
    <s v=" "/>
    <s v="Ativo"/>
    <s v="CONSULTOR DE VENDAS"/>
    <x v="10"/>
    <s v="LJCPQ"/>
  </r>
  <r>
    <n v="132796"/>
    <s v="VALERIA PEREIRA DOS SANTOS"/>
    <s v="Diretoria Seminovos"/>
    <s v="RSSPI  - Regional Seminovos Varejo São Paulo Interior"/>
    <s v="LJIND - Vendas Varejo Seminovos Indaiatuba"/>
    <s v="EDELCIO DE SOUZA SILVA"/>
    <s v="NEGATIVO"/>
    <d v="1900-01-01T04:48:00"/>
    <d v="1900-01-01T04:48:00"/>
    <d v="1899-12-30T00:00:00"/>
    <s v=" "/>
    <s v=" "/>
    <s v=" "/>
    <s v=" "/>
    <d v="1899-12-31T20:00:00"/>
    <d v="1899-12-30T08:48:00"/>
    <s v=" "/>
    <s v=" "/>
    <s v=" "/>
    <s v=" "/>
    <s v=" "/>
    <s v=" "/>
    <s v="Ativo"/>
    <s v="CONSULTOR DE VENDAS"/>
    <x v="10"/>
    <s v="LJIND"/>
  </r>
  <r>
    <n v="135725"/>
    <s v="VINICIUS ANTONIO MOREIRA DE ALCANTARA"/>
    <s v="Diretoria Seminovos"/>
    <s v="RSSPI  - Regional Seminovos Varejo São Paulo Interior"/>
    <s v="LJSJP - Vendas Varejo Seminovos São José do Rio Preto"/>
    <s v="FABIANO GOMES DE CAMPOS"/>
    <s v="NEGATIVO"/>
    <d v="1899-12-30T04:19:00"/>
    <d v="1899-12-30T04:19:00"/>
    <d v="1899-12-30T00:00:00"/>
    <s v=" "/>
    <s v=" "/>
    <s v=" "/>
    <s v=" "/>
    <s v=" "/>
    <s v=" "/>
    <s v=" "/>
    <s v=" "/>
    <s v=" "/>
    <s v=" "/>
    <s v=" "/>
    <d v="1899-12-30T03:34:00"/>
    <s v="Ativo"/>
    <s v="CONSULTOR DE VENDAS"/>
    <x v="10"/>
    <s v="LJSJP"/>
  </r>
  <r>
    <n v="500805"/>
    <s v="ALEXANDRE RIOS DA SILVA"/>
    <s v="Diretoria Seminovos"/>
    <s v="RSSUL -  Regional Seminovos Varejo Sul"/>
    <s v="LJPOA - Loja Seminovos Porto Alegre"/>
    <s v="FABIO MACHADO PAIXAO"/>
    <s v="NEGATIVO"/>
    <d v="1899-12-30T07:58:00"/>
    <d v="1899-12-30T07:58:00"/>
    <d v="1899-12-30T00:00:00"/>
    <s v=" "/>
    <s v=" "/>
    <s v=" "/>
    <s v=" "/>
    <s v=" "/>
    <d v="1899-12-30T08:13:00"/>
    <s v=" "/>
    <s v=" "/>
    <s v=" "/>
    <s v=" "/>
    <s v=" "/>
    <s v=" "/>
    <s v="Ativo"/>
    <s v="HIGIENIZADOR DE CARROS"/>
    <x v="11"/>
    <s v="LJPOA"/>
  </r>
  <r>
    <n v="131649"/>
    <s v="ALTIVA MOREIRA RIBEIRO"/>
    <s v="Diretoria Seminovos"/>
    <s v="RSSUL -  Regional Seminovos Varejo Sul"/>
    <s v="LJSJE - Loja Seminovos São José"/>
    <s v="EDISON RAPHAEL ESAIER SETTIN"/>
    <s v="NEGATIVO"/>
    <d v="1900-01-03T09:36:00"/>
    <d v="1900-01-03T09:36:00"/>
    <d v="1899-12-30T00:00:00"/>
    <s v=" "/>
    <s v=" "/>
    <s v=" "/>
    <s v=" "/>
    <d v="1899-12-31T06:48:00"/>
    <d v="1899-12-31T15:36:00"/>
    <d v="1899-12-31T11:12:00"/>
    <s v=" "/>
    <s v=" "/>
    <s v=" "/>
    <s v=" "/>
    <s v=" "/>
    <s v="Ativo"/>
    <s v="AUX. DE SERVICOS GERAIS - DIRCS"/>
    <x v="11"/>
    <s v="LJSJE"/>
  </r>
  <r>
    <n v="121016"/>
    <s v="ANA MARIA PEREIRA"/>
    <s v="Diretoria Seminovos"/>
    <s v="RSSUL -  Regional Seminovos Varejo Sul"/>
    <s v="LJITJ - Loja Seminovos Itajaí"/>
    <s v="PAULO SERGIO APARECIDO DE CARVALHO"/>
    <s v="NEGATIVO"/>
    <d v="1900-01-03T20:00:00"/>
    <d v="1900-01-03T20:00:00"/>
    <d v="1899-12-30T00:00:00"/>
    <s v=" "/>
    <s v=" "/>
    <s v=" "/>
    <s v=" "/>
    <d v="1900-01-03T12:00:00"/>
    <d v="1899-12-30T08:00:00"/>
    <s v=" "/>
    <s v=" "/>
    <s v=" "/>
    <s v=" "/>
    <s v=" "/>
    <s v=" "/>
    <s v="Ativo"/>
    <s v="AUX. DE SERVICOS GERAIS - DIRCS"/>
    <x v="11"/>
    <s v="LJITJ"/>
  </r>
  <r>
    <n v="124468"/>
    <s v="BRUNO CARDOSO"/>
    <s v="Diretoria Seminovos"/>
    <s v="RSSUL -  Regional Seminovos Varejo Sul"/>
    <s v="LJCWB - Loja Seminovos Curitiba"/>
    <s v="ADRIANO LINS"/>
    <s v="NEGATIVO"/>
    <d v="1899-12-30T22:45:00"/>
    <d v="1899-12-30T22:45:00"/>
    <d v="1899-12-30T00:00:00"/>
    <s v=" "/>
    <s v=" "/>
    <s v=" "/>
    <s v=" "/>
    <s v=" "/>
    <s v=" "/>
    <s v=" "/>
    <s v=" "/>
    <s v=" "/>
    <d v="1899-12-30T06:20:00"/>
    <d v="1899-12-30T16:25:00"/>
    <s v=" "/>
    <s v="Contrato de Trabalho Suspenso"/>
    <s v="HIGIENIZADOR DE CARROS"/>
    <x v="11"/>
    <s v="LJCWB"/>
  </r>
  <r>
    <n v="123539"/>
    <s v="CATIA REGINA PINTO"/>
    <s v="Diretoria Seminovos"/>
    <s v="RSSUL -  Regional Seminovos Varejo Sul"/>
    <s v="LJBNU - Loja Seminovos Blumenau"/>
    <s v="JOAO MARCELO VARGAS"/>
    <s v="NEGATIVO"/>
    <d v="1900-01-03T09:36:00"/>
    <d v="1900-01-03T09:36:00"/>
    <d v="1899-12-30T00:00:00"/>
    <s v=" "/>
    <s v=" "/>
    <s v=" "/>
    <s v=" "/>
    <s v=" "/>
    <d v="1900-01-03T09:36:00"/>
    <s v=" "/>
    <s v=" "/>
    <s v=" "/>
    <s v=" "/>
    <s v=" "/>
    <s v=" "/>
    <s v="Ativo"/>
    <s v="AUX. DE SERVICOS GERAIS - DIRCS"/>
    <x v="11"/>
    <s v="LJBNU"/>
  </r>
  <r>
    <n v="133199"/>
    <s v="JAQUELINE SCHULLER MACHADO"/>
    <s v="Diretoria Seminovos"/>
    <s v="RSSUL -  Regional Seminovos Varejo Sul"/>
    <s v="LJFLI - Vendas Varejo Seminovos Florianópolis Ilha"/>
    <s v="DORLI DAVID MACHADO"/>
    <s v="NEGATIVO"/>
    <d v="1899-12-30T17:49:00"/>
    <d v="1899-12-30T17:49:00"/>
    <d v="1899-12-30T00:00:00"/>
    <s v=" "/>
    <s v=" "/>
    <s v=" "/>
    <s v=" "/>
    <d v="1899-12-30T17:34:00"/>
    <d v="1899-12-30T14:24:00"/>
    <s v=" "/>
    <s v=" "/>
    <s v=" "/>
    <s v=" "/>
    <s v=" "/>
    <s v=" "/>
    <s v="Ativo"/>
    <s v="CONSULTOR DE VENDAS"/>
    <x v="11"/>
    <s v="LJFLI"/>
  </r>
  <r>
    <n v="125270"/>
    <s v="DANUSA DE FARIAS"/>
    <s v="Diretoria Seminovos"/>
    <s v="RSSUL -  Regional Seminovos Varejo Sul"/>
    <s v="LJFLN - Loja Seminovos Florianopolis"/>
    <s v="JOAO MARCELO VARGAS"/>
    <s v="NEGATIVO"/>
    <d v="1899-12-30T03:46:00"/>
    <d v="1899-12-30T03:46:00"/>
    <d v="1899-12-30T00:00:00"/>
    <s v=" "/>
    <d v="1899-12-30T02:53:00"/>
    <d v="1899-12-30T00:35:00"/>
    <d v="1899-12-30T00:18:00"/>
    <s v=" "/>
    <s v=" "/>
    <s v=" "/>
    <s v=" "/>
    <s v=" "/>
    <s v=" "/>
    <s v=" "/>
    <s v=" "/>
    <s v="Ativo"/>
    <s v="AUX. DE SERVICOS GERAIS - DIRCS"/>
    <x v="11"/>
    <s v="LJFLN"/>
  </r>
  <r>
    <n v="124085"/>
    <s v="DEBORA BUENO ROSCA"/>
    <s v="Diretoria Seminovos"/>
    <s v="RSSUL -  Regional Seminovos Varejo Sul"/>
    <s v="LJPET - Loja Seminovos Pelotas"/>
    <s v="ANDERSON SILVEIRA LOPES"/>
    <s v="NEGATIVO"/>
    <d v="1900-01-01T04:00:00"/>
    <d v="1900-01-01T04:00:00"/>
    <d v="1899-12-30T00:00:00"/>
    <s v=" "/>
    <s v=" "/>
    <s v=" "/>
    <s v=" "/>
    <s v=" "/>
    <d v="1900-01-01T04:00:00"/>
    <s v=" "/>
    <s v=" "/>
    <s v=" "/>
    <s v=" "/>
    <s v=" "/>
    <s v=" "/>
    <s v="Ativo"/>
    <s v="AUX. DE SERVICOS GERAIS - DIRCS"/>
    <x v="11"/>
    <s v="LJPET"/>
  </r>
  <r>
    <n v="135552"/>
    <s v="DIEGO BANDEIRA DA COSTA"/>
    <s v="Diretoria Seminovos"/>
    <s v="RSSUL -  Regional Seminovos Varejo Sul"/>
    <s v="LJSMR - Loja Seminovos Santa Maria"/>
    <s v="CHARLES FRIEDHEIN MARCHESAN"/>
    <s v="NEGATIVO"/>
    <d v="1900-01-02T00:48:00"/>
    <d v="1900-01-02T00:48:00"/>
    <d v="1899-12-30T00:00:00"/>
    <s v=" "/>
    <s v=" "/>
    <d v="1900-01-02T00:48:00"/>
    <s v=" "/>
    <s v=" "/>
    <s v=" "/>
    <s v=" "/>
    <s v=" "/>
    <s v=" "/>
    <s v=" "/>
    <s v=" "/>
    <s v=" "/>
    <s v="Ativo"/>
    <s v="HIGIENIZADOR DE CARROS"/>
    <x v="11"/>
    <s v="LJSMR"/>
  </r>
  <r>
    <n v="136881"/>
    <s v="EDILSON PEREIRA DE MATOS"/>
    <s v="Diretoria Seminovos"/>
    <s v="RSSUL -  Regional Seminovos Varejo Sul"/>
    <s v="LJPET - Loja Seminovos Pelotas"/>
    <s v="ANDERSON SILVEIRA LOPES"/>
    <s v="NEGATIVO"/>
    <d v="1899-12-31T11:12:00"/>
    <d v="1899-12-31T11:12:00"/>
    <d v="1899-12-30T00:00:00"/>
    <s v=" "/>
    <s v=" "/>
    <s v=" "/>
    <s v=" "/>
    <d v="1899-12-31T11:12:00"/>
    <s v=" "/>
    <s v=" "/>
    <s v=" "/>
    <s v=" "/>
    <s v=" "/>
    <s v=" "/>
    <s v=" "/>
    <s v="Contrato de Trabalho Suspenso"/>
    <s v="HIGIENIZADOR DE CARROS"/>
    <x v="11"/>
    <s v="LJPET"/>
  </r>
  <r>
    <n v="122289"/>
    <s v="EDSON JOEL DA SILVEIRA FERREIRA"/>
    <s v="Diretoria Seminovos"/>
    <s v="RSSUL -  Regional Seminovos Varejo Sul"/>
    <s v="LJSET - Loja Seminovos Sertório"/>
    <s v="LEONARDO HENRIQUE TREMEA MANCIO"/>
    <s v="NEGATIVO"/>
    <d v="1900-01-04T06:20:00"/>
    <d v="1900-01-04T06:20:00"/>
    <d v="1899-12-30T00:00:00"/>
    <s v=" "/>
    <s v=" "/>
    <s v=" "/>
    <s v=" "/>
    <s v=" "/>
    <d v="1899-12-30T03:08:00"/>
    <s v=" "/>
    <s v=" "/>
    <s v=" "/>
    <s v=" "/>
    <s v=" "/>
    <s v=" "/>
    <s v="Ativo"/>
    <s v="HIGIENIZADOR DE CARROS"/>
    <x v="11"/>
    <s v="LJSET"/>
  </r>
  <r>
    <n v="503339"/>
    <s v="EDUARDO SILVA"/>
    <s v="Diretoria Seminovos"/>
    <s v="RSSUL -  Regional Seminovos Varejo Sul"/>
    <s v="LJJOI - Loja Seminovos Joinville"/>
    <s v="ALEXANDRE PORTO DE CAMARGO"/>
    <s v="NEGATIVO"/>
    <d v="1899-12-30T06:30:00"/>
    <d v="1899-12-30T06:30:00"/>
    <d v="1899-12-30T00:00:00"/>
    <d v="1899-12-30T06:30:00"/>
    <s v=" "/>
    <s v=" "/>
    <s v=" "/>
    <s v=" "/>
    <s v=" "/>
    <s v=" "/>
    <s v=" "/>
    <s v=" "/>
    <s v=" "/>
    <s v=" "/>
    <s v=" "/>
    <s v="Ativo"/>
    <s v="APOIO ADMINISTRATIVO - 4H"/>
    <x v="11"/>
    <s v="LJJOI"/>
  </r>
  <r>
    <n v="132479"/>
    <s v="ELZA ROSANGELA GOMES DA SILVA"/>
    <s v="Diretoria Seminovos"/>
    <s v="RSSUL -  Regional Seminovos Varejo Sul"/>
    <s v="LJCNO - Loja Seminovos Canoas"/>
    <s v="MARCIO SILVA DOS SANTOS"/>
    <s v="NEGATIVO"/>
    <d v="1899-12-31T09:36:00"/>
    <d v="1899-12-31T09:36:00"/>
    <d v="1899-12-30T00:00:00"/>
    <s v=" "/>
    <s v=" "/>
    <s v=" "/>
    <s v=" "/>
    <s v=" "/>
    <s v=" "/>
    <d v="1899-12-30T14:24:00"/>
    <s v=" "/>
    <s v=" "/>
    <s v=" "/>
    <s v=" "/>
    <s v=" "/>
    <s v="Ativo"/>
    <s v="AUX. DE SERVICOS GERAIS - DIRCS"/>
    <x v="11"/>
    <s v="LJCNO"/>
  </r>
  <r>
    <n v="135957"/>
    <s v="EMERSON DO NASCIMENTO"/>
    <s v="Diretoria Seminovos"/>
    <s v="RSSUL -  Regional Seminovos Varejo Sul"/>
    <s v="LJPGS - Loja Seminovos Ponta Grossa"/>
    <s v="JOAO MARCELO VARGAS"/>
    <s v="NEGATIVO"/>
    <d v="1900-01-15T03:12:00"/>
    <d v="1900-01-15T03:12:00"/>
    <d v="1899-12-30T00:00:00"/>
    <s v=" "/>
    <s v=" "/>
    <s v=" "/>
    <s v=" "/>
    <s v=" "/>
    <s v=" "/>
    <s v=" "/>
    <s v=" "/>
    <s v=" "/>
    <d v="1900-01-07T10:24:00"/>
    <d v="1900-01-06T16:48:00"/>
    <s v=" "/>
    <s v="Ativo"/>
    <s v="HIGIENIZADOR DE CARROS"/>
    <x v="11"/>
    <s v="LJPGS"/>
  </r>
  <r>
    <n v="502925"/>
    <s v="FRANCISCO MAURI DE CAMARGO"/>
    <s v="Diretoria Seminovos"/>
    <s v="RSSUL -  Regional Seminovos Varejo Sul"/>
    <s v="LJGUI - Loja Seminovos Barigui"/>
    <s v="FABIO VLADIMIR JARDIM MADRUGA"/>
    <s v="NEGATIVO"/>
    <d v="1900-01-07T10:24:00"/>
    <d v="1900-01-07T10:24:00"/>
    <d v="1899-12-30T00:00:00"/>
    <s v=" "/>
    <s v=" "/>
    <s v=" "/>
    <s v=" "/>
    <s v=" "/>
    <s v=" "/>
    <s v=" "/>
    <s v=" "/>
    <s v=" "/>
    <d v="1900-01-07T10:24:00"/>
    <s v=" "/>
    <s v=" "/>
    <s v="Ativo"/>
    <s v="HIGIENIZADOR DE CARROS"/>
    <x v="11"/>
    <s v="LJGUI"/>
  </r>
  <r>
    <n v="132249"/>
    <s v="JACKSON KUIAWA GOLL"/>
    <s v="Diretoria Seminovos"/>
    <s v="RSSUL -  Regional Seminovos Varejo Sul"/>
    <s v="LJGUI - Loja Seminovos Barigui"/>
    <s v="FABIO VLADIMIR JARDIM MADRUGA"/>
    <s v="NEGATIVO"/>
    <d v="1899-12-30T15:15:00"/>
    <d v="1899-12-30T15:15:00"/>
    <d v="1899-12-30T00:00:00"/>
    <s v=" "/>
    <s v=" "/>
    <s v=" "/>
    <s v=" "/>
    <s v=" "/>
    <s v=" "/>
    <s v=" "/>
    <s v=" "/>
    <s v=" "/>
    <s v=" "/>
    <d v="1899-12-30T09:07:00"/>
    <d v="1899-12-30T06:03:00"/>
    <s v="Ativo"/>
    <s v="HIGIENIZADOR DE CARROS"/>
    <x v="11"/>
    <s v="LJGUI"/>
  </r>
  <r>
    <n v="136513"/>
    <s v="JOSE ALESSANDRO LEAL DE OLIVEIRA"/>
    <s v="Diretoria Seminovos"/>
    <s v="RSSUL -  Regional Seminovos Varejo Sul"/>
    <s v="SNLOG/CWB - Gerência de Logística"/>
    <s v="BERNARDO DIAS GOMIDE"/>
    <s v="NEGATIVO"/>
    <d v="1900-01-18T06:00:00"/>
    <d v="1900-01-18T06:00:00"/>
    <d v="1899-12-30T00:00:00"/>
    <s v=" "/>
    <d v="1899-12-31T20:00:00"/>
    <d v="1900-01-05T23:12:00"/>
    <d v="1900-01-05T14:24:00"/>
    <d v="1900-01-01T00:24:00"/>
    <d v="1899-12-31T20:00:00"/>
    <s v=" "/>
    <s v=" "/>
    <s v=" "/>
    <s v=" "/>
    <s v=" "/>
    <s v=" "/>
    <s v="Ativo"/>
    <s v="AUX. MOVIMENTACAO DE FROTA"/>
    <x v="11"/>
    <s v="SNLOG"/>
  </r>
  <r>
    <n v="501416"/>
    <s v="JOSEANE RAFAELI DA SILVA"/>
    <s v="Diretoria Seminovos"/>
    <s v="RSSUL -  Regional Seminovos Varejo Sul"/>
    <s v="LJSET - Loja Seminovos Sertório"/>
    <s v="LEONARDO HENRIQUE TREMEA MANCIO"/>
    <s v="NEGATIVO"/>
    <d v="1900-01-01T04:33:00"/>
    <d v="1900-01-01T04:33:00"/>
    <d v="1899-12-30T00:00:00"/>
    <s v=" "/>
    <s v=" "/>
    <d v="1899-12-30T16:33:00"/>
    <s v=" "/>
    <s v=" "/>
    <s v=" "/>
    <s v=" "/>
    <s v=" "/>
    <s v=" "/>
    <s v=" "/>
    <s v=" "/>
    <s v=" "/>
    <s v="Ativo"/>
    <s v="AUX. DE SERVICOS GERAIS - DIRCS"/>
    <x v="11"/>
    <s v="LJSET"/>
  </r>
  <r>
    <n v="124321"/>
    <s v="LUA SCHMIDT FERREIRA"/>
    <s v="Diretoria Seminovos"/>
    <s v="RSSUL -  Regional Seminovos Varejo Sul"/>
    <s v="LJSLP - Loja Seminovos São Leopoldo"/>
    <s v="MARCONCINE DE MATOS"/>
    <s v="NEGATIVO"/>
    <d v="1900-01-05T05:36:00"/>
    <d v="1900-01-05T05:36:00"/>
    <d v="1899-12-30T00:00:00"/>
    <s v=" "/>
    <s v=" "/>
    <s v=" "/>
    <s v=" "/>
    <s v=" "/>
    <d v="1900-01-05T05:36:00"/>
    <s v=" "/>
    <s v=" "/>
    <s v=" "/>
    <s v=" "/>
    <s v=" "/>
    <s v=" "/>
    <s v="Ativo"/>
    <s v="HIGIENIZADOR DE CARROS"/>
    <x v="11"/>
    <s v="LJSLP"/>
  </r>
  <r>
    <n v="136617"/>
    <s v="LUCAS IMETON"/>
    <s v="Diretoria Seminovos"/>
    <s v="RSSUL -  Regional Seminovos Varejo Sul"/>
    <s v="LJITJ - Loja Seminovos Itajaí"/>
    <s v="PAULO SERGIO APARECIDO DE CARVALHO"/>
    <s v="NEGATIVO"/>
    <d v="1900-01-11T20:00:00"/>
    <d v="1900-01-11T20:00:00"/>
    <d v="1899-12-30T00:00:00"/>
    <s v=" "/>
    <s v=" "/>
    <s v=" "/>
    <s v=" "/>
    <d v="1900-01-07T10:24:00"/>
    <d v="1900-01-03T09:36:00"/>
    <s v=" "/>
    <s v=" "/>
    <s v=" "/>
    <s v=" "/>
    <s v=" "/>
    <s v=" "/>
    <s v="Ativo"/>
    <s v="HIGIENIZADOR DE CARROS"/>
    <x v="11"/>
    <s v="LJITJ"/>
  </r>
  <r>
    <n v="137138"/>
    <s v="LUIZ HENRIQUE VAZ RIBEIRO"/>
    <s v="Diretoria Seminovos"/>
    <s v="RSSUL -  Regional Seminovos Varejo Sul"/>
    <s v="LJLGS -  Loja Seminovos Lages"/>
    <s v="JOAO MARCELO VARGAS"/>
    <s v="NEGATIVO"/>
    <d v="1900-01-01T10:03:00"/>
    <d v="1900-01-01T10:03:00"/>
    <d v="1899-12-30T00:00:00"/>
    <s v=" "/>
    <s v=" "/>
    <s v=" "/>
    <s v=" "/>
    <d v="1900-01-01T02:07:00"/>
    <d v="1899-12-30T05:37:00"/>
    <s v=" "/>
    <s v=" "/>
    <s v=" "/>
    <s v=" "/>
    <s v=" "/>
    <s v=" "/>
    <s v="Ativo"/>
    <s v="HIGIENIZADOR DE CARROS"/>
    <x v="11"/>
    <s v="LJLGS"/>
  </r>
  <r>
    <n v="134208"/>
    <s v="HERICKSON FRANKLYN FERREIRA MACEDO"/>
    <s v="Diretoria Seminovos"/>
    <s v="RSSUL -  Regional Seminovos Varejo Sul"/>
    <s v="LJFLN - Vendas Varejo Seminovos Florianópolis"/>
    <s v="JOAO MARCELO VARGAS"/>
    <s v="NEGATIVO"/>
    <d v="1899-12-30T00:51:00"/>
    <d v="1899-12-30T00:51:00"/>
    <d v="1899-12-30T00:00:00"/>
    <s v=" "/>
    <s v=" "/>
    <s v=" "/>
    <s v=" "/>
    <s v=" "/>
    <s v=" "/>
    <d v="1899-12-30T04:05:00"/>
    <s v=" "/>
    <s v=" "/>
    <s v=" "/>
    <s v=" "/>
    <s v=" "/>
    <s v="Ativo"/>
    <s v="CONSULTOR DE VENDAS"/>
    <x v="11"/>
    <s v="LJFLN"/>
  </r>
  <r>
    <n v="132028"/>
    <s v="MARCOS EXPEDITO MOREIRA SANTANA"/>
    <s v="Diretoria Seminovos"/>
    <s v="RSSUL -  Regional Seminovos Varejo Sul"/>
    <s v="LJSJE - Loja Seminovos São José"/>
    <s v="EDISON RAPHAEL ESAIER SETTIN"/>
    <s v="NEGATIVO"/>
    <d v="1899-12-31T00:26:00"/>
    <d v="1899-12-31T00:26:00"/>
    <d v="1899-12-30T00:00:00"/>
    <s v=" "/>
    <s v=" "/>
    <d v="1899-12-30T09:26:00"/>
    <d v="1899-12-30T07:00:00"/>
    <s v=" "/>
    <s v=" "/>
    <d v="1899-12-30T08:00:00"/>
    <s v=" "/>
    <s v=" "/>
    <s v=" "/>
    <s v=" "/>
    <s v=" "/>
    <s v="Contrato de Trabalho Suspenso"/>
    <s v="HIGIENIZADOR DE CARROS"/>
    <x v="11"/>
    <s v="LJSJE"/>
  </r>
  <r>
    <n v="136239"/>
    <s v="MARIA FRANCISCA RODRIGUES GERALDO"/>
    <s v="Diretoria Seminovos"/>
    <s v="RSSUL -  Regional Seminovos Varejo Sul"/>
    <s v="LJSMR - Loja Seminovos Santa Maria"/>
    <s v="CHARLES FRIEDHEIN MARCHESAN"/>
    <s v="NEGATIVO"/>
    <d v="1900-01-03T12:00:00"/>
    <d v="1900-01-03T12:00:00"/>
    <d v="1899-12-30T00:00:00"/>
    <s v=" "/>
    <s v=" "/>
    <s v=" "/>
    <s v=" "/>
    <d v="1900-01-03T12:00:00"/>
    <s v=" "/>
    <s v=" "/>
    <s v=" "/>
    <s v=" "/>
    <s v=" "/>
    <s v=" "/>
    <s v=" "/>
    <s v="Ativo"/>
    <s v="AUX. DE SERVICOS GERAIS"/>
    <x v="11"/>
    <s v="LJSMR"/>
  </r>
  <r>
    <n v="133600"/>
    <s v="MAURICIO DE CARVALHO CAFUMANA"/>
    <s v="Diretoria Seminovos"/>
    <s v="RSSUL -  Regional Seminovos Varejo Sul"/>
    <s v="LJPET - Loja Seminovos Pelotas"/>
    <s v="ANDERSON SILVEIRA LOPES"/>
    <s v="NEGATIVO"/>
    <d v="1900-01-01T08:07:00"/>
    <d v="1900-01-01T08:07:00"/>
    <d v="1899-12-30T00:00:00"/>
    <s v=" "/>
    <s v=" "/>
    <d v="1899-12-30T16:07:00"/>
    <s v=" "/>
    <s v=" "/>
    <d v="1899-12-31T16:00:00"/>
    <s v=" "/>
    <s v=" "/>
    <s v=" "/>
    <s v=" "/>
    <s v=" "/>
    <s v=" "/>
    <s v="Ativo"/>
    <s v="HIGIENIZADOR DE CARROS"/>
    <x v="11"/>
    <s v="LJPET"/>
  </r>
  <r>
    <n v="130648"/>
    <s v="MAXIMILIANO BATISTA DA SILVA TEIXEIRA"/>
    <s v="Diretoria Seminovos"/>
    <s v="RSSUL -  Regional Seminovos Varejo Sul"/>
    <s v="LJGRA - Loja Seminovos Gravataí"/>
    <s v="DANIEL DA SILVA CARDOSO"/>
    <s v="NEGATIVO"/>
    <d v="1899-12-31T18:53:00"/>
    <d v="1899-12-31T18:53:00"/>
    <d v="1899-12-30T00:00:00"/>
    <s v=" "/>
    <s v=" "/>
    <s v=" "/>
    <s v=" "/>
    <s v=" "/>
    <d v="1899-12-31T14:53:00"/>
    <d v="1899-12-30T04:00:00"/>
    <s v=" "/>
    <s v=" "/>
    <s v=" "/>
    <s v=" "/>
    <s v=" "/>
    <s v="Ativo"/>
    <s v="HIGIENIZADOR DE CARROS"/>
    <x v="11"/>
    <s v="LJGRA"/>
  </r>
  <r>
    <n v="125791"/>
    <s v="PAULO RICARDO SILVEIRA DOS SANTOS"/>
    <s v="Diretoria Seminovos"/>
    <s v="RSSUL -  Regional Seminovos Varejo Sul"/>
    <s v="LJPOA - Loja Seminovos Porto Alegre"/>
    <s v="FABIO MACHADO PAIXAO"/>
    <s v="NEGATIVO"/>
    <d v="1899-12-30T01:55:00"/>
    <d v="1899-12-30T01:55:00"/>
    <d v="1899-12-30T00:00:00"/>
    <s v=" "/>
    <s v=" "/>
    <s v=" "/>
    <s v=" "/>
    <s v=" "/>
    <s v=" "/>
    <d v="1899-12-30T01:55:00"/>
    <s v=" "/>
    <s v=" "/>
    <s v=" "/>
    <s v=" "/>
    <s v=" "/>
    <s v="Contrato de Trabalho Suspenso"/>
    <s v="HIGIENIZADOR DE CARROS"/>
    <x v="11"/>
    <s v="LJPOA"/>
  </r>
  <r>
    <n v="122991"/>
    <s v="RICARDO MENDES CORREA"/>
    <s v="Diretoria Seminovos"/>
    <s v="RSSUL -  Regional Seminovos Varejo Sul"/>
    <s v="LJSET - Loja Seminovos Sertório"/>
    <s v="LEONARDO HENRIQUE TREMEA MANCIO"/>
    <s v="NEGATIVO"/>
    <d v="1899-12-31T08:22:00"/>
    <d v="1899-12-31T08:22:00"/>
    <d v="1899-12-30T00:00:00"/>
    <s v=" "/>
    <s v=" "/>
    <s v=" "/>
    <s v=" "/>
    <s v=" "/>
    <d v="1899-12-31T02:05:00"/>
    <d v="1899-12-30T05:42:00"/>
    <s v=" "/>
    <s v=" "/>
    <s v=" "/>
    <s v=" "/>
    <s v=" "/>
    <s v="Ativo"/>
    <s v="HIGIENIZADOR DE CARROS"/>
    <x v="11"/>
    <s v="LJSET"/>
  </r>
  <r>
    <n v="120368"/>
    <s v="ROBSON DA SILVA"/>
    <s v="Diretoria Seminovos"/>
    <s v="RSSUL -  Regional Seminovos Varejo Sul"/>
    <s v="LJSJE - Loja Seminovos São José"/>
    <s v="EDISON RAPHAEL ESAIER SETTIN"/>
    <s v="NEGATIVO"/>
    <d v="1899-12-30T09:58:00"/>
    <d v="1899-12-30T09:58:00"/>
    <d v="1899-12-30T00:00:00"/>
    <s v=" "/>
    <s v=" "/>
    <d v="1899-12-30T01:58:00"/>
    <d v="1899-12-30T08:00:00"/>
    <s v=" "/>
    <s v=" "/>
    <s v=" "/>
    <s v=" "/>
    <s v=" "/>
    <s v=" "/>
    <s v=" "/>
    <s v=" "/>
    <s v="Ativo"/>
    <s v="HIGIENIZADOR DE CARROS"/>
    <x v="11"/>
    <s v="LJSJE"/>
  </r>
  <r>
    <n v="118005"/>
    <s v="RODRIGO WILLIAM DE JESUS SIQUEIRA"/>
    <s v="Diretoria Seminovos"/>
    <s v="RSSUL -  Regional Seminovos Varejo Sul"/>
    <s v="LJCWB - Loja Seminovos Curitiba"/>
    <s v="ADRIANO LINS"/>
    <s v="NEGATIVO"/>
    <d v="1899-12-31T11:51:00"/>
    <d v="1899-12-31T11:51:00"/>
    <d v="1899-12-30T00:00:00"/>
    <s v=" "/>
    <s v=" "/>
    <s v=" "/>
    <s v=" "/>
    <s v=" "/>
    <s v=" "/>
    <s v=" "/>
    <s v=" "/>
    <s v=" "/>
    <d v="1899-12-30T09:29:00"/>
    <d v="1899-12-30T21:40:00"/>
    <d v="1899-12-30T03:53:00"/>
    <s v="Ativo"/>
    <s v="HIGIENIZADOR DE CARROS"/>
    <x v="11"/>
    <s v="LJCWB"/>
  </r>
  <r>
    <n v="119308"/>
    <s v="TCHARLES FRANCA CORREA"/>
    <s v="Diretoria Seminovos"/>
    <s v="RSSUL -  Regional Seminovos Varejo Sul"/>
    <s v="LJBNU - Loja Seminovos Blumenau"/>
    <s v="JOAO MARCELO VARGAS"/>
    <s v="NEGATIVO"/>
    <d v="1899-12-30T01:09:00"/>
    <d v="1899-12-30T01:09:00"/>
    <d v="1899-12-30T00:00:00"/>
    <s v=" "/>
    <s v=" "/>
    <s v=" "/>
    <s v=" "/>
    <s v=" "/>
    <d v="1899-12-30T01:09:00"/>
    <s v=" "/>
    <s v=" "/>
    <s v=" "/>
    <s v=" "/>
    <s v=" "/>
    <s v=" "/>
    <s v="Ativo"/>
    <s v="HIGIENIZADOR DE CARROS"/>
    <x v="11"/>
    <s v="LJBNU"/>
  </r>
  <r>
    <n v="133302"/>
    <s v="THIERRI ROEDEL MOURA"/>
    <s v="Diretoria Seminovos"/>
    <s v="RSSUL -  Regional Seminovos Varejo Sul"/>
    <s v="LJSLP - Loja Seminovos São Leopoldo"/>
    <s v="MARCONCINE DE MATOS"/>
    <s v="NEGATIVO"/>
    <d v="1899-12-30T08:48:00"/>
    <d v="1899-12-30T08:48:00"/>
    <d v="1899-12-30T00:00:00"/>
    <s v=" "/>
    <s v=" "/>
    <s v=" "/>
    <s v=" "/>
    <s v=" "/>
    <s v=" "/>
    <d v="1899-12-30T08:48:00"/>
    <s v=" "/>
    <s v=" "/>
    <s v=" "/>
    <s v=" "/>
    <s v=" "/>
    <s v="Contrato de Trabalho Suspenso"/>
    <s v="HIGIENIZADOR DE CARROS"/>
    <x v="11"/>
    <s v="LJSLP"/>
  </r>
  <r>
    <n v="131093"/>
    <s v="QUELI ADRIANA NEVES DA SILVA"/>
    <s v="Diretoria Seminovos"/>
    <s v="RSSUL -  Regional Seminovos Varejo Sul"/>
    <s v="LJGRA - Vendas Varejo Seminovos Gravataí"/>
    <s v="DANIEL DA SILVA CARDOSO"/>
    <s v="NEGATIVO"/>
    <d v="1899-12-30T05:14:00"/>
    <d v="1899-12-30T05:14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1"/>
    <s v="LJGRA"/>
  </r>
  <r>
    <n v="136974"/>
    <s v="ADEMAR TAVARES CLAUDINO DOS SANTOS"/>
    <s v="Diretoria Seminovos"/>
    <s v="RSSUL -  Regional Seminovos Varejo Sul"/>
    <s v="LJLGS - Vendas Varejo Seminovos Lages"/>
    <s v="JOAO MARCELO VARGAS"/>
    <s v="NEGATIVO"/>
    <d v="1900-01-06T13:21:00"/>
    <d v="1900-01-06T13:21:00"/>
    <d v="1899-12-30T00:00:00"/>
    <s v=" "/>
    <s v=" "/>
    <s v=" "/>
    <s v=" "/>
    <d v="1900-01-06T07:53:00"/>
    <d v="1899-12-30T04:10:00"/>
    <d v="1899-12-30T00:24:00"/>
    <s v=" "/>
    <s v=" "/>
    <s v=" "/>
    <s v=" "/>
    <s v=" "/>
    <s v="Ativo"/>
    <s v="CONSULTOR DE VENDAS"/>
    <x v="11"/>
    <s v="LJLGS"/>
  </r>
  <r>
    <n v="503594"/>
    <s v="ALAERCIO LUIS SCALABRIM LAPAZINI"/>
    <s v="Diretoria Seminovos"/>
    <s v="RSSUL -  Regional Seminovos Varejo Sul"/>
    <s v="LJJOI - Vendas Varejo Seminovos Joinville"/>
    <s v="ALEXANDRE PORTO DE CAMARGO"/>
    <s v="NEGATIVO"/>
    <d v="1899-12-31T01:52:00"/>
    <d v="1899-12-31T01:52:00"/>
    <d v="1899-12-30T00:00:00"/>
    <s v=" "/>
    <s v=" "/>
    <s v=" "/>
    <s v=" "/>
    <s v=" "/>
    <s v=" "/>
    <d v="1899-12-30T14:22:00"/>
    <s v=" "/>
    <s v=" "/>
    <s v=" "/>
    <s v=" "/>
    <s v=" "/>
    <s v="Ativo"/>
    <s v="CONSULTOR DE VENDAS"/>
    <x v="11"/>
    <s v="LJJOI"/>
  </r>
  <r>
    <n v="132269"/>
    <s v="ALAM SCOTTI MEDEIROS"/>
    <s v="Diretoria Seminovos"/>
    <s v="RSSUL -  Regional Seminovos Varejo Sul"/>
    <s v="LJCCM - Vendas Varejo Seminovos Criciúma"/>
    <s v="RICARDO ROSA PACHECO"/>
    <s v="NEGATIVO"/>
    <d v="1900-01-03T04:47:00"/>
    <d v="1900-01-03T04:47:00"/>
    <d v="1899-12-30T00:00:00"/>
    <s v=" "/>
    <s v=" "/>
    <s v=" "/>
    <s v=" "/>
    <s v=" "/>
    <d v="1900-01-02T13:28:00"/>
    <d v="1899-12-30T19:58:00"/>
    <s v=" "/>
    <s v=" "/>
    <s v=" "/>
    <s v=" "/>
    <s v=" "/>
    <s v="Ativo"/>
    <s v="CONSULTOR DE VENDAS"/>
    <x v="11"/>
    <s v="LJCCM"/>
  </r>
  <r>
    <n v="135367"/>
    <s v="ALEX DOS PASSOS MACHADO"/>
    <s v="Diretoria Seminovos"/>
    <s v="RSSUL -  Regional Seminovos Varejo Sul"/>
    <s v="LJSMR - Vendas Varejo Seminovos Santa Maria"/>
    <s v="CHARLES FRIEDHEIN MARCHESAN"/>
    <s v="NEGATIVO"/>
    <d v="1899-12-30T07:58:00"/>
    <d v="1899-12-30T07:58:00"/>
    <d v="1899-12-30T00:00:00"/>
    <s v=" "/>
    <s v=" "/>
    <s v=" "/>
    <s v=" "/>
    <s v=" "/>
    <d v="1899-12-30T07:58:00"/>
    <s v=" "/>
    <s v=" "/>
    <s v=" "/>
    <s v=" "/>
    <s v=" "/>
    <s v=" "/>
    <s v="Ativo"/>
    <s v="CONSULTOR DE VENDAS"/>
    <x v="11"/>
    <s v="LJSMR"/>
  </r>
  <r>
    <n v="135756"/>
    <s v="ALISSON DOS SANTOS"/>
    <s v="Diretoria Seminovos"/>
    <s v="RSSUL -  Regional Seminovos Varejo Sul"/>
    <s v="LJJOI - Vendas Varejo Seminovos Joinville"/>
    <s v="ALEXANDRE PORTO DE CAMARGO"/>
    <s v="NEGATIVO"/>
    <d v="1899-12-30T02:23:00"/>
    <d v="1899-12-30T02:23:00"/>
    <d v="1899-12-30T00:00:00"/>
    <s v=" "/>
    <s v=" "/>
    <s v=" "/>
    <s v=" "/>
    <s v=" "/>
    <s v=" "/>
    <d v="1899-12-30T04:28:00"/>
    <s v=" "/>
    <s v=" "/>
    <s v=" "/>
    <s v=" "/>
    <s v=" "/>
    <s v="Ativo"/>
    <s v="CONSULTOR DE VENDAS"/>
    <x v="11"/>
    <s v="LJJOI"/>
  </r>
  <r>
    <n v="137011"/>
    <s v="ANDREIA TIEMI KANEKO"/>
    <s v="Diretoria Seminovos"/>
    <s v="RSSUL -  Regional Seminovos Varejo Sul"/>
    <s v="LJLGS - Vendas Varejo Seminovos Lages"/>
    <s v="JOAO MARCELO VARGAS"/>
    <s v="NEGATIVO"/>
    <d v="1900-01-07T11:35:00"/>
    <d v="1900-01-07T11:35:00"/>
    <d v="1899-12-30T00:00:00"/>
    <s v=" "/>
    <s v=" "/>
    <s v=" "/>
    <s v=" "/>
    <d v="1900-01-07T06:15:00"/>
    <d v="1899-12-30T05:41:00"/>
    <d v="1899-12-30T00:58:00"/>
    <s v=" "/>
    <s v=" "/>
    <s v=" "/>
    <s v=" "/>
    <s v=" "/>
    <s v="Ativo"/>
    <s v="CONSULTOR DE VENDAS"/>
    <x v="11"/>
    <s v="LJLGS"/>
  </r>
  <r>
    <n v="125852"/>
    <s v="BRUNO MARTINS LEMOS"/>
    <s v="Diretoria Seminovos"/>
    <s v="RSSUL -  Regional Seminovos Varejo Sul"/>
    <s v="LJSJE - Vendas Varejo Seminovos São José"/>
    <s v="EDISON RAPHAEL ESAIER SETTIN"/>
    <s v="NEGATIVO"/>
    <d v="1899-12-30T16:18:00"/>
    <d v="1899-12-30T16:18:00"/>
    <d v="1899-12-30T00:00:00"/>
    <d v="1899-12-30T02:00:00"/>
    <d v="1899-12-30T09:41:00"/>
    <d v="1899-12-30T00:19:00"/>
    <s v=" "/>
    <s v=" "/>
    <d v="1899-12-30T04:18:00"/>
    <s v=" "/>
    <s v=" "/>
    <s v=" "/>
    <s v=" "/>
    <s v=" "/>
    <s v=" "/>
    <s v="Ativo"/>
    <s v="CONSULTOR DE VENDAS"/>
    <x v="11"/>
    <s v="LJSJE"/>
  </r>
  <r>
    <n v="130583"/>
    <s v="BRUNO NOBREGA MENDES"/>
    <s v="Diretoria Seminovos"/>
    <s v="RSSUL -  Regional Seminovos Varejo Sul"/>
    <s v="LJITJ - Vendas Varejo Seminovos Itajaí"/>
    <s v="PAULO SERGIO APARECIDO DE CARVALHO"/>
    <s v="NEGATIVO"/>
    <d v="1900-01-03T21:28:00"/>
    <d v="1900-01-03T21:28:00"/>
    <d v="1899-12-30T00:00:00"/>
    <s v=" "/>
    <s v=" "/>
    <s v=" "/>
    <s v=" "/>
    <s v=" "/>
    <d v="1900-01-03T21:28:00"/>
    <s v=" "/>
    <s v=" "/>
    <s v=" "/>
    <s v=" "/>
    <s v=" "/>
    <s v=" "/>
    <s v="Ativo"/>
    <s v="CONSULTOR DE VENDAS"/>
    <x v="11"/>
    <s v="LJITJ"/>
  </r>
  <r>
    <n v="129919"/>
    <s v="BRUNO VINICIUS MOREIRA DE LIMA"/>
    <s v="Diretoria Seminovos"/>
    <s v="RSSUL -  Regional Seminovos Varejo Sul"/>
    <s v="LJGUI - Vendas Varejo Seminovos Barigui"/>
    <s v="FABIO VLADIMIR JARDIM MADRUGA"/>
    <s v="NEGATIVO"/>
    <d v="1899-12-31T10:51:00"/>
    <d v="1899-12-31T10:51:00"/>
    <d v="1899-12-30T00:00:00"/>
    <s v=" "/>
    <s v=" "/>
    <s v=" "/>
    <s v=" "/>
    <s v=" "/>
    <s v=" "/>
    <s v=" "/>
    <s v=" "/>
    <s v=" "/>
    <d v="1899-12-30T00:47:00"/>
    <d v="1899-12-31T08:49:00"/>
    <d v="1899-12-30T01:15:00"/>
    <s v="Contrato de Trabalho Suspenso"/>
    <s v="CONSULTOR DE VENDAS"/>
    <x v="11"/>
    <s v="LJGUI"/>
  </r>
  <r>
    <n v="134591"/>
    <s v="CARINE MACHADO VARGAS"/>
    <s v="Diretoria Seminovos"/>
    <s v="RSSUL -  Regional Seminovos Varejo Sul"/>
    <s v="LJGRA - Vendas Varejo Seminovos Gravataí"/>
    <s v="DANIEL DA SILVA CARDOSO"/>
    <s v="NEGATIVO"/>
    <d v="1899-12-30T11:45:00"/>
    <d v="1899-12-30T11:45:00"/>
    <d v="1899-12-30T00:00:00"/>
    <s v=" "/>
    <s v=" "/>
    <s v=" "/>
    <s v=" "/>
    <s v=" "/>
    <s v=" "/>
    <d v="1899-12-30T04:11:00"/>
    <s v=" "/>
    <s v=" "/>
    <s v=" "/>
    <s v=" "/>
    <s v=" "/>
    <s v="Ativo"/>
    <s v="CONSULTOR DE VENDAS"/>
    <x v="11"/>
    <s v="LJGRA"/>
  </r>
  <r>
    <n v="133956"/>
    <s v="CARLOS CESAR VIEGAS MORAIS"/>
    <s v="Diretoria Seminovos"/>
    <s v="RSSUL -  Regional Seminovos Varejo Sul"/>
    <s v="LJSET - Vendas Varejo Seminovos Sertório"/>
    <s v="LEONARDO HENRIQUE TREMEA MANCIO"/>
    <s v="NEGATIVO"/>
    <d v="1899-12-30T16:39:00"/>
    <d v="1899-12-30T16:39:00"/>
    <d v="1899-12-30T00:00:00"/>
    <s v=" "/>
    <s v=" "/>
    <s v=" "/>
    <s v=" "/>
    <s v=" "/>
    <d v="1899-12-30T05:52:00"/>
    <d v="1899-12-30T14:18:00"/>
    <s v=" "/>
    <s v=" "/>
    <s v=" "/>
    <s v=" "/>
    <s v=" "/>
    <s v="Ativo"/>
    <s v="CONSULTOR DE VENDAS"/>
    <x v="11"/>
    <s v="LJSET"/>
  </r>
  <r>
    <n v="129828"/>
    <s v="CHRISTIANO ROMEO DALAVECHIA"/>
    <s v="Diretoria Seminovos"/>
    <s v="RSSUL -  Regional Seminovos Varejo Sul"/>
    <s v="LJJOI - Vendas Varejo Seminovos Joinville"/>
    <s v="ALEXANDRE PORTO DE CAMARGO"/>
    <s v="NEGATIVO"/>
    <d v="1900-01-02T08:07:00"/>
    <d v="1900-01-02T08:07:00"/>
    <d v="1899-12-30T00:00:00"/>
    <s v=" "/>
    <s v=" "/>
    <s v=" "/>
    <s v=" "/>
    <d v="1899-12-30T17:53:00"/>
    <d v="1899-12-31T19:27:00"/>
    <d v="1899-12-30T13:11:00"/>
    <s v=" "/>
    <s v=" "/>
    <s v=" "/>
    <s v=" "/>
    <s v=" "/>
    <s v="Ativo"/>
    <s v="CONSULTOR DE VENDAS"/>
    <x v="11"/>
    <s v="LJJOI"/>
  </r>
  <r>
    <n v="136171"/>
    <s v="CLAISON JOEL ANTUNES MELO"/>
    <s v="Diretoria Seminovos"/>
    <s v="RSSUL -  Regional Seminovos Varejo Sul"/>
    <s v="LJPOA - Vendas Varejo Seminovos Porto Alegre"/>
    <s v="FABIO MACHADO PAIXAO"/>
    <s v="NEGATIVO"/>
    <d v="1899-12-30T09:35:00"/>
    <d v="1899-12-30T09:35:00"/>
    <d v="1899-12-30T00:00:00"/>
    <s v=" "/>
    <s v=" "/>
    <d v="1899-12-30T08:29:00"/>
    <s v=" "/>
    <d v="1899-12-30T07:12:00"/>
    <s v=" "/>
    <s v=" "/>
    <s v=" "/>
    <s v=" "/>
    <s v=" "/>
    <s v=" "/>
    <s v=" "/>
    <s v="Ativo"/>
    <s v="CONSULTOR DE VENDAS"/>
    <x v="11"/>
    <s v="LJPOA"/>
  </r>
  <r>
    <n v="131888"/>
    <s v="CLEDIR MOURA DA LUZ"/>
    <s v="Diretoria Seminovos"/>
    <s v="RSSUL -  Regional Seminovos Varejo Sul"/>
    <s v="LJPET - Vendas Varejo Seminovos Pelotas"/>
    <s v="ANDERSON SILVEIRA LOPES"/>
    <s v="NEGATIVO"/>
    <d v="1899-12-30T04:53:00"/>
    <d v="1899-12-30T04:53:00"/>
    <d v="1899-12-30T00:00:00"/>
    <s v=" "/>
    <s v=" "/>
    <s v=" "/>
    <s v=" "/>
    <s v=" "/>
    <d v="1899-12-30T04:53:00"/>
    <s v=" "/>
    <s v=" "/>
    <s v=" "/>
    <s v=" "/>
    <s v=" "/>
    <s v=" "/>
    <s v="Contrato de Trabalho Suspenso"/>
    <s v="CONSULTOR DE VENDAS"/>
    <x v="11"/>
    <s v="LJPET"/>
  </r>
  <r>
    <n v="130386"/>
    <s v="CRISTIAN RODRIGUES FIGUEIRO"/>
    <s v="Diretoria Seminovos"/>
    <s v="RSSUL -  Regional Seminovos Varejo Sul"/>
    <s v="LJPOA - Vendas Varejo Seminovos Porto Alegre"/>
    <s v="FABIO MACHADO PAIXAO"/>
    <s v="NEGATIVO"/>
    <d v="1900-01-05T03:50:00"/>
    <d v="1900-01-05T03:50:00"/>
    <d v="1899-12-30T00:00:00"/>
    <s v=" "/>
    <s v=" "/>
    <s v=" "/>
    <d v="1899-12-30T00:38:00"/>
    <d v="1900-01-04T05:36:00"/>
    <d v="1899-12-30T21:36:00"/>
    <s v=" "/>
    <s v=" "/>
    <s v=" "/>
    <s v=" "/>
    <s v=" "/>
    <s v=" "/>
    <s v="Ativo"/>
    <s v="CONSULTOR DE VENDAS"/>
    <x v="11"/>
    <s v="LJPOA"/>
  </r>
  <r>
    <n v="135747"/>
    <s v="DIANE CAROLINE LEMOS"/>
    <s v="Diretoria Seminovos"/>
    <s v="RSSUL -  Regional Seminovos Varejo Sul"/>
    <s v="LJSET - Vendas Varejo Seminovos Sertório"/>
    <s v="LEONARDO HENRIQUE TREMEA MANCIO"/>
    <s v="NEGATIVO"/>
    <d v="1899-12-30T01:25:00"/>
    <d v="1899-12-30T01:25:00"/>
    <d v="1899-12-30T00:00:00"/>
    <s v=" "/>
    <s v=" "/>
    <s v=" "/>
    <s v=" "/>
    <s v=" "/>
    <s v=" "/>
    <d v="1899-12-30T22:19:00"/>
    <s v=" "/>
    <s v=" "/>
    <s v=" "/>
    <s v=" "/>
    <s v=" "/>
    <s v="Ativo"/>
    <s v="CONSULTOR DE VENDAS"/>
    <x v="11"/>
    <s v="LJSET"/>
  </r>
  <r>
    <n v="133434"/>
    <s v="DOWNISETHE DE ARAUJO CAVALCANTE"/>
    <s v="Diretoria Seminovos"/>
    <s v="RSSUL -  Regional Seminovos Varejo Sul"/>
    <s v="LJJOI - Vendas Varejo Seminovos Joinville"/>
    <s v="ALEXANDRE PORTO DE CAMARGO"/>
    <s v="NEGATIVO"/>
    <d v="1899-12-30T14:26:00"/>
    <d v="1899-12-30T14:26:00"/>
    <d v="1899-12-30T00:00:00"/>
    <s v=" "/>
    <s v=" "/>
    <s v=" "/>
    <s v=" "/>
    <s v=" "/>
    <s v=" "/>
    <d v="1899-12-30T14:30:00"/>
    <s v=" "/>
    <s v=" "/>
    <s v=" "/>
    <s v=" "/>
    <s v=" "/>
    <s v="Ativo"/>
    <s v="CONSULTOR DE VENDAS"/>
    <x v="11"/>
    <s v="LJJOI"/>
  </r>
  <r>
    <n v="129864"/>
    <s v="EDUARDO KISNER DE KISNER"/>
    <s v="Diretoria Seminovos"/>
    <s v="RSSUL -  Regional Seminovos Varejo Sul"/>
    <s v="LJPOA - Vendas Varejo Seminovos Porto Alegre"/>
    <s v="FABIO MACHADO PAIXAO"/>
    <s v="NEGATIVO"/>
    <d v="1899-12-30T09:15:00"/>
    <d v="1899-12-30T09:15:00"/>
    <d v="1899-12-30T00:00:00"/>
    <s v=" "/>
    <s v=" "/>
    <s v=" "/>
    <s v=" "/>
    <d v="1899-12-30T02:03:00"/>
    <d v="1899-12-30T07:12:00"/>
    <s v=" "/>
    <s v=" "/>
    <s v=" "/>
    <s v=" "/>
    <s v=" "/>
    <s v=" "/>
    <s v="Contrato de Trabalho Suspenso"/>
    <s v="CONSULTOR DE VENDAS"/>
    <x v="11"/>
    <s v="LJPOA"/>
  </r>
  <r>
    <n v="132718"/>
    <s v="FABIANA BATISTA ALFONSIN"/>
    <s v="Diretoria Seminovos"/>
    <s v="RSSUL -  Regional Seminovos Varejo Sul"/>
    <s v="LJPET - Vendas Varejo Seminovos Pelotas"/>
    <s v="ANDERSON SILVEIRA LOPES"/>
    <s v="NEGATIVO"/>
    <d v="1899-12-30T09:06:00"/>
    <d v="1899-12-30T09:06:00"/>
    <d v="1899-12-30T00:00:00"/>
    <s v=" "/>
    <s v=" "/>
    <d v="1899-12-30T09:06:00"/>
    <s v=" "/>
    <s v=" "/>
    <s v=" "/>
    <s v=" "/>
    <s v=" "/>
    <s v=" "/>
    <s v=" "/>
    <s v=" "/>
    <s v=" "/>
    <s v="Ativo"/>
    <s v="CONSULTOR DE VENDAS"/>
    <x v="11"/>
    <s v="LJPET"/>
  </r>
  <r>
    <n v="136253"/>
    <s v="GABRIEL PINHEIRO DOS PASSOS"/>
    <s v="Diretoria Seminovos"/>
    <s v="RSSUL -  Regional Seminovos Varejo Sul"/>
    <s v="LJFLI - Loja Seminovos Florianópolis Ilha"/>
    <s v="DORLI DAVID MACHADO"/>
    <s v="NEGATIVO"/>
    <d v="1899-12-30T20:53:00"/>
    <d v="1899-12-30T20:53:00"/>
    <d v="1899-12-30T00:00:00"/>
    <s v=" "/>
    <s v=" "/>
    <s v=" "/>
    <s v=" "/>
    <s v=" "/>
    <d v="1899-12-30T07:43:00"/>
    <d v="1899-12-30T04:48:00"/>
    <s v=" "/>
    <s v=" "/>
    <s v=" "/>
    <s v=" "/>
    <s v=" "/>
    <s v="Ativo"/>
    <s v="HIGIENIZADOR DE CARROS"/>
    <x v="11"/>
    <s v="LJFLI"/>
  </r>
  <r>
    <n v="501809"/>
    <s v="GILMAR JOSE PEREIRA CARDOSO"/>
    <s v="Diretoria Seminovos"/>
    <s v="RSSUL -  Regional Seminovos Varejo Sul"/>
    <s v="LJSLP - Vendas Varejo Seminovos São Leopoldo"/>
    <s v="MARCONCINE DE MATOS"/>
    <s v="NEGATIVO"/>
    <d v="1899-12-30T06:32:00"/>
    <d v="1899-12-30T06:32:00"/>
    <d v="1899-12-30T00:00:00"/>
    <s v=" "/>
    <d v="1899-12-30T02:17:00"/>
    <d v="1899-12-30T04:15:00"/>
    <s v=" "/>
    <s v=" "/>
    <s v=" "/>
    <s v=" "/>
    <s v=" "/>
    <s v=" "/>
    <s v=" "/>
    <s v=" "/>
    <s v=" "/>
    <s v="Ativo"/>
    <s v="CONSULTOR DE VENDAS"/>
    <x v="11"/>
    <s v="LJSLP"/>
  </r>
  <r>
    <n v="130518"/>
    <s v="GILSON LUIZ DA SILVA"/>
    <s v="Diretoria Seminovos"/>
    <s v="RSSUL -  Regional Seminovos Varejo Sul"/>
    <s v="LJJOI - Vendas Varejo Seminovos Joinville"/>
    <s v="ALEXANDRE PORTO DE CAMARGO"/>
    <s v="NEGATIVO"/>
    <d v="1900-01-02T22:02:00"/>
    <d v="1900-01-02T22:02:00"/>
    <d v="1899-12-30T00:00:00"/>
    <s v=" "/>
    <s v=" "/>
    <s v=" "/>
    <s v=" "/>
    <d v="1899-12-30T16:19:00"/>
    <d v="1900-01-01T05:28:00"/>
    <d v="1899-12-30T20:26:00"/>
    <s v=" "/>
    <s v=" "/>
    <s v=" "/>
    <s v=" "/>
    <s v=" "/>
    <s v="Ativo"/>
    <s v="CONSULTOR DE VENDAS"/>
    <x v="11"/>
    <s v="LJJOI"/>
  </r>
  <r>
    <n v="130559"/>
    <s v="HENRIQUE RAMAO STIVAL AMARILHA"/>
    <s v="Diretoria Seminovos"/>
    <s v="RSSUL -  Regional Seminovos Varejo Sul"/>
    <s v="LJCWB - Vendas Varejo Seminovos Curitiba"/>
    <s v="ADRIANO LINS"/>
    <s v="NEGATIVO"/>
    <d v="1899-12-30T22:48:00"/>
    <d v="1899-12-30T22:48:00"/>
    <d v="1899-12-30T00:00:00"/>
    <s v=" "/>
    <s v=" "/>
    <s v=" "/>
    <s v=" "/>
    <s v=" "/>
    <s v=" "/>
    <s v=" "/>
    <s v=" "/>
    <s v=" "/>
    <s v=" "/>
    <d v="1899-12-30T22:33:00"/>
    <d v="1899-12-30T00:15:00"/>
    <s v="Contrato de Trabalho Suspenso"/>
    <s v="CONSULTOR DE VENDAS"/>
    <x v="11"/>
    <s v="LJCWB"/>
  </r>
  <r>
    <n v="136518"/>
    <s v="ISADORA GONCALVES FONSECA"/>
    <s v="Diretoria Seminovos"/>
    <s v="RSSUL -  Regional Seminovos Varejo Sul"/>
    <s v="LJPOA - Vendas Varejo Seminovos Porto Alegre"/>
    <s v="FABIO MACHADO PAIXAO"/>
    <s v="NEGATIVO"/>
    <d v="1899-12-30T00:04:00"/>
    <d v="1899-12-30T00:04:00"/>
    <d v="1899-12-30T00:00:00"/>
    <s v=" "/>
    <s v=" "/>
    <d v="1899-12-30T06:40:00"/>
    <s v=" "/>
    <s v=" "/>
    <s v=" "/>
    <s v=" "/>
    <s v=" "/>
    <s v=" "/>
    <s v=" "/>
    <s v=" "/>
    <s v=" "/>
    <s v="Ativo"/>
    <s v="CONSULTOR DE VENDAS"/>
    <x v="11"/>
    <s v="LJPOA"/>
  </r>
  <r>
    <n v="124602"/>
    <s v="IVAN DE FRAGA SILVA"/>
    <s v="Diretoria Seminovos"/>
    <s v="RSSUL -  Regional Seminovos Varejo Sul"/>
    <s v="LJPOA - Vendas Varejo Seminovos Porto Alegre"/>
    <s v="FABIO MACHADO PAIXAO"/>
    <s v="NEGATIVO"/>
    <d v="1899-12-30T05:30:00"/>
    <d v="1899-12-30T05:30:00"/>
    <d v="1899-12-30T00:00:00"/>
    <s v=" "/>
    <d v="1899-12-30T05:30:00"/>
    <s v=" "/>
    <s v=" "/>
    <s v=" "/>
    <s v=" "/>
    <s v=" "/>
    <s v=" "/>
    <s v=" "/>
    <s v=" "/>
    <s v=" "/>
    <s v=" "/>
    <s v="Contrato de Trabalho Suspenso"/>
    <s v="CONSULTOR DE VENDAS"/>
    <x v="11"/>
    <s v="LJPOA"/>
  </r>
  <r>
    <n v="133584"/>
    <s v="JANI NIENCHERT"/>
    <s v="Diretoria Seminovos"/>
    <s v="RSSUL -  Regional Seminovos Varejo Sul"/>
    <s v="LJFLN - Vendas Varejo Seminovos Florianópolis"/>
    <s v="JOAO MARCELO VARGAS"/>
    <s v="NEGATIVO"/>
    <d v="1899-12-30T13:25:00"/>
    <d v="1899-12-30T13:25:00"/>
    <d v="1899-12-30T00:00:00"/>
    <s v=" "/>
    <s v=" "/>
    <s v=" "/>
    <s v=" "/>
    <s v=" "/>
    <s v=" "/>
    <d v="1899-12-30T06:48:00"/>
    <s v=" "/>
    <s v=" "/>
    <s v=" "/>
    <s v=" "/>
    <s v=" "/>
    <s v="Ativo"/>
    <s v="CONSULTOR DE VENDAS"/>
    <x v="11"/>
    <s v="LJFLN"/>
  </r>
  <r>
    <n v="135963"/>
    <s v="JEAN KLEBER KONOPHAL"/>
    <s v="Diretoria Seminovos"/>
    <s v="RSSUL -  Regional Seminovos Varejo Sul"/>
    <s v="LJPGS - Vendas Varejo Seminovos Ponta Grossa"/>
    <s v="JACKSON DE OLIVEIRA"/>
    <s v="NEGATIVO"/>
    <d v="1900-01-16T14:24:00"/>
    <d v="1900-01-16T14:24:00"/>
    <d v="1899-12-30T00:00:00"/>
    <s v=" "/>
    <s v=" "/>
    <s v=" "/>
    <s v=" "/>
    <s v=" "/>
    <s v=" "/>
    <s v=" "/>
    <s v=" "/>
    <s v=" "/>
    <d v="1900-01-07T10:24:00"/>
    <d v="1900-01-08T04:00:00"/>
    <s v=" "/>
    <s v="Ativo"/>
    <s v="CONSULTOR DE VENDAS"/>
    <x v="11"/>
    <s v="LJPGS"/>
  </r>
  <r>
    <n v="136870"/>
    <s v="JOAO CARLOS ALVES DE OLIVEIRA"/>
    <s v="Diretoria Seminovos"/>
    <s v="RSSUL -  Regional Seminovos Varejo Sul"/>
    <s v="LJJOI - Vendas Varejo Seminovos Joinville"/>
    <s v="ALEXANDRE PORTO DE CAMARGO"/>
    <s v="NEGATIVO"/>
    <d v="1900-01-04T09:05:00"/>
    <d v="1900-01-04T09:05:00"/>
    <d v="1899-12-30T00:00:00"/>
    <s v=" "/>
    <s v=" "/>
    <s v=" "/>
    <s v=" "/>
    <d v="1900-01-01T07:54:00"/>
    <d v="1899-12-31T18:39:00"/>
    <d v="1899-12-30T20:55:00"/>
    <s v=" "/>
    <s v=" "/>
    <s v=" "/>
    <s v=" "/>
    <s v=" "/>
    <s v="Ativo"/>
    <s v="CONSULTOR DE VENDAS"/>
    <x v="11"/>
    <s v="LJJOI"/>
  </r>
  <r>
    <n v="134860"/>
    <s v="JONE DOUGLAS DA ROSA"/>
    <s v="Diretoria Seminovos"/>
    <s v="RSSUL -  Regional Seminovos Varejo Sul"/>
    <s v="LJSLP - Vendas Varejo Seminovos São Leopoldo"/>
    <s v="MARCONCINE DE MATOS"/>
    <s v="NEGATIVO"/>
    <d v="1899-12-30T02:24:00"/>
    <d v="1899-12-30T02:24:00"/>
    <d v="1899-12-30T00:00:00"/>
    <s v=" "/>
    <d v="1899-12-30T02:03:00"/>
    <d v="1899-12-30T00:21:00"/>
    <s v=" "/>
    <s v=" "/>
    <s v=" "/>
    <s v=" "/>
    <s v=" "/>
    <s v=" "/>
    <s v=" "/>
    <s v=" "/>
    <s v=" "/>
    <s v="Ativo"/>
    <s v="CONSULTOR DE VENDAS"/>
    <x v="11"/>
    <s v="LJSLP"/>
  </r>
  <r>
    <n v="130848"/>
    <s v="JORGE LUIS CORDEIRO DE CARVALHO"/>
    <s v="Diretoria Seminovos"/>
    <s v="RSSUL -  Regional Seminovos Varejo Sul"/>
    <s v="LJSET - Vendas Varejo Seminovos Sertório"/>
    <s v="LEONARDO HENRIQUE TREMEA MANCIO"/>
    <s v="NEGATIVO"/>
    <d v="1899-12-30T03:14:00"/>
    <d v="1899-12-30T03:14:00"/>
    <d v="1899-12-30T00:00:00"/>
    <s v=" "/>
    <s v=" "/>
    <s v=" "/>
    <s v=" "/>
    <s v=" "/>
    <d v="1899-12-30T04:00:00"/>
    <d v="1899-12-30T12:41:00"/>
    <s v=" "/>
    <s v=" "/>
    <s v=" "/>
    <s v=" "/>
    <s v=" "/>
    <s v="Ativo"/>
    <s v="CONSULTOR DE VENDAS"/>
    <x v="11"/>
    <s v="LJSET"/>
  </r>
  <r>
    <n v="133457"/>
    <s v="JULIO CEZAR NAZARIO"/>
    <s v="Diretoria Seminovos"/>
    <s v="RSSUL -  Regional Seminovos Varejo Sul"/>
    <s v="LJJOI - Vendas Varejo Seminovos Joinville"/>
    <s v="ALEXANDRE PORTO DE CAMARGO"/>
    <s v="NEGATIVO"/>
    <d v="1900-01-02T09:53:00"/>
    <d v="1900-01-02T09:53:00"/>
    <d v="1899-12-30T00:00:00"/>
    <s v=" "/>
    <s v=" "/>
    <s v=" "/>
    <s v=" "/>
    <d v="1899-12-30T13:51:00"/>
    <d v="1900-01-01T03:14:00"/>
    <d v="1899-12-30T08:27:00"/>
    <s v=" "/>
    <s v=" "/>
    <s v=" "/>
    <s v=" "/>
    <s v=" "/>
    <s v="Ativo"/>
    <s v="CONSULTOR DE VENDAS"/>
    <x v="11"/>
    <s v="LJJOI"/>
  </r>
  <r>
    <n v="133698"/>
    <s v="KELLEN DA CRUZ SOUZA"/>
    <s v="Diretoria Seminovos"/>
    <s v="RSSUL -  Regional Seminovos Varejo Sul"/>
    <s v="LJPET - Vendas Varejo Seminovos Pelotas"/>
    <s v="ANDERSON SILVEIRA LOPES"/>
    <s v="NEGATIVO"/>
    <d v="1899-12-30T09:50:00"/>
    <d v="1899-12-30T09:50:00"/>
    <d v="1899-12-30T00:00:00"/>
    <s v=" "/>
    <s v=" "/>
    <d v="1899-12-30T09:50:00"/>
    <s v=" "/>
    <s v=" "/>
    <s v=" "/>
    <s v=" "/>
    <s v=" "/>
    <s v=" "/>
    <s v=" "/>
    <s v=" "/>
    <s v=" "/>
    <s v="Ativo"/>
    <s v="CONSULTOR DE VENDAS"/>
    <x v="11"/>
    <s v="LJPET"/>
  </r>
  <r>
    <n v="137008"/>
    <s v="LEONARDO MUNIZ"/>
    <s v="Diretoria Seminovos"/>
    <s v="RSSUL -  Regional Seminovos Varejo Sul"/>
    <s v="LJLGS - Vendas Varejo Seminovos Lages"/>
    <s v="JOAO MARCELO VARGAS"/>
    <s v="NEGATIVO"/>
    <d v="1900-01-07T09:12:00"/>
    <d v="1900-01-07T09:12:00"/>
    <d v="1899-12-30T00:00:00"/>
    <s v=" "/>
    <s v=" "/>
    <s v=" "/>
    <s v=" "/>
    <d v="1900-01-07T08:55:00"/>
    <d v="1899-12-30T01:02:00"/>
    <d v="1899-12-30T00:48:00"/>
    <s v=" "/>
    <s v=" "/>
    <s v=" "/>
    <s v=" "/>
    <s v=" "/>
    <s v="Ativo"/>
    <s v="CONSULTOR DE VENDAS"/>
    <x v="11"/>
    <s v="LJLGS"/>
  </r>
  <r>
    <n v="133306"/>
    <s v="MARCELO CARDOZO VARGAS"/>
    <s v="Diretoria Seminovos"/>
    <s v="RSSUL -  Regional Seminovos Varejo Sul"/>
    <s v="LJSLP - Vendas Varejo Seminovos São Leopoldo"/>
    <s v="MARCONCINE DE MATOS"/>
    <s v="NEGATIVO"/>
    <d v="1899-12-30T15:16:00"/>
    <d v="1899-12-30T15:16:00"/>
    <d v="1899-12-30T00:00:00"/>
    <d v="1899-12-30T00:03:00"/>
    <d v="1899-12-30T09:36:00"/>
    <d v="1899-12-30T05:37:00"/>
    <s v=" "/>
    <s v=" "/>
    <s v=" "/>
    <s v=" "/>
    <s v=" "/>
    <s v=" "/>
    <s v=" "/>
    <s v=" "/>
    <s v=" "/>
    <s v="Contrato de Trabalho Suspenso"/>
    <s v="CONSULTOR DE VENDAS"/>
    <x v="11"/>
    <s v="LJSLP"/>
  </r>
  <r>
    <n v="135474"/>
    <s v="MARCELO SILVEIRA LAUER JUNIOR"/>
    <s v="Diretoria Seminovos"/>
    <s v="RSSUL -  Regional Seminovos Varejo Sul"/>
    <s v="LJSLP - Vendas Varejo Seminovos São Leopoldo"/>
    <s v="MARCONCINE DE MATOS"/>
    <s v="NEGATIVO"/>
    <d v="1899-12-30T01:11:00"/>
    <d v="1899-12-30T01:11:00"/>
    <d v="1899-12-30T00:00:00"/>
    <s v=" "/>
    <s v=" "/>
    <d v="1899-12-30T01:05:00"/>
    <d v="1899-12-30T00:06:00"/>
    <s v=" "/>
    <s v=" "/>
    <s v=" "/>
    <s v=" "/>
    <s v=" "/>
    <s v=" "/>
    <s v=" "/>
    <s v=" "/>
    <s v="Ativo"/>
    <s v="CONSULTOR DE VENDAS"/>
    <x v="11"/>
    <s v="LJSLP"/>
  </r>
  <r>
    <n v="135529"/>
    <s v="MARCIO RICARDO SCHMIDT"/>
    <s v="Diretoria Seminovos"/>
    <s v="RSSUL -  Regional Seminovos Varejo Sul"/>
    <s v="LJSMR - Vendas Varejo Seminovos Santa Maria"/>
    <s v="CHARLES FRIEDHEIN MARCHESAN"/>
    <s v="NEGATIVO"/>
    <d v="1899-12-30T01:12:00"/>
    <d v="1899-12-30T01:12:00"/>
    <d v="1899-12-30T00:00:00"/>
    <s v=" "/>
    <s v=" "/>
    <s v=" "/>
    <s v=" "/>
    <s v=" "/>
    <d v="1899-12-30T01:12:00"/>
    <s v=" "/>
    <s v=" "/>
    <s v=" "/>
    <s v=" "/>
    <s v=" "/>
    <s v=" "/>
    <s v="Ativo"/>
    <s v="CONSULTOR DE VENDAS"/>
    <x v="11"/>
    <s v="LJSMR"/>
  </r>
  <r>
    <n v="136512"/>
    <s v="MARCOS VINICIUS VENTURA PEREIRA"/>
    <s v="Diretoria Seminovos"/>
    <s v="RSSUL -  Regional Seminovos Varejo Sul"/>
    <s v="LJPOA - Vendas Varejo Seminovos Porto Alegre"/>
    <s v="FABIO MACHADO PAIXAO"/>
    <s v="NEGATIVO"/>
    <d v="1899-12-30T08:27:00"/>
    <d v="1899-12-30T08:27:00"/>
    <d v="1899-12-30T00:00:00"/>
    <s v=" "/>
    <s v=" "/>
    <s v=" "/>
    <d v="1899-12-30T10:22:00"/>
    <s v=" "/>
    <s v=" "/>
    <d v="1899-12-30T02:41:00"/>
    <s v=" "/>
    <s v=" "/>
    <s v=" "/>
    <s v=" "/>
    <s v=" "/>
    <s v="Ativo"/>
    <s v="CONSULTOR DE VENDAS"/>
    <x v="11"/>
    <s v="LJPOA"/>
  </r>
  <r>
    <n v="123688"/>
    <s v="PAULO ROBERTO HOFF"/>
    <s v="Diretoria Seminovos"/>
    <s v="RSSUL -  Regional Seminovos Varejo Sul"/>
    <s v="LJSLP - Vendas Varejo Seminovos São Leopoldo"/>
    <s v="MARCONCINE DE MATOS"/>
    <s v="NEGATIVO"/>
    <d v="1899-12-30T03:03:00"/>
    <d v="1899-12-30T03:03:00"/>
    <d v="1899-12-30T00:00:00"/>
    <d v="1899-12-30T02:29:00"/>
    <d v="1899-12-30T00:34:00"/>
    <s v=" "/>
    <s v=" "/>
    <s v=" "/>
    <s v=" "/>
    <s v=" "/>
    <s v=" "/>
    <s v=" "/>
    <s v=" "/>
    <s v=" "/>
    <s v=" "/>
    <s v="Ativo"/>
    <s v="CONSULTOR DE VENDAS"/>
    <x v="11"/>
    <s v="LJSLP"/>
  </r>
  <r>
    <n v="131591"/>
    <s v="RAFAEL SILVA DE AGUIAR"/>
    <s v="Diretoria Seminovos"/>
    <s v="RSSUL -  Regional Seminovos Varejo Sul"/>
    <s v="LJSLP - Vendas Varejo Seminovos São Leopoldo"/>
    <s v="MARCONCINE DE MATOS"/>
    <s v="NEGATIVO"/>
    <d v="1899-12-30T13:56:00"/>
    <d v="1899-12-30T13:56:00"/>
    <d v="1899-12-30T00:00:00"/>
    <s v=" "/>
    <d v="1899-12-30T04:35:00"/>
    <d v="1899-12-30T09:21:00"/>
    <s v=" "/>
    <s v=" "/>
    <s v=" "/>
    <s v=" "/>
    <s v=" "/>
    <s v=" "/>
    <s v=" "/>
    <s v=" "/>
    <s v=" "/>
    <s v="Contrato de Trabalho Suspenso"/>
    <s v="CONSULTOR DE VENDAS"/>
    <x v="11"/>
    <s v="LJSLP"/>
  </r>
  <r>
    <n v="132184"/>
    <s v="RAMON MIRANDA DA ROSA"/>
    <s v="Diretoria Seminovos"/>
    <s v="RSSUL -  Regional Seminovos Varejo Sul"/>
    <s v="LJCCM - Vendas Varejo Seminovos Criciúma"/>
    <s v="RICARDO ROSA PACHECO"/>
    <s v="NEGATIVO"/>
    <d v="1899-12-30T05:46:00"/>
    <d v="1899-12-30T05:46:00"/>
    <d v="1899-12-30T00:00:00"/>
    <s v=" "/>
    <s v=" "/>
    <s v=" "/>
    <s v=" "/>
    <s v=" "/>
    <d v="1899-12-30T04:12:00"/>
    <d v="1899-12-30T05:06:00"/>
    <s v=" "/>
    <s v=" "/>
    <s v=" "/>
    <s v=" "/>
    <s v=" "/>
    <s v="Ativo"/>
    <s v="CONSULTOR DE VENDAS"/>
    <x v="11"/>
    <s v="LJCCM"/>
  </r>
  <r>
    <n v="130636"/>
    <s v="RODRIGO ALVES"/>
    <s v="Diretoria Seminovos"/>
    <s v="RSSUL -  Regional Seminovos Varejo Sul"/>
    <s v="LJGRA - Vendas Varejo Seminovos Gravataí"/>
    <s v="DANIEL DA SILVA CARDOSO"/>
    <s v="NEGATIVO"/>
    <d v="1899-12-31T01:02:00"/>
    <d v="1899-12-31T01:02:00"/>
    <d v="1899-12-30T00:00:00"/>
    <s v=" "/>
    <s v=" "/>
    <s v=" "/>
    <s v=" "/>
    <s v=" "/>
    <s v=" "/>
    <d v="1899-12-30T11:08:00"/>
    <s v=" "/>
    <s v=" "/>
    <s v=" "/>
    <s v=" "/>
    <s v=" "/>
    <s v="Ativo"/>
    <s v="CONSULTOR DE VENDAS"/>
    <x v="11"/>
    <s v="LJGRA"/>
  </r>
  <r>
    <n v="135651"/>
    <s v="RODRIGO LUIS MACHADO"/>
    <s v="Diretoria Seminovos"/>
    <s v="RSSUL -  Regional Seminovos Varejo Sul"/>
    <s v="LJFLN - Vendas Varejo Seminovos Florianópolis"/>
    <s v="JOAO MARCELO VARGAS"/>
    <s v="NEGATIVO"/>
    <d v="1899-12-30T14:25:00"/>
    <d v="1899-12-30T14:25:00"/>
    <d v="1899-12-30T00:00:00"/>
    <s v=" "/>
    <s v=" "/>
    <s v=" "/>
    <s v=" "/>
    <s v=" "/>
    <s v=" "/>
    <d v="1899-12-30T09:08:00"/>
    <s v=" "/>
    <s v=" "/>
    <s v=" "/>
    <s v=" "/>
    <s v=" "/>
    <s v="Ativo"/>
    <s v="CONSULTOR DE VENDAS"/>
    <x v="11"/>
    <s v="LJFLN"/>
  </r>
  <r>
    <n v="130388"/>
    <s v="THIEGO PEREIRA DE OLIVEIRA DOS SANTOS"/>
    <s v="Diretoria Seminovos"/>
    <s v="RSSUL -  Regional Seminovos Varejo Sul"/>
    <s v="LJCWB - Vendas Varejo Seminovos Curitiba"/>
    <s v="ADRIANO LINS"/>
    <s v="NEGATIVO"/>
    <d v="1899-12-30T08:14:00"/>
    <d v="1899-12-30T08:14:00"/>
    <d v="1899-12-30T00:00:00"/>
    <s v=" "/>
    <s v=" "/>
    <s v=" "/>
    <s v=" "/>
    <s v=" "/>
    <s v=" "/>
    <s v=" "/>
    <s v=" "/>
    <s v=" "/>
    <s v=" "/>
    <d v="1899-12-30T01:02:00"/>
    <d v="1899-12-30T07:12:00"/>
    <s v="Contrato de Trabalho Suspenso"/>
    <s v="CONSULTOR DE VENDAS"/>
    <x v="11"/>
    <s v="LJCWB"/>
  </r>
  <r>
    <n v="133355"/>
    <s v="VALDINEI LOPES PORTO"/>
    <s v="Diretoria Seminovos"/>
    <s v="RSSUL -  Regional Seminovos Varejo Sul"/>
    <s v="LJCCM - Vendas Varejo Seminovos Criciúma"/>
    <s v="RICARDO ROSA PACHECO"/>
    <s v="NEGATIVO"/>
    <d v="1899-12-31T21:14:00"/>
    <d v="1899-12-31T21:14:00"/>
    <d v="1899-12-30T00:00:00"/>
    <s v=" "/>
    <s v=" "/>
    <s v=" "/>
    <s v=" "/>
    <s v=" "/>
    <d v="1899-12-31T20:58:00"/>
    <d v="1899-12-30T00:16:00"/>
    <s v=" "/>
    <s v=" "/>
    <s v=" "/>
    <s v=" "/>
    <s v=" "/>
    <s v="Contrato de Trabalho Suspenso"/>
    <s v="CONSULTOR DE VENDAS"/>
    <x v="11"/>
    <s v="LJCCM"/>
  </r>
  <r>
    <n v="503583"/>
    <s v="VALMIR ROMUALDO MACHADO"/>
    <s v="Diretoria Seminovos"/>
    <s v="RSSUL -  Regional Seminovos Varejo Sul"/>
    <s v="LJJOI - Vendas Varejo Seminovos Joinville"/>
    <s v="ALEXANDRE PORTO DE CAMARGO"/>
    <s v="NEGATIVO"/>
    <d v="1900-01-01T23:49:00"/>
    <d v="1900-01-01T23:49:00"/>
    <d v="1899-12-30T00:00:00"/>
    <s v=" "/>
    <s v=" "/>
    <s v=" "/>
    <s v=" "/>
    <d v="1899-12-30T23:00:00"/>
    <d v="1899-12-31T22:42:00"/>
    <d v="1899-12-30T02:07:00"/>
    <s v=" "/>
    <s v=" "/>
    <s v=" "/>
    <s v=" "/>
    <s v=" "/>
    <s v="Contrato de Trabalho Suspenso"/>
    <s v="CONSULTOR DE VENDAS"/>
    <x v="11"/>
    <s v="LJJOI"/>
  </r>
  <r>
    <n v="136352"/>
    <s v="WILLIAN SANTOS DA ROCHA"/>
    <s v="Diretoria Seminovos"/>
    <s v="RSSUL -  Regional Seminovos Varejo Sul"/>
    <s v="LJCCM - Vendas Varejo Seminovos Criciúma"/>
    <s v="RICARDO ROSA PACHECO"/>
    <s v="NEGATIVO"/>
    <d v="1899-12-30T14:08:00"/>
    <d v="1899-12-30T14:08:00"/>
    <d v="1899-12-30T00:00:00"/>
    <s v=" "/>
    <s v=" "/>
    <s v=" "/>
    <d v="1899-12-30T11:49:00"/>
    <s v=" "/>
    <d v="1899-12-30T00:25:00"/>
    <d v="1899-12-30T02:26:00"/>
    <s v=" "/>
    <s v=" "/>
    <s v=" "/>
    <s v=" "/>
    <s v=" "/>
    <s v="Ativo"/>
    <s v="CONSULTOR DE VENDAS"/>
    <x v="11"/>
    <s v="LJCCM"/>
  </r>
  <r>
    <n v="136883"/>
    <s v="FABRICIO RODRIGUES CAROLINO"/>
    <s v="Diretoria Seminovos"/>
    <s v="LJASI - Regional Seminovos Atacado São Paulo Interior"/>
    <s v="LJASI/CPQ - Seminovos Atacado São Paulo Interior"/>
    <s v="JOAO FLAVIO BONIARI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EXECUTIVO DE VENDAS I"/>
    <x v="12"/>
    <s v="LJASI"/>
  </r>
  <r>
    <n v="136599"/>
    <s v="RENATA DE OLIVEIRA CIPINIUK"/>
    <s v="Diretoria Seminovos"/>
    <s v="LJASI - Regional Seminovos Atacado São Paulo Interior"/>
    <s v="LJASI/CPQ - Seminovos Atacado São Paulo Interior"/>
    <s v="JOAO FLAVIO BONIARI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EXECUTIVO DE VENDAS I"/>
    <x v="12"/>
    <s v="LJASI"/>
  </r>
  <r>
    <n v="136603"/>
    <s v="RICARDO AUGUSTO DE MIRANDA SANTOS"/>
    <s v="Diretoria Seminovos"/>
    <s v="RSCDN - Regional Seminovos Atacado Norte"/>
    <s v="LJAND/PNA - Seminovos Atacado Nordeste Petrolina"/>
    <s v="MARLON VINICIUS SANDR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EXECUTIVO DE VENDAS I"/>
    <x v="13"/>
    <s v="LJAND"/>
  </r>
  <r>
    <n v="130359"/>
    <s v="BERNARDO ANGELO FERNANDES MASSARA"/>
    <s v="Diretoria Seminovos"/>
    <s v="RSCEN  - Regional Seminovos Varejo Centro"/>
    <s v="LJBHZ - Vendas Varejo Seminovos Belo Horizonte"/>
    <s v="GUSTAVO LUIZ DO NASCIMENTO"/>
    <s v="POSITIVO"/>
    <d v="1900-01-02T08:55:00"/>
    <d v="1899-12-30T00:00:00"/>
    <d v="1900-01-02T08:55:00"/>
    <s v=" "/>
    <s v=" "/>
    <s v=" "/>
    <s v=" "/>
    <d v="1899-12-30T18:59:00"/>
    <d v="1899-12-31T08:05:00"/>
    <d v="1899-12-30T17:36:00"/>
    <s v=" "/>
    <s v=" "/>
    <s v=" "/>
    <s v=" "/>
    <s v=" "/>
    <s v="Ativo"/>
    <s v="CONSULTOR DE VENDAS"/>
    <x v="3"/>
    <s v="LJBHZ"/>
  </r>
  <r>
    <n v="135021"/>
    <s v="LEANDRO JULIO DOS SANTOS"/>
    <s v="Diretoria Seminovos"/>
    <s v="RSCEN  - Regional Seminovos Varejo Centro"/>
    <s v="LJRAG - Vendas Varejo Seminovos Raja Gabaglia"/>
    <s v="FELIPE RIGHI MOREIRA VEIGA"/>
    <s v="POSITIVO"/>
    <d v="1900-01-01T11:58:00"/>
    <d v="1899-12-30T00:00:00"/>
    <d v="1900-01-01T11:58:00"/>
    <s v=" "/>
    <s v=" "/>
    <s v=" "/>
    <s v=" "/>
    <d v="1899-12-30T21:52:00"/>
    <d v="1899-12-31T14:06:00"/>
    <s v=" "/>
    <s v=" "/>
    <s v=" "/>
    <s v=" "/>
    <s v=" "/>
    <s v=" "/>
    <s v="Contrato de Trabalho Suspenso"/>
    <s v="CONSULTOR DE VENDAS"/>
    <x v="3"/>
    <s v="LJRAG"/>
  </r>
  <r>
    <n v="130437"/>
    <s v="WANDER AUGUSTO VAROTO ALVES"/>
    <s v="Diretoria Seminovos"/>
    <s v="RSCEN  - Regional Seminovos Varejo Centro"/>
    <s v="LJBHZ - Vendas Varejo Seminovos Belo Horizonte"/>
    <s v="GUSTAVO LUIZ DO NASCIMENTO"/>
    <s v="POSITIVO"/>
    <d v="1899-12-31T23:35:00"/>
    <d v="1899-12-30T00:00:00"/>
    <d v="1899-12-31T23:35:00"/>
    <s v=" "/>
    <s v=" "/>
    <s v=" "/>
    <s v=" "/>
    <d v="1899-12-30T07:00:00"/>
    <d v="1899-12-31T10:56:00"/>
    <d v="1899-12-30T11:53:00"/>
    <s v=" "/>
    <s v=" "/>
    <s v=" "/>
    <s v=" "/>
    <s v=" "/>
    <s v="Ativo"/>
    <s v="CONSULTOR DE VENDAS"/>
    <x v="3"/>
    <s v="LJBHZ"/>
  </r>
  <r>
    <n v="123261"/>
    <s v="DANUBIA ALVES DE MORAES FERREIRA"/>
    <s v="Diretoria Seminovos"/>
    <s v="RSCEN  - Regional Seminovos Varejo Centro"/>
    <s v="LJBHZ - Vendas Varejo Seminovos Belo Horizonte"/>
    <s v="GUSTAVO LUIZ DO NASCIMENTO"/>
    <s v="POSITIVO"/>
    <d v="1900-01-01T04:12:00"/>
    <d v="1899-12-30T00:00:00"/>
    <d v="1900-01-01T04:12:00"/>
    <s v=" "/>
    <s v=" "/>
    <s v=" "/>
    <s v=" "/>
    <d v="1899-12-30T23:55:00"/>
    <d v="1899-12-31T04:17:00"/>
    <s v=" "/>
    <s v=" "/>
    <s v=" "/>
    <s v=" "/>
    <s v=" "/>
    <s v=" "/>
    <s v="Contrato de Trabalho Suspenso"/>
    <s v="CONSULTOR DE VENDAS"/>
    <x v="3"/>
    <s v="LJBHZ"/>
  </r>
  <r>
    <n v="503521"/>
    <s v="JOSUE JONATAN CARVALHO"/>
    <s v="Diretoria Seminovos"/>
    <s v="RSCEN  - Regional Seminovos Varejo Centro"/>
    <s v="LJCMA - Vendas Varejo Seminovos Cristiano Machado"/>
    <s v="ELISIA RAMOS FERNANDES"/>
    <s v="POSITIVO"/>
    <d v="1900-01-01T02:09:00"/>
    <d v="1899-12-30T00:00:00"/>
    <d v="1900-01-01T02:09:00"/>
    <s v=" "/>
    <s v=" "/>
    <s v=" "/>
    <s v=" "/>
    <s v=" "/>
    <d v="1899-12-31T21:53:00"/>
    <d v="1899-12-30T05:05:00"/>
    <s v=" "/>
    <s v=" "/>
    <s v=" "/>
    <s v=" "/>
    <s v=" "/>
    <s v="Ativo"/>
    <s v="CONSULTOR DE VENDAS"/>
    <x v="3"/>
    <s v="LJCMA"/>
  </r>
  <r>
    <n v="125681"/>
    <s v="JONAS FERNANDES DE SOUZA GAMA"/>
    <s v="Diretoria Seminovos"/>
    <s v="RSCEN  - Regional Seminovos Varejo Centro"/>
    <s v="LJVNO - Vendas Varejo Seminovos Venda Nova"/>
    <s v="LILIANE FARIA DE ANDRADE"/>
    <s v="POSITIVO"/>
    <d v="1900-01-01T01:10:00"/>
    <d v="1899-12-30T00:00:00"/>
    <d v="1900-01-01T01:10:00"/>
    <s v=" "/>
    <s v=" "/>
    <s v=" "/>
    <s v=" "/>
    <s v=" "/>
    <d v="1899-12-31T01:36:00"/>
    <d v="1899-12-30T21:48:00"/>
    <s v=" "/>
    <s v=" "/>
    <s v=" "/>
    <s v=" "/>
    <s v=" "/>
    <s v="Ativo"/>
    <s v="CONSULTOR DE VENDAS"/>
    <x v="3"/>
    <s v="LJVNO"/>
  </r>
  <r>
    <n v="134411"/>
    <s v="MARIA SYLMARA DA SILVA"/>
    <s v="Diretoria Seminovos"/>
    <s v="RSCEN  - Regional Seminovos Varejo Centro"/>
    <s v="LJCMA - Vendas Varejo Seminovos Cristiano Machado"/>
    <s v="ELISIA RAMOS FERNANDES"/>
    <s v="POSITIVO"/>
    <d v="1900-01-01T02:49:00"/>
    <d v="1899-12-30T00:00:00"/>
    <d v="1900-01-01T02:49:00"/>
    <s v=" "/>
    <s v=" "/>
    <s v=" "/>
    <s v=" "/>
    <d v="1899-12-30T14:38:00"/>
    <d v="1899-12-30T18:03:00"/>
    <d v="1899-12-30T11:08:00"/>
    <s v=" "/>
    <s v=" "/>
    <s v=" "/>
    <s v=" "/>
    <s v=" "/>
    <s v="Ativo"/>
    <s v="CONSULTOR DE VENDAS"/>
    <x v="3"/>
    <s v="LJCMA"/>
  </r>
  <r>
    <n v="503534"/>
    <s v="SIMONE VIEIRA ABRANJE"/>
    <s v="Diretoria Seminovos"/>
    <s v="RSCEN  - Regional Seminovos Varejo Centro"/>
    <s v="LJBET - Vendas Varejo Seminovos Betim"/>
    <s v="THIAGO MAURICIO GOMES DOS SANTOS"/>
    <s v="POSITIVO"/>
    <d v="1899-12-31T22:38:00"/>
    <d v="1899-12-30T00:00:00"/>
    <d v="1899-12-31T22:38:00"/>
    <s v=" "/>
    <s v=" "/>
    <s v=" "/>
    <s v=" "/>
    <d v="1899-12-30T03:08:00"/>
    <d v="1899-12-31T05:29:00"/>
    <d v="1899-12-30T04:02:00"/>
    <s v=" "/>
    <s v=" "/>
    <s v=" "/>
    <s v=" "/>
    <s v=" "/>
    <s v="Ativo"/>
    <s v="CONSULTOR DE VENDAS"/>
    <x v="3"/>
    <s v="LJBET"/>
  </r>
  <r>
    <n v="134862"/>
    <s v="THIAGO ALVES DA SILVA GOMES"/>
    <s v="Diretoria Seminovos"/>
    <s v="RSCEN  - Regional Seminovos Varejo Centro"/>
    <s v="LJCON - Vendas Varejo Seminovos Contagem"/>
    <s v="LEANDRO AUGUSTO DA SILVA CAMILLOZZI"/>
    <s v="POSITIVO"/>
    <d v="1899-12-31T09:49:00"/>
    <d v="1899-12-30T00:00:00"/>
    <d v="1899-12-31T09:49:00"/>
    <s v=" "/>
    <s v=" "/>
    <s v=" "/>
    <s v=" "/>
    <s v=" "/>
    <d v="1899-12-31T09:49:00"/>
    <s v=" "/>
    <s v=" "/>
    <s v=" "/>
    <s v=" "/>
    <s v=" "/>
    <s v=" "/>
    <s v="Contrato de Trabalho Suspenso"/>
    <s v="CONSULTOR DE VENDAS"/>
    <x v="3"/>
    <s v="LJCON"/>
  </r>
  <r>
    <n v="129441"/>
    <s v="MATHEUS OLIVEIRA ANDRADE"/>
    <s v="Diretoria Seminovos"/>
    <s v="RSCEN  - Regional Seminovos Varejo Centro"/>
    <s v="LJBHZ - Vendas Varejo Seminovos Belo Horizonte"/>
    <s v="GUSTAVO LUIZ DO NASCIMENTO"/>
    <s v="POSITIVO"/>
    <d v="1899-12-31T07:28:00"/>
    <d v="1899-12-30T00:00:00"/>
    <d v="1899-12-31T07:28:00"/>
    <s v=" "/>
    <s v=" "/>
    <s v=" "/>
    <s v=" "/>
    <d v="1899-12-30T06:38:00"/>
    <d v="1899-12-31T00:50:00"/>
    <s v=" "/>
    <s v=" "/>
    <s v=" "/>
    <s v=" "/>
    <s v=" "/>
    <s v=" "/>
    <s v="Contrato de Trabalho Suspenso"/>
    <s v="CONSULTOR DE VENDAS"/>
    <x v="3"/>
    <s v="LJBHZ"/>
  </r>
  <r>
    <n v="122968"/>
    <s v="RAFAELA CRISTINA DA SILVA PEREIRA"/>
    <s v="Diretoria Seminovos"/>
    <s v="RSCEN  - Regional Seminovos Varejo Centro"/>
    <s v="LJRAG - Vendas Varejo Seminovos Raja Gabaglia"/>
    <s v="FELIPE RIGHI MOREIRA VEIGA"/>
    <s v="POSITIVO"/>
    <d v="1899-12-31T15:55:00"/>
    <d v="1899-12-30T00:00:00"/>
    <d v="1899-12-31T15:55:00"/>
    <s v=" "/>
    <s v=" "/>
    <s v=" "/>
    <s v=" "/>
    <s v=" "/>
    <d v="1899-12-30T14:19:00"/>
    <d v="1899-12-30T16:12:00"/>
    <s v=" "/>
    <s v=" "/>
    <s v=" "/>
    <s v=" "/>
    <s v=" "/>
    <s v="Ativo"/>
    <s v="CONSULTOR DE VENDAS"/>
    <x v="3"/>
    <s v="LJRAG"/>
  </r>
  <r>
    <n v="123424"/>
    <s v="GISLAINE TELIS FERREIRA DIAS DRUMOND"/>
    <s v="Diretoria Seminovos"/>
    <s v="RSCEN  - Regional Seminovos Varejo Centro"/>
    <s v="LJCMA - Vendas Varejo Seminovos Cristiano Machado"/>
    <s v="ELISIA RAMOS FERNANDES"/>
    <s v="POSITIVO"/>
    <d v="1899-12-31T02:36:00"/>
    <d v="1899-12-30T00:00:00"/>
    <d v="1899-12-31T02:36:00"/>
    <s v=" "/>
    <s v=" "/>
    <s v=" "/>
    <s v=" "/>
    <d v="1899-12-30T04:14:00"/>
    <d v="1899-12-30T22:22:00"/>
    <s v=" "/>
    <s v=" "/>
    <s v=" "/>
    <s v=" "/>
    <s v=" "/>
    <s v=" "/>
    <s v="Contrato de Trabalho Suspenso"/>
    <s v="CONSULTOR DE VENDAS"/>
    <x v="3"/>
    <s v="LJCMA"/>
  </r>
  <r>
    <n v="135502"/>
    <s v="FABRICIO DA SILVA FIGUEIREDO"/>
    <s v="Diretoria Seminovos"/>
    <s v="RSCEN  - Regional Seminovos Varejo Centro"/>
    <s v="LJBET - Vendas Varejo Seminovos Betim"/>
    <s v="THIAGO MAURICIO GOMES DOS SANTOS"/>
    <s v="POSITIVO"/>
    <d v="1899-12-31T03:08:00"/>
    <d v="1899-12-30T00:00:00"/>
    <d v="1899-12-31T03:08:00"/>
    <s v=" "/>
    <s v=" "/>
    <s v=" "/>
    <s v=" "/>
    <d v="1899-12-30T00:33:00"/>
    <d v="1899-12-30T22:43:00"/>
    <d v="1899-12-30T03:01:00"/>
    <s v=" "/>
    <s v=" "/>
    <s v=" "/>
    <s v=" "/>
    <s v=" "/>
    <s v="Ativo"/>
    <s v="CONSULTOR DE VENDAS"/>
    <x v="3"/>
    <s v="LJBET"/>
  </r>
  <r>
    <n v="135882"/>
    <s v="PAULO MAIA CARVALHO DE AGUIAR"/>
    <s v="Diretoria Seminovos"/>
    <s v="RSCEN  - Regional Seminovos Varejo Centro"/>
    <s v="LJRAG - Vendas Varejo Seminovos Raja Gabaglia"/>
    <s v="FELIPE RIGHI MOREIRA VEIGA"/>
    <s v="POSITIVO"/>
    <d v="1899-12-30T09:18:00"/>
    <d v="1899-12-30T00:00:00"/>
    <d v="1899-12-30T09:18:00"/>
    <s v=" "/>
    <s v=" "/>
    <s v=" "/>
    <s v=" "/>
    <s v=" "/>
    <d v="1899-12-30T01:14:00"/>
    <d v="1899-12-31T00:54:00"/>
    <s v=" "/>
    <s v=" "/>
    <s v=" "/>
    <s v=" "/>
    <s v=" "/>
    <s v="Ativo"/>
    <s v="CONSULTOR DE VENDAS"/>
    <x v="3"/>
    <s v="LJRAG"/>
  </r>
  <r>
    <n v="132421"/>
    <s v="BRENO TOLEDO ACHILLES REZENDE"/>
    <s v="Diretoria Seminovos"/>
    <s v="RSCEN  - Regional Seminovos Varejo Centro"/>
    <s v="LJBHZ - Vendas Varejo Seminovos Belo Horizonte"/>
    <s v="GUSTAVO LUIZ DO NASCIMENTO"/>
    <s v="POSITIVO"/>
    <d v="1899-12-31T15:51:00"/>
    <d v="1899-12-30T00:00:00"/>
    <d v="1899-12-31T15:51:00"/>
    <s v=" "/>
    <s v=" "/>
    <s v=" "/>
    <s v=" "/>
    <s v=" "/>
    <s v=" "/>
    <d v="1899-12-30T23:31:00"/>
    <s v=" "/>
    <s v=" "/>
    <s v=" "/>
    <s v=" "/>
    <s v=" "/>
    <s v="Ativo"/>
    <s v="CONSULTOR DE VENDAS"/>
    <x v="3"/>
    <s v="LJBHZ"/>
  </r>
  <r>
    <n v="129450"/>
    <s v="RAPHAEL ANTONIO DE AZEVEDO SILVA"/>
    <s v="Diretoria Seminovos"/>
    <s v="RSCEN  - Regional Seminovos Varejo Centro"/>
    <s v="LJBHZ - Vendas Varejo Seminovos Belo Horizonte"/>
    <s v="GUSTAVO LUIZ DO NASCIMENTO"/>
    <s v="POSITIVO"/>
    <d v="1899-12-30T15:35:00"/>
    <d v="1899-12-30T00:00:00"/>
    <d v="1899-12-30T15:35:00"/>
    <s v=" "/>
    <s v=" "/>
    <s v=" "/>
    <s v=" "/>
    <s v=" "/>
    <s v=" "/>
    <d v="1899-12-30T15:35:00"/>
    <s v=" "/>
    <s v=" "/>
    <s v=" "/>
    <s v=" "/>
    <s v=" "/>
    <s v="Ativo"/>
    <s v="CONSULTOR DE VENDAS"/>
    <x v="3"/>
    <s v="LJBHZ"/>
  </r>
  <r>
    <n v="136524"/>
    <s v="AMAURI TEIXEIRA DE FREITAS"/>
    <s v="Diretoria Seminovos"/>
    <s v="RSCEN  - Regional Seminovos Varejo Centro"/>
    <s v="LJCMA - Vendas Varejo Seminovos Cristiano Machado"/>
    <s v="ELISIA RAMOS FERNANDES"/>
    <s v="POSITIVO"/>
    <d v="1899-12-30T18:55:00"/>
    <d v="1899-12-30T00:00:00"/>
    <d v="1899-12-30T18:55:00"/>
    <s v=" "/>
    <s v=" "/>
    <s v=" "/>
    <s v=" "/>
    <s v=" "/>
    <s v=" "/>
    <d v="1899-12-30T13:39:00"/>
    <s v=" "/>
    <s v=" "/>
    <s v=" "/>
    <s v=" "/>
    <s v=" "/>
    <s v="Ativo"/>
    <s v="CONSULTOR DE VENDAS"/>
    <x v="3"/>
    <s v="LJCMA"/>
  </r>
  <r>
    <n v="120345"/>
    <s v="RAFAEL FELIPE FERREIRA DOS SANTOS"/>
    <s v="Diretoria Seminovos"/>
    <s v="RSCEN  - Regional Seminovos Varejo Centro"/>
    <s v="LJBHZ - Vendas Varejo Seminovos Belo Horizonte"/>
    <s v="GUSTAVO LUIZ DO NASCIMENTO"/>
    <s v="POSITIVO"/>
    <d v="1899-12-30T12:44:00"/>
    <d v="1899-12-30T00:00:00"/>
    <d v="1899-12-30T12:44:00"/>
    <s v=" "/>
    <s v=" "/>
    <s v=" "/>
    <s v=" "/>
    <s v=" "/>
    <d v="1899-12-30T12:44:00"/>
    <s v=" "/>
    <s v=" "/>
    <s v=" "/>
    <s v=" "/>
    <s v=" "/>
    <s v=" "/>
    <s v="Ativo"/>
    <s v="CONSULTOR DE VENDAS"/>
    <x v="3"/>
    <s v="LJBHZ"/>
  </r>
  <r>
    <n v="135894"/>
    <s v="TULIO NOVAES MACHADO VIEIRA"/>
    <s v="Diretoria Seminovos"/>
    <s v="RSCEN  - Regional Seminovos Varejo Centro"/>
    <s v="LJCON - Vendas Varejo Seminovos Contagem"/>
    <s v="LEANDRO AUGUSTO DA SILVA CAMILLOZZI"/>
    <s v="POSITIVO"/>
    <d v="1899-12-30T09:29:00"/>
    <d v="1899-12-30T00:00:00"/>
    <d v="1899-12-30T09:29:00"/>
    <s v=" "/>
    <d v="1899-12-30T04:52:00"/>
    <d v="1899-12-30T04:25:00"/>
    <s v=" "/>
    <s v=" "/>
    <s v=" "/>
    <d v="1899-12-30T00:12:00"/>
    <s v=" "/>
    <s v=" "/>
    <s v=" "/>
    <s v=" "/>
    <s v=" "/>
    <s v="Af.Previdência"/>
    <s v="CONSULTOR DE VENDAS"/>
    <x v="3"/>
    <s v="LJCON"/>
  </r>
  <r>
    <n v="135511"/>
    <s v="JOSE ROBERTO TEIXEIRA JUNIOR"/>
    <s v="Diretoria Seminovos"/>
    <s v="RSCEN  - Regional Seminovos Varejo Centro"/>
    <s v="LJBET - Vendas Varejo Seminovos Betim"/>
    <s v="THIAGO MAURICIO GOMES DOS SANTOS"/>
    <s v="POSITIVO"/>
    <d v="1899-12-30T12:35:00"/>
    <d v="1899-12-30T00:00:00"/>
    <d v="1899-12-30T12:35:00"/>
    <s v=" "/>
    <s v=" "/>
    <s v=" "/>
    <s v=" "/>
    <s v=" "/>
    <d v="1899-12-30T07:33:00"/>
    <d v="1899-12-30T00:48:00"/>
    <s v=" "/>
    <s v=" "/>
    <s v=" "/>
    <s v=" "/>
    <s v=" "/>
    <s v="Ativo"/>
    <s v="CONSULTOR DE VENDAS"/>
    <x v="3"/>
    <s v="LJBET"/>
  </r>
  <r>
    <n v="131800"/>
    <s v="MARIA ROSA DA SILVEIRA OLIVEIRA"/>
    <s v="Diretoria Seminovos"/>
    <s v="RSCEN  - Regional Seminovos Varejo Centro"/>
    <s v="LJCMA - Vendas Varejo Seminovos Cristiano Machado"/>
    <s v="ELISIA RAMOS FERNANDES"/>
    <s v="POSITIVO"/>
    <d v="1899-12-30T01:04:00"/>
    <d v="1899-12-30T00:00:00"/>
    <d v="1899-12-30T01:04:00"/>
    <s v=" "/>
    <s v=" "/>
    <s v=" "/>
    <s v=" "/>
    <s v=" "/>
    <d v="1899-12-30T07:46:00"/>
    <s v=" "/>
    <s v=" "/>
    <s v=" "/>
    <s v=" "/>
    <s v=" "/>
    <s v=" "/>
    <s v="Ativo"/>
    <s v="CONSULTOR DE VENDAS"/>
    <x v="3"/>
    <s v="LJCMA"/>
  </r>
  <r>
    <n v="135242"/>
    <s v="ANDERSON CLEIDISTON LAGES"/>
    <s v="Diretoria Seminovos"/>
    <s v="RSCEN  - Regional Seminovos Varejo Centro"/>
    <s v="LJBHZ - Vendas Varejo Seminovos Belo Horizonte"/>
    <s v="GUSTAVO LUIZ DO NASCIMENTO"/>
    <s v="POSITIVO"/>
    <d v="1899-12-30T06:24:00"/>
    <d v="1899-12-30T00:00:00"/>
    <d v="1899-12-30T06:24:00"/>
    <s v=" "/>
    <s v=" "/>
    <s v=" "/>
    <s v=" "/>
    <s v=" "/>
    <d v="1899-12-30T06:24:00"/>
    <s v=" "/>
    <s v=" "/>
    <s v=" "/>
    <s v=" "/>
    <s v=" "/>
    <s v=" "/>
    <s v="Ativo"/>
    <s v="CONSULTOR DE VENDAS"/>
    <x v="3"/>
    <s v="LJBHZ"/>
  </r>
  <r>
    <n v="134931"/>
    <s v="LUCAS AUGUSTO PAPINI DE SOUZA"/>
    <s v="Diretoria Seminovos"/>
    <s v="RSCEN  - Regional Seminovos Varejo Centro"/>
    <s v="LJCMA - Vendas Varejo Seminovos Cristiano Machado"/>
    <s v="ELISIA RAMOS FERNANDES"/>
    <s v="POSITIVO"/>
    <d v="1899-12-30T02:34:00"/>
    <d v="1899-12-30T00:00:00"/>
    <d v="1899-12-30T02:34:00"/>
    <s v=" "/>
    <s v=" "/>
    <s v=" "/>
    <s v=" "/>
    <s v=" "/>
    <d v="1899-12-30T02:34:00"/>
    <s v=" "/>
    <s v=" "/>
    <s v=" "/>
    <s v=" "/>
    <s v=" "/>
    <s v=" "/>
    <s v="Contrato de Trabalho Suspenso"/>
    <s v="CONSULTOR DE VENDAS"/>
    <x v="3"/>
    <s v="LJCMA"/>
  </r>
  <r>
    <n v="125515"/>
    <s v="RAFAEL FARIA ROGANA FERNANDES"/>
    <s v="Diretoria Seminovos"/>
    <s v="RSCEN  - Regional Seminovos Varejo Centro"/>
    <s v="LJVEX - Vendas Varejo Seminovos Via Expressa Contagem"/>
    <s v="FABIO GONCALVES BOSQUE"/>
    <s v="POSITIVO"/>
    <d v="1899-12-30T00:15:00"/>
    <d v="1899-12-30T00:00:00"/>
    <d v="1899-12-30T00:15:00"/>
    <s v=" "/>
    <d v="1899-12-30T00:15:00"/>
    <s v=" "/>
    <s v=" "/>
    <s v=" "/>
    <s v=" "/>
    <s v=" "/>
    <s v=" "/>
    <s v=" "/>
    <s v=" "/>
    <s v=" "/>
    <s v=" "/>
    <s v="Af.Previdência"/>
    <s v="CONSULTOR DE VENDAS"/>
    <x v="3"/>
    <s v="LJVEX"/>
  </r>
  <r>
    <n v="120759"/>
    <s v="RAIMUNDO AVELINO NETO"/>
    <s v="Diretoria Seminovos"/>
    <s v="RSCEN  - Regional Seminovos Varejo Centro"/>
    <s v="LJCON - Loja Seminovos Contagem"/>
    <s v="LEANDRO AUGUSTO DA SILVA CAMILLOZZI"/>
    <s v="POSITIVO"/>
    <d v="1899-12-30T01:32:00"/>
    <d v="1899-12-30T00:00:00"/>
    <d v="1899-12-30T01:32:00"/>
    <s v=" "/>
    <s v=" "/>
    <s v=" "/>
    <s v=" "/>
    <s v=" "/>
    <s v=" "/>
    <d v="1899-12-30T01:04:00"/>
    <s v=" "/>
    <s v=" "/>
    <s v=" "/>
    <s v=" "/>
    <s v=" "/>
    <s v="Ativo"/>
    <s v="HIGIENIZADOR DE CARROS"/>
    <x v="3"/>
    <s v="LJCON"/>
  </r>
  <r>
    <n v="136245"/>
    <s v="ANDRE LUIZ DEL GAUDIO"/>
    <s v="Diretoria Seminovos"/>
    <s v="RSCEN  - Regional Seminovos Varejo Centro"/>
    <s v="LJBHZ - Vendas Varejo Seminovos Belo Horizonte"/>
    <s v="GUSTAVO LUIZ DO NASCIMEN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3"/>
    <s v="LJBHZ"/>
  </r>
  <r>
    <n v="132043"/>
    <s v="BRUNO PEREIRA MARTINS"/>
    <s v="Diretoria Seminovos"/>
    <s v="RSCEN  - Regional Seminovos Varejo Centro"/>
    <s v="LJVEX - Vendas Varejo Seminovos Via Expressa Contagem"/>
    <s v="FABIO GONCALVES BOSQU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3"/>
    <s v="LJVEX"/>
  </r>
  <r>
    <n v="122657"/>
    <s v="GRACIENE ALVES FELICIO"/>
    <s v="Diretoria Seminovos"/>
    <s v="RSCEN  - Regional Seminovos Varejo Centro"/>
    <s v="LJBET - Vendas Varejo Seminovos Betim"/>
    <s v="THIAGO MAURICIO GOMES DOS SAN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3"/>
    <s v="LJBET"/>
  </r>
  <r>
    <n v="132518"/>
    <s v="KENNEDY DIAS BRITO"/>
    <s v="Diretoria Seminovos"/>
    <s v="RSCEN  - Regional Seminovos Varejo Centro"/>
    <s v="LJVEX - Vendas Varejo Seminovos Via Expressa Contagem"/>
    <s v="FABIO GONCALVES BOSQU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3"/>
    <s v="LJVEX"/>
  </r>
  <r>
    <n v="133304"/>
    <s v="LEONARDO LEANDRO BELO LOPES"/>
    <s v="Diretoria Seminovos"/>
    <s v="RSCEN  - Regional Seminovos Varejo Centro"/>
    <s v="LJJFO - Vendas Varejo Seminovos Juiz de Fora"/>
    <s v="THIAGO DE SOUZA FREIR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3"/>
    <s v="LJJFO"/>
  </r>
  <r>
    <n v="111623"/>
    <s v="MARIANA DOS REIS OLIVEIRA"/>
    <s v="Diretoria Seminovos"/>
    <s v="RSCEN  - Regional Seminovos Varejo Centro"/>
    <s v="LJVNO - Vendas Varejo Seminovos Venda Nova"/>
    <s v="LILIANE FARIA DE ANDRAD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3"/>
    <s v="LJVNO"/>
  </r>
  <r>
    <n v="137158"/>
    <s v="THIAGO DE MEDEIROS GREGORIO"/>
    <s v="Diretoria Seminovos"/>
    <s v="RSCEN  - Regional Seminovos Varejo Centro"/>
    <s v="LJCON - Vendas Varejo Seminovos Contagem"/>
    <s v="LEANDRO AUGUSTO DA SILVA CAMILLOZZI"/>
    <s v="POSITIVO"/>
    <d v="1899-12-30T09:02:00"/>
    <d v="1899-12-30T00:00:00"/>
    <d v="1899-12-30T09:02:00"/>
    <s v=" "/>
    <s v=" "/>
    <s v=" "/>
    <s v=" "/>
    <s v=" "/>
    <s v=" "/>
    <s v=" "/>
    <s v=" "/>
    <s v=" "/>
    <s v=" "/>
    <s v=" "/>
    <s v=" "/>
    <s v="Ativo"/>
    <s v="CONSULTOR DE VENDAS"/>
    <x v="3"/>
    <s v="LJCON"/>
  </r>
  <r>
    <n v="137208"/>
    <s v="CARLA DAS DORES PEDROSA"/>
    <s v="Diretoria Seminovos"/>
    <s v="RSCEN  - Regional Seminovos Varejo Centro"/>
    <s v="LJBRO - Vendas Varejo Seminovos Barreiro"/>
    <s v="LEOPOLDO DE FIGUEIREDO CUNHA SAMPA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3"/>
    <s v="LJBRO"/>
  </r>
  <r>
    <n v="124455"/>
    <s v="ARTHUR RESENDE PENIDO SALOME"/>
    <s v="Diretoria Seminovos"/>
    <s v="RSCEN  - Regional Seminovos Varejo Centro"/>
    <s v="LJVEX - Vendas Varejo Seminovos Via Expressa Contagem"/>
    <s v="FABIO GONCALVES BOSQUE"/>
    <s v="POSITIVO"/>
    <d v="1899-12-30T03:43:00"/>
    <d v="1899-12-30T00:00:00"/>
    <d v="1899-12-30T03:43:00"/>
    <s v=" "/>
    <s v=" "/>
    <d v="1899-12-30T02:17:00"/>
    <s v=" "/>
    <s v=" "/>
    <s v=" "/>
    <s v=" "/>
    <s v=" "/>
    <s v=" "/>
    <s v=" "/>
    <s v=" "/>
    <s v=" "/>
    <s v="Ativo"/>
    <s v="CONSULTOR DE VENDAS"/>
    <x v="3"/>
    <s v="LJVEX"/>
  </r>
  <r>
    <n v="134179"/>
    <s v="CELMA DOS SANTOS RIBEIRO"/>
    <s v="Diretoria Seminovos"/>
    <s v="RSCEN  - Regional Seminovos Varejo Centro"/>
    <s v="LJANT - Loja Seminovos Antônio Carlos"/>
    <s v="ANDERSON AFFONSO DE PAULA"/>
    <s v="POSITIVO"/>
    <d v="1899-12-30T19:33:00"/>
    <d v="1899-12-30T00:00:00"/>
    <d v="1899-12-30T19:33:00"/>
    <d v="1899-12-30T09:15:00"/>
    <d v="1899-12-30T07:38:00"/>
    <d v="1899-12-30T03:40:00"/>
    <s v=" "/>
    <s v=" "/>
    <s v=" "/>
    <s v=" "/>
    <s v=" "/>
    <s v=" "/>
    <s v=" "/>
    <s v=" "/>
    <s v=" "/>
    <s v="Ativo"/>
    <s v="ADMINISTRATIVO I - FILIAL"/>
    <x v="3"/>
    <s v="LJANT"/>
  </r>
  <r>
    <n v="119753"/>
    <s v="CELSO MANOEL PEREIRA"/>
    <s v="Diretoria Seminovos"/>
    <s v="RSCEN  - Regional Seminovos Varejo Centro"/>
    <s v="LJBET - Loja Seminovos Betim"/>
    <s v="THIAGO MAURICIO GOMES DOS SANTOS"/>
    <s v="POSITIVO"/>
    <d v="1899-12-30T02:36:00"/>
    <d v="1899-12-30T00:00:00"/>
    <d v="1899-12-30T02:36:00"/>
    <s v=" "/>
    <s v=" "/>
    <s v=" "/>
    <s v=" "/>
    <d v="1899-12-30T01:12:00"/>
    <d v="1899-12-30T01:24:00"/>
    <s v=" "/>
    <s v=" "/>
    <s v=" "/>
    <s v=" "/>
    <s v=" "/>
    <s v=" "/>
    <s v="Contrato de Trabalho Suspenso"/>
    <s v="HIGIENIZADOR DE CARROS"/>
    <x v="3"/>
    <s v="LJBET"/>
  </r>
  <r>
    <n v="132821"/>
    <s v="CLAUDIA MARIA LOPES DA SILVA"/>
    <s v="Diretoria Seminovos"/>
    <s v="RSCEN  - Regional Seminovos Varejo Centro"/>
    <s v="LJANT - Loja Seminovos Antônio Carlos"/>
    <s v="ANDERSON AFFONSO DE PAUL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3"/>
    <s v="LJANT"/>
  </r>
  <r>
    <n v="502727"/>
    <s v="CLAUDIO SERGIO GONCALVES DE OLIVEIRA"/>
    <s v="Diretoria Seminovos"/>
    <s v="RSCEN  - Regional Seminovos Varejo Centro"/>
    <s v="LJCMA - Loja Seminovos Cristiano Machado"/>
    <s v="ELISIA RAMOS FERNANDES"/>
    <s v="POSITIVO"/>
    <d v="1899-12-30T05:02:00"/>
    <d v="1899-12-30T00:00:00"/>
    <d v="1899-12-30T05:02:00"/>
    <s v=" "/>
    <s v=" "/>
    <s v=" "/>
    <s v=" "/>
    <s v=" "/>
    <d v="1899-12-30T02:54:00"/>
    <d v="1899-12-30T01:34:00"/>
    <s v=" "/>
    <s v=" "/>
    <s v=" "/>
    <s v=" "/>
    <s v=" "/>
    <s v="Ativo"/>
    <s v="HIGIENIZADOR DE CARROS"/>
    <x v="3"/>
    <s v="LJCMA"/>
  </r>
  <r>
    <n v="120936"/>
    <s v="CLAUDIR RODRIGUES DA SILVA"/>
    <s v="Diretoria Seminovos"/>
    <s v="RSCEN  - Regional Seminovos Varejo Centro"/>
    <s v="LJBET - Loja Seminovos Betim"/>
    <s v="THIAGO MAURICIO GOMES DOS SANTOS"/>
    <s v="POSITIVO"/>
    <d v="1899-12-30T07:11:00"/>
    <d v="1899-12-30T00:00:00"/>
    <d v="1899-12-30T07:11:00"/>
    <s v=" "/>
    <s v=" "/>
    <s v=" "/>
    <s v=" "/>
    <s v=" "/>
    <s v=" "/>
    <d v="1899-12-30T06:37:00"/>
    <s v=" "/>
    <s v=" "/>
    <s v=" "/>
    <s v=" "/>
    <s v=" "/>
    <s v="Ativo"/>
    <s v="HIGIENIZADOR DE CARROS"/>
    <x v="3"/>
    <s v="LJBET"/>
  </r>
  <r>
    <n v="122715"/>
    <s v="CRISTINA ANGELICA GONCALVES DOS SANTOS"/>
    <s v="Diretoria Seminovos"/>
    <s v="RSCEN  - Regional Seminovos Varejo Centro"/>
    <s v="LJVEX - Loja Seminovos Via Expressa Contagem"/>
    <s v="FABIO GONCALVES BOSQU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3"/>
    <s v="LJVEX"/>
  </r>
  <r>
    <n v="120259"/>
    <s v="EDNA CRISTINA ALVES"/>
    <s v="Diretoria Seminovos"/>
    <s v="RSCEN  - Regional Seminovos Varejo Centro"/>
    <s v="LJRAG - Loja Seminovos Raja Gabaglia"/>
    <s v="FELIPE RIGHI MOREIRA VEIG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3"/>
    <s v="LJRAG"/>
  </r>
  <r>
    <n v="501734"/>
    <s v="ELIANE RODRIGUES"/>
    <s v="Diretoria Seminovos"/>
    <s v="RSCEN  - Regional Seminovos Varejo Centro"/>
    <s v="LJCMA - Loja Seminovos Cristiano Machado"/>
    <s v="ELISIA RAMOS FERNAND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3"/>
    <s v="LJCMA"/>
  </r>
  <r>
    <n v="137179"/>
    <s v="JORGE LUIS CRISPIM SANTOS"/>
    <s v="Diretoria Seminovos"/>
    <s v="RSCEN  - Regional Seminovos Varejo Centro"/>
    <s v="LJBRO - Vendas Varejo Seminovos Barreiro"/>
    <s v="LEOPOLDO DE FIGUEIREDO CUNHA SAMPA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3"/>
    <s v="LJBRO"/>
  </r>
  <r>
    <n v="132065"/>
    <s v="MARIA DA GLORIA MAMEDE RIBEIRO DE OLIVEIRA"/>
    <s v="Diretoria Seminovos"/>
    <s v="RSCEN  - Regional Seminovos Varejo Centro"/>
    <s v="LJANT - Loja Seminovos Antônio Carlos"/>
    <s v="ANDERSON AFFONSO DE PAUL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3"/>
    <s v="LJANT"/>
  </r>
  <r>
    <n v="502296"/>
    <s v="MARIA SOARES DA SILVA"/>
    <s v="Diretoria Seminovos"/>
    <s v="RSCEN  - Regional Seminovos Varejo Centro"/>
    <s v="LJVNO - Loja Seminovos Venda Nova"/>
    <s v="LILIANE FARIA DE ANDRAD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3"/>
    <s v="LJVNO"/>
  </r>
  <r>
    <n v="132039"/>
    <s v="MATHEUS HITIEL ROCHA COELHO"/>
    <s v="Diretoria Seminovos"/>
    <s v="RSCEN  - Regional Seminovos Varejo Centro"/>
    <s v="LJVEX - Loja Seminovos Via Expressa Contagem"/>
    <s v="FABIO GONCALVES BOSQU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3"/>
    <s v="LJVEX"/>
  </r>
  <r>
    <n v="137193"/>
    <s v="PEDRO HENRIQUE SANTOS SATURNINO"/>
    <s v="Diretoria Seminovos"/>
    <s v="RSCEN  - Regional Seminovos Varejo Centro"/>
    <s v="LJBRO - Vendas Varejo Seminovos Barreiro"/>
    <s v="LEOPOLDO DE FIGUEIREDO CUNHA SAMPA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3"/>
    <s v="LJBRO"/>
  </r>
  <r>
    <n v="119739"/>
    <s v="ROBERT ANDERSON DE SOUZA"/>
    <s v="Diretoria Seminovos"/>
    <s v="RSCEN  - Regional Seminovos Varejo Centro"/>
    <s v="LJCMA - Loja Seminovos Cristiano Machado"/>
    <s v="ELISIA RAMOS FERNANDES"/>
    <s v="POSITIVO"/>
    <d v="1899-12-30T06:30:00"/>
    <d v="1899-12-30T00:00:00"/>
    <d v="1899-12-30T06:30:00"/>
    <s v=" "/>
    <s v=" "/>
    <s v=" "/>
    <s v=" "/>
    <s v=" "/>
    <s v=" "/>
    <d v="1899-12-30T03:54:00"/>
    <s v=" "/>
    <s v=" "/>
    <s v=" "/>
    <s v=" "/>
    <s v=" "/>
    <s v="Ativo"/>
    <s v="HIGIENIZADOR DE CARROS"/>
    <x v="3"/>
    <s v="LJCMA"/>
  </r>
  <r>
    <n v="120826"/>
    <s v="ROMILDA RODRIGUES DOS SANTOS SILVA"/>
    <s v="Diretoria Seminovos"/>
    <s v="RSCEN  - Regional Seminovos Varejo Centro"/>
    <s v="LJBET - Loja Seminovos Betim"/>
    <s v="THIAGO MAURICIO GOMES DOS SANTOS"/>
    <s v="POSITIVO"/>
    <d v="1899-12-31T18:34:00"/>
    <d v="1899-12-30T00:00:00"/>
    <d v="1899-12-31T18:34:00"/>
    <s v=" "/>
    <s v=" "/>
    <s v=" "/>
    <s v=" "/>
    <s v=" "/>
    <d v="1899-12-30T15:59:00"/>
    <d v="1899-12-30T18:07:00"/>
    <s v=" "/>
    <s v=" "/>
    <s v=" "/>
    <s v=" "/>
    <s v=" "/>
    <s v="Ativo"/>
    <s v="AUX. DE SERVICOS GERAIS - DIRCS"/>
    <x v="3"/>
    <s v="LJBET"/>
  </r>
  <r>
    <n v="117788"/>
    <s v="ROZENI MARIA FERREIRA"/>
    <s v="Diretoria Seminovos"/>
    <s v="RSCEN  - Regional Seminovos Varejo Centro"/>
    <s v="LJCON - Loja Seminovos Contagem"/>
    <s v="LEANDRO AUGUSTO DA SILVA CAMILLOZZ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3"/>
    <s v="LJCON"/>
  </r>
  <r>
    <n v="131305"/>
    <s v="THALYSON ANDRADE DIAS LOPES"/>
    <s v="Diretoria Seminovos"/>
    <s v="RSCOE - Regional Seminovos Varejo Centro Oeste"/>
    <s v="LJVIX - Vendas Varejo Seminovos Vitória"/>
    <s v="EUGENIO OLIVEIRA DAMASCENO DE JESUS"/>
    <s v="POSITIVO"/>
    <d v="1900-01-04T20:20:00"/>
    <d v="1899-12-30T00:00:00"/>
    <d v="1900-01-04T20:20:00"/>
    <s v=" "/>
    <s v=" "/>
    <d v="1899-12-30T03:13:00"/>
    <s v=" "/>
    <d v="1900-01-01T11:59:00"/>
    <d v="1900-01-02T05:08:00"/>
    <s v=" "/>
    <s v=" "/>
    <s v=" "/>
    <s v=" "/>
    <s v=" "/>
    <s v=" "/>
    <s v="Ativo"/>
    <s v="CONSULTOR DE VENDAS"/>
    <x v="4"/>
    <s v="LJVIX"/>
  </r>
  <r>
    <n v="123943"/>
    <s v="THALLYTA ARAUJO MACHADO"/>
    <s v="Diretoria Seminovos"/>
    <s v="RSCOE - Regional Seminovos Varejo Centro Oeste"/>
    <s v="LJUDI - Vendas Varejo Seminovos Uberlândia"/>
    <s v="CARLOS ALBERTO GONCALVES"/>
    <s v="POSITIVO"/>
    <d v="1900-01-03T22:54:00"/>
    <d v="1899-12-30T00:00:00"/>
    <d v="1900-01-03T22:54:00"/>
    <s v=" "/>
    <s v=" "/>
    <s v=" "/>
    <d v="1899-12-30T09:33:00"/>
    <d v="1899-12-30T20:23:00"/>
    <d v="1900-01-01T02:40:00"/>
    <d v="1899-12-31T02:03:00"/>
    <s v=" "/>
    <s v=" "/>
    <s v=" "/>
    <s v=" "/>
    <s v=" "/>
    <s v="Ativo"/>
    <s v="CONSULTOR DE VENDAS"/>
    <x v="4"/>
    <s v="LJUDI"/>
  </r>
  <r>
    <n v="135040"/>
    <s v="CIDIA DE SOUZA BATISTA"/>
    <s v="Diretoria Seminovos"/>
    <s v="RSCOE - Regional Seminovos Varejo Centro Oeste"/>
    <s v="LJTAG - Vendas Varejo Seminovos Taguatinga"/>
    <s v="EMILIO JOSE DE SOUZA FILHO"/>
    <s v="POSITIVO"/>
    <d v="1900-01-03T03:14:00"/>
    <d v="1899-12-30T00:00:00"/>
    <d v="1900-01-03T03:14:00"/>
    <s v=" "/>
    <d v="1899-12-30T21:42:00"/>
    <d v="1899-12-30T08:55:00"/>
    <d v="1899-12-30T00:12:00"/>
    <d v="1899-12-31T06:18:00"/>
    <d v="1899-12-31T14:07:00"/>
    <s v=" "/>
    <s v=" "/>
    <s v=" "/>
    <s v=" "/>
    <s v=" "/>
    <s v=" "/>
    <s v="Ativo"/>
    <s v="CONSULTOR DE VENDAS"/>
    <x v="4"/>
    <s v="LJTAG"/>
  </r>
  <r>
    <n v="134795"/>
    <s v="SHIRLEY MONTIEL DE ALMEIDA SANTOS"/>
    <s v="Diretoria Seminovos"/>
    <s v="RSCOE - Regional Seminovos Varejo Centro Oeste"/>
    <s v="LJTAG - Vendas Varejo Seminovos Taguatinga"/>
    <s v="EMILIO JOSE DE SOUZA FILHO"/>
    <s v="POSITIVO"/>
    <d v="1900-01-02T16:51:00"/>
    <d v="1899-12-30T00:00:00"/>
    <d v="1900-01-02T16:51:00"/>
    <s v=" "/>
    <s v=" "/>
    <s v=" "/>
    <s v=" "/>
    <d v="1899-12-30T02:47:00"/>
    <d v="1900-01-02T03:37:00"/>
    <d v="1899-12-30T10:27:00"/>
    <s v=" "/>
    <s v=" "/>
    <s v=" "/>
    <s v=" "/>
    <s v=" "/>
    <s v="Ativo"/>
    <s v="CONSULTOR DE VENDAS"/>
    <x v="4"/>
    <s v="LJTAG"/>
  </r>
  <r>
    <n v="132007"/>
    <s v="LORENA LOPES DA SILVA SANTOS"/>
    <s v="Diretoria Seminovos"/>
    <s v="RSCOE - Regional Seminovos Varejo Centro Oeste"/>
    <s v="LJGOI - Vendas Varejo Seminovos Goiania"/>
    <s v="PAULO ROBERTO PEREIRA DE ARAUJO"/>
    <s v="POSITIVO"/>
    <d v="1900-01-03T01:29:00"/>
    <d v="1899-12-30T00:00:00"/>
    <d v="1900-01-03T01:29:00"/>
    <s v=" "/>
    <s v=" "/>
    <s v=" "/>
    <s v=" "/>
    <s v=" "/>
    <d v="1899-12-30T13:09:00"/>
    <d v="1899-12-31T21:33:00"/>
    <d v="1899-12-30T05:27:00"/>
    <d v="1899-12-30T11:21:00"/>
    <s v=" "/>
    <s v=" "/>
    <d v="1899-12-30T10:53:00"/>
    <s v="Ativo"/>
    <s v="CONSULTOR DE VENDAS"/>
    <x v="4"/>
    <s v="LJGOI"/>
  </r>
  <r>
    <n v="131144"/>
    <s v="VERA CICERA MARTINS PAULINO"/>
    <s v="Diretoria Seminovos"/>
    <s v="RSCOE - Regional Seminovos Varejo Centro Oeste"/>
    <s v="LJPLM - Vendas Varejo Seminovos Palmas"/>
    <s v="THIAGO MELO DE FREITAS"/>
    <s v="POSITIVO"/>
    <d v="1900-01-02T00:19:00"/>
    <d v="1899-12-30T00:00:00"/>
    <d v="1900-01-02T00:19:00"/>
    <s v=" "/>
    <s v=" "/>
    <s v=" "/>
    <s v=" "/>
    <d v="1899-12-30T08:44:00"/>
    <d v="1900-01-01T00:41:00"/>
    <d v="1899-12-30T13:10:00"/>
    <s v=" "/>
    <s v=" "/>
    <s v=" "/>
    <s v=" "/>
    <s v=" "/>
    <s v="Ativo"/>
    <s v="CONSULTOR DE VENDAS"/>
    <x v="4"/>
    <s v="LJPLM"/>
  </r>
  <r>
    <n v="134733"/>
    <s v="BRUNO LOPES TEIXEIRA"/>
    <s v="Diretoria Seminovos"/>
    <s v="RSCOE - Regional Seminovos Varejo Centro Oeste"/>
    <s v="LJTAG - Vendas Varejo Seminovos Taguatinga"/>
    <s v="EMILIO JOSE DE SOUZA FILHO"/>
    <s v="POSITIVO"/>
    <d v="1900-01-01T08:32:00"/>
    <d v="1899-12-30T00:00:00"/>
    <d v="1900-01-01T08:32:00"/>
    <s v=" "/>
    <s v=" "/>
    <s v=" "/>
    <s v=" "/>
    <d v="1899-12-30T17:24:00"/>
    <d v="1899-12-31T13:34:00"/>
    <d v="1899-12-30T01:34:00"/>
    <s v=" "/>
    <s v=" "/>
    <s v=" "/>
    <s v=" "/>
    <s v=" "/>
    <s v="Ativo"/>
    <s v="CONSULTOR DE VENDAS"/>
    <x v="4"/>
    <s v="LJTAG"/>
  </r>
  <r>
    <n v="136436"/>
    <s v="LEONARDO MADUREIRA DA SILVA"/>
    <s v="Diretoria Seminovos"/>
    <s v="RSCOE - Regional Seminovos Varejo Centro Oeste"/>
    <s v="LJPLM - Vendas Varejo Seminovos Palmas"/>
    <s v="THIAGO MELO DE FREITAS"/>
    <s v="POSITIVO"/>
    <d v="1900-01-01T08:52:00"/>
    <d v="1899-12-30T00:00:00"/>
    <d v="1900-01-01T08:52:00"/>
    <s v=" "/>
    <s v=" "/>
    <s v=" "/>
    <s v=" "/>
    <s v=" "/>
    <d v="1899-12-31T06:49:00"/>
    <d v="1899-12-30T19:28:00"/>
    <s v=" "/>
    <s v=" "/>
    <s v=" "/>
    <s v=" "/>
    <s v=" "/>
    <s v="Ativo"/>
    <s v="CONSULTOR DE VENDAS"/>
    <x v="4"/>
    <s v="LJPLM"/>
  </r>
  <r>
    <n v="135185"/>
    <s v="WILKER SANTOS FONSECA"/>
    <s v="Diretoria Seminovos"/>
    <s v="RSCOE - Regional Seminovos Varejo Centro Oeste"/>
    <s v="LJGYG - Vendas Varejo Seminovos Goiânia"/>
    <s v="LIDYANE GUIMARAES DO NASCIMENTO SANTOS"/>
    <s v="POSITIVO"/>
    <d v="1899-12-31T23:01:00"/>
    <d v="1899-12-30T00:00:00"/>
    <d v="1899-12-31T23:01:00"/>
    <s v=" "/>
    <s v=" "/>
    <s v=" "/>
    <s v=" "/>
    <s v=" "/>
    <s v=" "/>
    <s v=" "/>
    <s v=" "/>
    <s v=" "/>
    <d v="1899-12-31T14:16:00"/>
    <d v="1899-12-30T08:45:00"/>
    <s v=" "/>
    <s v="Contrato de Trabalho Suspenso"/>
    <s v="CONSULTOR DE VENDAS"/>
    <x v="4"/>
    <s v="LJGYG"/>
  </r>
  <r>
    <n v="502746"/>
    <s v="PAULO CESAR SANTOS JUNIOR"/>
    <s v="Diretoria Seminovos"/>
    <s v="RSCOE - Regional Seminovos Varejo Centro Oeste"/>
    <s v="LJUDI - Vendas Varejo Seminovos Uberlândia"/>
    <s v="CARLOS ALBERTO GONCALVES"/>
    <s v="POSITIVO"/>
    <d v="1899-12-31T14:35:00"/>
    <d v="1899-12-30T00:00:00"/>
    <d v="1899-12-31T14:35:00"/>
    <s v=" "/>
    <s v=" "/>
    <s v=" "/>
    <d v="1899-12-30T09:10:00"/>
    <d v="1899-12-30T05:38:00"/>
    <d v="1899-12-30T23:47:00"/>
    <s v=" "/>
    <s v=" "/>
    <s v=" "/>
    <s v=" "/>
    <s v=" "/>
    <s v=" "/>
    <s v="Contrato de Trabalho Suspenso"/>
    <s v="CONSULTOR DE VENDAS"/>
    <x v="4"/>
    <s v="LJUDI"/>
  </r>
  <r>
    <n v="132793"/>
    <s v="JOAO EBER BARROS SANCHES"/>
    <s v="Diretoria Seminovos"/>
    <s v="RSCOE - Regional Seminovos Varejo Centro Oeste"/>
    <s v="LJCGB - Vendas Varejo Seminovos Cuiabá        "/>
    <s v="FERNANDO CESAR CAPATO"/>
    <s v="POSITIVO"/>
    <d v="1899-12-31T10:12:00"/>
    <d v="1899-12-30T00:00:00"/>
    <d v="1899-12-31T10:12:00"/>
    <s v=" "/>
    <s v=" "/>
    <s v=" "/>
    <s v=" "/>
    <d v="1899-12-31T04:12:00"/>
    <d v="1899-12-30T06:00:00"/>
    <s v=" "/>
    <s v=" "/>
    <s v=" "/>
    <s v=" "/>
    <s v=" "/>
    <s v=" "/>
    <s v="Férias"/>
    <s v="CONSULTOR DE VENDAS"/>
    <x v="4"/>
    <s v="LJCGB"/>
  </r>
  <r>
    <n v="123849"/>
    <s v="ELEUSA ISRAEL DE ALCANTARA"/>
    <s v="Diretoria Seminovos"/>
    <s v="RSCOE - Regional Seminovos Varejo Centro Oeste"/>
    <s v="LJAPS - Vendas Varejo Seminovos Anapolis"/>
    <s v="RODRIGO REIS FIALHO"/>
    <s v="POSITIVO"/>
    <d v="1899-12-31T09:03:00"/>
    <d v="1899-12-30T00:00:00"/>
    <d v="1899-12-31T09:03:00"/>
    <s v=" "/>
    <s v=" "/>
    <s v=" "/>
    <s v=" "/>
    <s v=" "/>
    <s v=" "/>
    <s v=" "/>
    <s v=" "/>
    <s v=" "/>
    <s v=" "/>
    <d v="1899-12-30T20:59:00"/>
    <d v="1899-12-30T10:12:00"/>
    <s v="Ativo"/>
    <s v="CONSULTOR DE VENDAS"/>
    <x v="4"/>
    <s v="LJAPS"/>
  </r>
  <r>
    <n v="502075"/>
    <s v="MARCOS CESAR DE SOUZA BARBOSA"/>
    <s v="Diretoria Seminovos"/>
    <s v="RSCOE - Regional Seminovos Varejo Centro Oeste"/>
    <s v="LJCGR - Vendas Varejo Seminovos Campo Grande"/>
    <s v="DOUGLAS PEREIRA SANDIM"/>
    <s v="POSITIVO"/>
    <d v="1899-12-30T06:40:00"/>
    <d v="1899-12-30T00:00:00"/>
    <d v="1899-12-30T06:40:00"/>
    <s v=" "/>
    <s v=" "/>
    <s v=" "/>
    <s v=" "/>
    <s v=" "/>
    <d v="1899-12-30T08:09:00"/>
    <d v="1899-12-30T13:44:00"/>
    <s v=" "/>
    <s v=" "/>
    <s v=" "/>
    <s v=" "/>
    <s v=" "/>
    <s v="Ativo"/>
    <s v="CONSULTOR DE VENDAS"/>
    <x v="4"/>
    <s v="LJCGR"/>
  </r>
  <r>
    <n v="134858"/>
    <s v="WELBER SOUZA ALVES"/>
    <s v="Diretoria Seminovos"/>
    <s v="RSCOE - Regional Seminovos Varejo Centro Oeste"/>
    <s v="LJPLM - Vendas Varejo Seminovos Palmas"/>
    <s v="THIAGO MELO DE FREITAS"/>
    <s v="POSITIVO"/>
    <d v="1899-12-30T16:47:00"/>
    <d v="1899-12-30T00:00:00"/>
    <d v="1899-12-30T16:47:00"/>
    <s v=" "/>
    <s v=" "/>
    <s v=" "/>
    <s v=" "/>
    <s v=" "/>
    <d v="1899-12-30T01:27:00"/>
    <d v="1899-12-30T15:20:00"/>
    <s v=" "/>
    <s v=" "/>
    <s v=" "/>
    <s v=" "/>
    <s v=" "/>
    <s v="Ativo"/>
    <s v="CONSULTOR DE VENDAS"/>
    <x v="4"/>
    <s v="LJPLM"/>
  </r>
  <r>
    <n v="122047"/>
    <s v="JESSIKA MARA DE OLIVEIRA SILVA"/>
    <s v="Diretoria Seminovos"/>
    <s v="RSCOE - Regional Seminovos Varejo Centro Oeste"/>
    <s v="LJUDI - Vendas Varejo Seminovos Uberlândia"/>
    <s v="CARLOS ALBERTO GONCALVES"/>
    <s v="POSITIVO"/>
    <d v="1899-12-30T07:49:00"/>
    <d v="1899-12-30T00:00:00"/>
    <d v="1899-12-30T07:49:00"/>
    <s v=" "/>
    <s v=" "/>
    <s v=" "/>
    <s v=" "/>
    <s v=" "/>
    <s v=" "/>
    <d v="1899-12-30T15:01:00"/>
    <s v=" "/>
    <s v=" "/>
    <s v=" "/>
    <s v=" "/>
    <s v=" "/>
    <s v="Ativo"/>
    <s v="CONSULTOR DE VENDAS"/>
    <x v="4"/>
    <s v="LJUDI"/>
  </r>
  <r>
    <n v="132271"/>
    <s v="ALEXANDRE EDER ROCHA"/>
    <s v="Diretoria Seminovos"/>
    <s v="RSCOE - Regional Seminovos Varejo Centro Oeste"/>
    <s v="LJCGR - Vendas Varejo Seminovos Campo Grande"/>
    <s v="DOUGLAS PEREIRA SANDIM"/>
    <s v="POSITIVO"/>
    <d v="1899-12-30T04:29:00"/>
    <d v="1899-12-30T00:00:00"/>
    <d v="1899-12-30T04:29:00"/>
    <s v=" "/>
    <s v=" "/>
    <s v=" "/>
    <s v=" "/>
    <s v=" "/>
    <s v=" "/>
    <d v="1899-12-30T09:33:00"/>
    <s v=" "/>
    <s v=" "/>
    <s v=" "/>
    <s v=" "/>
    <s v=" "/>
    <s v="Ativo"/>
    <s v="CONSULTOR DE VENDAS"/>
    <x v="4"/>
    <s v="LJCGR"/>
  </r>
  <r>
    <n v="130025"/>
    <s v="GILDELIO OLIVEIRA DA SILVA"/>
    <s v="Diretoria Seminovos"/>
    <s v="RSCOE - Regional Seminovos Varejo Centro Oeste"/>
    <s v="LJGOI - Vendas Varejo Seminovos Goiania"/>
    <s v="PAULO ROBERTO PEREIRA DE ARAUJO"/>
    <s v="POSITIVO"/>
    <d v="1899-12-30T11:07:00"/>
    <d v="1899-12-30T00:00:00"/>
    <d v="1899-12-30T11:07:00"/>
    <s v=" "/>
    <s v=" "/>
    <s v=" "/>
    <s v=" "/>
    <s v=" "/>
    <s v=" "/>
    <s v=" "/>
    <s v=" "/>
    <s v=" "/>
    <s v=" "/>
    <s v=" "/>
    <d v="1899-12-30T08:02:00"/>
    <s v="Ativo"/>
    <s v="CONSULTOR DE VENDAS"/>
    <x v="4"/>
    <s v="LJGOI"/>
  </r>
  <r>
    <n v="503524"/>
    <s v="CLOVIS ROBERTO SIQUEIRA"/>
    <s v="Diretoria Seminovos"/>
    <s v="RSCOE - Regional Seminovos Varejo Centro Oeste"/>
    <s v="LJUDI - Vendas Varejo Seminovos Uberlândia"/>
    <s v="CARLOS ALBERTO GONCALVES"/>
    <s v="POSITIVO"/>
    <d v="1899-12-30T06:37:00"/>
    <d v="1899-12-30T00:00:00"/>
    <d v="1899-12-30T06:37:00"/>
    <s v=" "/>
    <s v=" "/>
    <s v=" "/>
    <s v=" "/>
    <s v=" "/>
    <d v="1899-12-30T06:37:00"/>
    <s v=" "/>
    <s v=" "/>
    <s v=" "/>
    <s v=" "/>
    <s v=" "/>
    <s v=" "/>
    <s v="Contrato de Trabalho Suspenso"/>
    <s v="CONSULTOR DE VENDAS"/>
    <x v="4"/>
    <s v="LJUDI"/>
  </r>
  <r>
    <n v="125518"/>
    <s v="ALANN DA SILVA SOUZA"/>
    <s v="Diretoria Seminovos"/>
    <s v="RSCOE - Regional Seminovos Varejo Centro Oeste"/>
    <s v="LJCGR - Vendas Varejo Seminovos Campo Grande"/>
    <s v="DOUGLAS PEREIRA SANDIM"/>
    <s v="POSITIVO"/>
    <d v="1899-12-30T06:48:00"/>
    <d v="1899-12-30T00:00:00"/>
    <d v="1899-12-30T06:48:00"/>
    <s v=" "/>
    <s v=" "/>
    <s v=" "/>
    <s v=" "/>
    <s v=" "/>
    <s v=" "/>
    <d v="1899-12-30T05:42:00"/>
    <s v=" "/>
    <s v=" "/>
    <s v=" "/>
    <s v=" "/>
    <s v=" "/>
    <s v="Ativo"/>
    <s v="CONSULTOR DE VENDAS"/>
    <x v="4"/>
    <s v="LJCGR"/>
  </r>
  <r>
    <n v="132706"/>
    <s v="PABLO BASTOS SILVA"/>
    <s v="Diretoria Seminovos"/>
    <s v="RSCOE - Regional Seminovos Varejo Centro Oeste"/>
    <s v="LJUDI - Vendas Varejo Seminovos Uberlândia"/>
    <s v="CARLOS ALBERTO GONCALVES"/>
    <s v="POSITIVO"/>
    <d v="1899-12-30T04:21:00"/>
    <d v="1899-12-30T00:00:00"/>
    <d v="1899-12-30T04:21:00"/>
    <s v=" "/>
    <s v=" "/>
    <s v=" "/>
    <s v=" "/>
    <s v=" "/>
    <s v=" "/>
    <d v="1899-12-30T04:41:00"/>
    <s v=" "/>
    <s v=" "/>
    <s v=" "/>
    <s v=" "/>
    <s v=" "/>
    <s v="Ativo"/>
    <s v="CONSULTOR DE VENDAS"/>
    <x v="4"/>
    <s v="LJUDI"/>
  </r>
  <r>
    <n v="501272"/>
    <s v="EVERTON PEREIRA DE MOURA"/>
    <s v="Diretoria Seminovos"/>
    <s v="RSCOE - Regional Seminovos Varejo Centro Oeste"/>
    <s v="LJGOI - Vendas Varejo Seminovos Goiania"/>
    <s v="PAULO ROBERTO PEREIRA DE ARAUJO"/>
    <s v="POSITIVO"/>
    <d v="1899-12-30T07:53:00"/>
    <d v="1899-12-30T00:00:00"/>
    <d v="1899-12-30T07:53:00"/>
    <s v=" "/>
    <s v=" "/>
    <s v=" "/>
    <s v=" "/>
    <s v=" "/>
    <s v=" "/>
    <s v=" "/>
    <s v=" "/>
    <s v=" "/>
    <s v=" "/>
    <s v=" "/>
    <d v="1899-12-30T03:20:00"/>
    <s v="Ativo"/>
    <s v="CONSULTOR DE VENDAS"/>
    <x v="4"/>
    <s v="LJGOI"/>
  </r>
  <r>
    <n v="133321"/>
    <s v="LUANA SENA RODRIGUES"/>
    <s v="Diretoria Seminovos"/>
    <s v="RSCOE - Regional Seminovos Varejo Centro Oeste"/>
    <s v="LJCGB - Vendas Varejo Seminovos Cuiabá"/>
    <s v="FERNANDO CESAR CAPA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s v="CONSULTOR DE VENDAS"/>
    <x v="4"/>
    <s v="LJCGB"/>
  </r>
  <r>
    <n v="134644"/>
    <s v="PAULO HENRIQUE RAMOS SILVA"/>
    <s v="Diretoria Seminovos"/>
    <s v="RSCOE - Regional Seminovos Varejo Centro Oeste"/>
    <s v="LJVIX - Vendas Varejo Seminovos Vitória"/>
    <s v="EUGENIO OLIVEIRA DAMASCENO DE JESU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4"/>
    <s v="LJVIX"/>
  </r>
  <r>
    <n v="132882"/>
    <s v="RONISSON AUGUSTO DA SILVA"/>
    <s v="Diretoria Seminovos"/>
    <s v="RSCOE - Regional Seminovos Varejo Centro Oeste"/>
    <s v="LJCGB - Vendas Varejo Seminovos Cuiabá"/>
    <s v="FERNANDO CESAR CAPA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4"/>
    <s v="LJCGB"/>
  </r>
  <r>
    <n v="130428"/>
    <s v="SANCHES LOPES BARCELOS"/>
    <s v="Diretoria Seminovos"/>
    <s v="RSCOE - Regional Seminovos Varejo Centro Oeste"/>
    <s v="LJVIX - Vendas Varejo Seminovos Vitória"/>
    <s v="EUGENIO OLIVEIRA DAMASCENO DE JESU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4"/>
    <s v="LJVIX"/>
  </r>
  <r>
    <n v="135260"/>
    <s v="BRUNO ALVES DOS REIS SILVA"/>
    <s v="Diretoria Seminovos"/>
    <s v="RSCOE - Regional Seminovos Varejo Centro Oeste"/>
    <s v="LJUBA - Loja Seminovos Uberaba"/>
    <s v="FILIPE CORTEZ DE FREITAS"/>
    <s v="POSITIVO"/>
    <d v="1899-12-31T06:26:00"/>
    <d v="1899-12-30T00:00:00"/>
    <d v="1899-12-31T06:26:00"/>
    <s v=" "/>
    <s v=" "/>
    <s v=" "/>
    <s v=" "/>
    <s v=" "/>
    <d v="1899-12-30T22:26:00"/>
    <d v="1899-12-30T12:00:00"/>
    <s v=" "/>
    <s v=" "/>
    <s v=" "/>
    <s v=" "/>
    <s v=" "/>
    <s v="Ativo"/>
    <s v="HIGIENIZADOR DE CARROS"/>
    <x v="4"/>
    <s v="LJUBA"/>
  </r>
  <r>
    <n v="133706"/>
    <s v="DANILLO GOUVEIA LINO"/>
    <s v="Diretoria Seminovos"/>
    <s v="RSCOE - Regional Seminovos Varejo Centro Oeste"/>
    <s v="LJGYG - Vendas Varejo Seminovos Goiânia"/>
    <s v="LIDYANE GUIMARAES DO NASCIMENTO SANTOS"/>
    <s v="POSITIVO"/>
    <d v="1899-12-30T04:31:00"/>
    <d v="1899-12-30T00:00:00"/>
    <d v="1899-12-30T04:31:00"/>
    <s v=" "/>
    <s v=" "/>
    <s v=" "/>
    <s v=" "/>
    <s v=" "/>
    <s v=" "/>
    <s v=" "/>
    <s v=" "/>
    <s v=" "/>
    <s v=" "/>
    <s v=" "/>
    <d v="1899-12-30T04:10:00"/>
    <s v="Ativo"/>
    <s v="CONSULTOR DE VENDAS"/>
    <x v="4"/>
    <s v="LJGYG"/>
  </r>
  <r>
    <n v="123004"/>
    <s v="ELIZABETH DE PAIVA COUTO"/>
    <s v="Diretoria Seminovos"/>
    <s v="RSCOE - Regional Seminovos Varejo Centro Oeste"/>
    <s v="LJUBA - Loja Seminovos Uberaba"/>
    <s v="FILIPE CORTEZ DE FREIT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4"/>
    <s v="LJUBA"/>
  </r>
  <r>
    <n v="132811"/>
    <s v="DOUGLAS PARREIRA DE SOUZA"/>
    <s v="Diretoria Seminovos"/>
    <s v="RSCOE - Regional Seminovos Varejo Centro Oeste"/>
    <s v="LJUDI - Vendas Varejo Seminovos Uberlândia"/>
    <s v="CARLOS ALBERTO GONCALVES"/>
    <s v="POSITIVO"/>
    <d v="1899-12-30T03:11:00"/>
    <d v="1899-12-30T00:00:00"/>
    <d v="1899-12-30T03:11:00"/>
    <s v=" "/>
    <s v=" "/>
    <s v=" "/>
    <s v=" "/>
    <s v=" "/>
    <s v=" "/>
    <d v="1899-12-30T01:51:00"/>
    <s v=" "/>
    <s v=" "/>
    <s v=" "/>
    <s v=" "/>
    <s v=" "/>
    <s v="Ativo"/>
    <s v="CONSULTOR DE VENDAS"/>
    <x v="4"/>
    <s v="LJUDI"/>
  </r>
  <r>
    <n v="502770"/>
    <s v="FABIO DE PAULA MORAIS"/>
    <s v="Diretoria Seminovos"/>
    <s v="RSCOE - Regional Seminovos Varejo Centro Oeste"/>
    <s v="LJGOI - Loja Seminovos Goiania"/>
    <s v="PAULO ROBERTO PEREIRA DE ARAUJO"/>
    <s v="POSITIVO"/>
    <d v="1899-12-31T07:56:00"/>
    <d v="1899-12-30T00:00:00"/>
    <d v="1899-12-31T07:56:00"/>
    <s v=" "/>
    <s v=" "/>
    <s v=" "/>
    <s v=" "/>
    <s v=" "/>
    <s v=" "/>
    <s v=" "/>
    <s v=" "/>
    <s v=" "/>
    <d v="1899-12-30T10:25:00"/>
    <d v="1899-12-30T14:16:00"/>
    <d v="1899-12-30T07:19:00"/>
    <s v="Ativo"/>
    <s v="HIGIENIZADOR DE CARROS"/>
    <x v="4"/>
    <s v="LJGOI"/>
  </r>
  <r>
    <n v="137176"/>
    <s v="FRANCIMAR FIGUEIREDO DA SILVA"/>
    <s v="Diretoria Seminovos"/>
    <s v="RSCOE - Regional Seminovos Varejo Centro Oeste"/>
    <s v="LJBSB - Loja Seminovos Brasília"/>
    <s v="RODRIGO REIS FIALH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4"/>
    <s v="LJBSB"/>
  </r>
  <r>
    <n v="123220"/>
    <s v="GEBERSON DA SILVA OLIVEIRA"/>
    <s v="Diretoria Seminovos"/>
    <s v="RSCOE - Regional Seminovos Varejo Centro Oeste"/>
    <s v="LJCGB - Loja Seminovos Cuiabá"/>
    <s v="FERNANDO CESAR CAPATO"/>
    <s v="POSITIVO"/>
    <d v="1899-12-30T22:54:00"/>
    <d v="1899-12-30T00:00:00"/>
    <d v="1899-12-30T22:54:00"/>
    <s v=" "/>
    <s v=" "/>
    <s v=" "/>
    <s v=" "/>
    <s v=" "/>
    <d v="1899-12-30T18:54:00"/>
    <d v="1899-12-30T04:00:00"/>
    <s v=" "/>
    <s v=" "/>
    <s v=" "/>
    <s v=" "/>
    <s v=" "/>
    <s v="Ativo"/>
    <s v="HIGIENIZADOR DE CARROS"/>
    <x v="4"/>
    <s v="LJCGB"/>
  </r>
  <r>
    <n v="135076"/>
    <s v="ISRAEL FELIPE JOVENTIVO DA SILVA"/>
    <s v="Diretoria Seminovos"/>
    <s v="RSCOE - Regional Seminovos Varejo Centro Oeste"/>
    <s v="LJTAG - Loja Seminovos Taguatinga"/>
    <s v="EMILIO JOSE DE SOUZA FILHO"/>
    <s v="POSITIVO"/>
    <d v="1899-12-30T00:48:00"/>
    <d v="1899-12-30T00:00:00"/>
    <d v="1899-12-30T00:48:00"/>
    <s v=" "/>
    <s v=" "/>
    <s v=" "/>
    <s v=" "/>
    <s v=" "/>
    <s v=" "/>
    <d v="1899-12-30T00:48:00"/>
    <s v=" "/>
    <s v=" "/>
    <s v=" "/>
    <s v=" "/>
    <s v=" "/>
    <s v="Ativo"/>
    <s v="HIGIENIZADOR DE CARROS"/>
    <x v="4"/>
    <s v="LJTAG"/>
  </r>
  <r>
    <n v="136872"/>
    <s v="JULIO CESAR PEREIRA MARQUES"/>
    <s v="Diretoria Seminovos"/>
    <s v="RSCOE - Regional Seminovos Varejo Centro Oeste"/>
    <s v="LJUDI - Loja Seminovos Uberlândia"/>
    <s v="CARLOS ALBERTO GONCALV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4"/>
    <s v="LJUDI"/>
  </r>
  <r>
    <n v="129582"/>
    <s v="LEONELSON ALVES DE OLIVEIRA"/>
    <s v="Diretoria Seminovos"/>
    <s v="RSCOE - Regional Seminovos Varejo Centro Oeste"/>
    <s v="LJGOI - Loja Seminovos Goiania"/>
    <s v="PAULO ROBERTO PEREIRA DE ARAUJO"/>
    <s v="POSITIVO"/>
    <d v="1899-12-30T18:56:00"/>
    <d v="1899-12-30T00:00:00"/>
    <d v="1899-12-30T18:56:00"/>
    <s v=" "/>
    <s v=" "/>
    <s v=" "/>
    <s v=" "/>
    <s v=" "/>
    <s v=" "/>
    <s v=" "/>
    <s v=" "/>
    <s v=" "/>
    <s v=" "/>
    <s v=" "/>
    <d v="1899-12-30T09:35:00"/>
    <s v="Ativo"/>
    <s v="APOIO ADMINISTRATIVO - 4H"/>
    <x v="4"/>
    <s v="LJGOI"/>
  </r>
  <r>
    <n v="134861"/>
    <s v="MARIA MADALENA ALVES FERREIRA"/>
    <s v="Diretoria Seminovos"/>
    <s v="RSCOE - Regional Seminovos Varejo Centro Oeste"/>
    <s v="LJTAG - Loja Seminovos Taguatinga"/>
    <s v="EMILIO JOSE DE SOUZA FILHO"/>
    <s v="POSITIVO"/>
    <d v="1899-12-31T08:34:00"/>
    <d v="1899-12-30T00:00:00"/>
    <d v="1899-12-31T08:34:00"/>
    <s v=" "/>
    <s v=" "/>
    <s v=" "/>
    <s v=" "/>
    <s v=" "/>
    <d v="1899-12-31T08:34:00"/>
    <s v=" "/>
    <s v=" "/>
    <s v=" "/>
    <s v=" "/>
    <s v=" "/>
    <s v=" "/>
    <s v="Ativo"/>
    <s v="AUX. DE SERVICOS GERAIS - DIRCS"/>
    <x v="4"/>
    <s v="LJTAG"/>
  </r>
  <r>
    <n v="136333"/>
    <s v="PAULO HENRIQUE DE SOUZA LISBOA"/>
    <s v="Diretoria Seminovos"/>
    <s v="RSCOE - Regional Seminovos Varejo Centro Oeste"/>
    <s v="LJGYG - Vendas Varejo Seminovos Goiânia"/>
    <s v="LIDYANE GUIMARAES DO NASCIMENTO SANTOS"/>
    <s v="POSITIVO"/>
    <d v="1899-12-30T13:21:00"/>
    <d v="1899-12-30T00:00:00"/>
    <d v="1899-12-30T13:21:00"/>
    <s v=" "/>
    <s v=" "/>
    <s v=" "/>
    <s v=" "/>
    <s v=" "/>
    <s v=" "/>
    <s v=" "/>
    <s v=" "/>
    <s v=" "/>
    <s v=" "/>
    <s v=" "/>
    <d v="1899-12-30T04:04:00"/>
    <s v="Ativo"/>
    <s v="CONSULTOR DE VENDAS"/>
    <x v="4"/>
    <s v="LJGYG"/>
  </r>
  <r>
    <n v="137203"/>
    <s v="RONE FERREIRA DA SILVA"/>
    <s v="Diretoria Seminovos"/>
    <s v="RSCOE - Regional Seminovos Varejo Centro Oeste"/>
    <s v="LJPLM - Loja Seminovos Palmas"/>
    <s v="THIAGO MELO DE FREITAS"/>
    <s v="POSITIVO"/>
    <d v="1899-12-30T05:28:00"/>
    <d v="1899-12-30T00:00:00"/>
    <d v="1899-12-30T05:28:00"/>
    <s v=" "/>
    <s v=" "/>
    <s v=" "/>
    <s v=" "/>
    <s v=" "/>
    <s v=" "/>
    <s v=" "/>
    <s v=" "/>
    <s v=" "/>
    <s v=" "/>
    <s v=" "/>
    <s v=" "/>
    <s v="Ativo"/>
    <s v="HIGIENIZADOR DE CARROS"/>
    <x v="4"/>
    <s v="LJPLM"/>
  </r>
  <r>
    <n v="502070"/>
    <s v="ROSELI MASSI DE SOUZA MACIEL"/>
    <s v="Diretoria Seminovos"/>
    <s v="RSCOE - Regional Seminovos Varejo Centro Oeste"/>
    <s v="LJCGR - Loja Seminovos Campo Grande"/>
    <s v="DOUGLAS PEREIRA SANDIM"/>
    <s v="POSITIVO"/>
    <d v="1899-12-30T01:25:00"/>
    <d v="1899-12-30T00:00:00"/>
    <d v="1899-12-30T01:25:00"/>
    <s v=" "/>
    <s v=" "/>
    <s v=" "/>
    <s v=" "/>
    <s v=" "/>
    <d v="1899-12-30T00:40:00"/>
    <d v="1899-12-30T00:22:00"/>
    <s v=" "/>
    <s v=" "/>
    <s v=" "/>
    <s v=" "/>
    <s v=" "/>
    <s v="Ativo"/>
    <s v="AUX. DE SERVICOS GERAIS - DIRCS"/>
    <x v="4"/>
    <s v="LJCGR"/>
  </r>
  <r>
    <n v="125474"/>
    <s v="SANDRA APARECIDA MORAES"/>
    <s v="Diretoria Seminovos"/>
    <s v="RSCOE - Regional Seminovos Varejo Centro Oeste"/>
    <s v="LJCGB - Loja Seminovos Cuiabá"/>
    <s v="FERNANDO CESAR CAPATO"/>
    <s v="POSITIVO"/>
    <d v="1900-01-06T11:21:00"/>
    <d v="1899-12-30T00:00:00"/>
    <d v="1900-01-06T11:21:00"/>
    <s v=" "/>
    <s v=" "/>
    <s v=" "/>
    <s v=" "/>
    <d v="1900-01-02T09:17:00"/>
    <d v="1900-01-03T00:04:00"/>
    <d v="1899-12-30T02:00:00"/>
    <s v=" "/>
    <s v=" "/>
    <s v=" "/>
    <s v=" "/>
    <s v=" "/>
    <s v="Ativo"/>
    <s v="AUX. DE SERVICOS GERAIS - DIRCS"/>
    <x v="4"/>
    <s v="LJCGB"/>
  </r>
  <r>
    <n v="124532"/>
    <s v="URIA ALVES DA SILVA"/>
    <s v="Diretoria Seminovos"/>
    <s v="RSCOE - Regional Seminovos Varejo Centro Oeste"/>
    <s v="LJCGR - Loja Seminovos Campo Grande"/>
    <s v="DOUGLAS PEREIRA SANDIM"/>
    <s v="POSITIVO"/>
    <d v="1899-12-30T06:05:00"/>
    <d v="1899-12-30T00:00:00"/>
    <d v="1899-12-30T06:05:00"/>
    <s v=" "/>
    <s v=" "/>
    <s v=" "/>
    <s v=" "/>
    <s v=" "/>
    <d v="1899-12-30T02:24:00"/>
    <d v="1899-12-30T02:40:00"/>
    <s v=" "/>
    <s v=" "/>
    <s v=" "/>
    <s v=" "/>
    <s v=" "/>
    <s v="Ativo"/>
    <s v="HIGIENIZADOR DE CARROS"/>
    <x v="4"/>
    <s v="LJCGR"/>
  </r>
  <r>
    <n v="125337"/>
    <s v="JEFFERSON ROBERTO TORRES"/>
    <s v="Diretoria Seminovos"/>
    <s v="RSGSP  - Regional Seminovos Varejo Grande São Paulo"/>
    <s v="LJOSC - Vendas Varejo Seminovos Osasco"/>
    <s v="ROBSON LUIZ ANDREATTE"/>
    <s v="POSITIVO"/>
    <d v="1900-01-01T06:38:00"/>
    <d v="1899-12-30T00:00:00"/>
    <d v="1900-01-01T06:38:00"/>
    <s v=" "/>
    <s v=" "/>
    <s v=" "/>
    <s v=" "/>
    <s v=" "/>
    <s v=" "/>
    <s v=" "/>
    <s v=" "/>
    <s v=" "/>
    <d v="1899-12-30T16:03:00"/>
    <d v="1899-12-31T05:19:00"/>
    <d v="1899-12-30T05:55:00"/>
    <s v="Ativo"/>
    <s v="CONSULTOR DE VENDAS"/>
    <x v="5"/>
    <s v="LJOSC"/>
  </r>
  <r>
    <n v="123801"/>
    <s v="DANIEL RODRIGUES DE FARIA"/>
    <s v="Diretoria Seminovos"/>
    <s v="RSGSP  - Regional Seminovos Varejo Grande São Paulo"/>
    <s v="LJIPA - Vendas Varejo Seminovos Itaim Paulista"/>
    <s v="MAURICIO NAVARRO"/>
    <s v="POSITIVO"/>
    <d v="1899-12-31T03:59:00"/>
    <d v="1899-12-30T00:00:00"/>
    <d v="1899-12-31T03:59:00"/>
    <s v=" "/>
    <s v=" "/>
    <s v=" "/>
    <s v=" "/>
    <s v=" "/>
    <s v=" "/>
    <s v=" "/>
    <s v=" "/>
    <s v=" "/>
    <d v="1899-12-31T03:59:00"/>
    <s v=" "/>
    <s v=" "/>
    <s v="Ativo"/>
    <s v="CONSULTOR DE VENDAS"/>
    <x v="5"/>
    <s v="LJIPA"/>
  </r>
  <r>
    <n v="135184"/>
    <s v="RICARDO LUIS RODRIGUES VIANA"/>
    <s v="Diretoria Seminovos"/>
    <s v="RSGSP  - Regional Seminovos Varejo Grande São Paulo"/>
    <s v="LJOSC - Vendas Varejo Seminovos Osasco"/>
    <s v="ROBSON LUIZ ANDREATTE"/>
    <s v="POSITIVO"/>
    <d v="1899-12-31T02:56:00"/>
    <d v="1899-12-30T00:00:00"/>
    <d v="1899-12-31T02:56:00"/>
    <s v=" "/>
    <s v=" "/>
    <s v=" "/>
    <s v=" "/>
    <s v=" "/>
    <s v=" "/>
    <s v=" "/>
    <s v=" "/>
    <s v=" "/>
    <s v=" "/>
    <d v="1899-12-31T02:56:00"/>
    <s v=" "/>
    <s v="Contrato de Trabalho Suspenso"/>
    <s v="CONSULTOR DE VENDAS"/>
    <x v="5"/>
    <s v="LJOSC"/>
  </r>
  <r>
    <n v="132589"/>
    <s v="WALDAIR NOGUEIRA DA SILVA"/>
    <s v="Diretoria Seminovos"/>
    <s v="RSGSP  - Regional Seminovos Varejo Grande São Paulo"/>
    <s v="LJSOR - Vendas Varejo Seminovos Sorocaba"/>
    <s v="MARCIO SAMPIERI"/>
    <s v="POSITIVO"/>
    <d v="1899-12-30T11:10:00"/>
    <d v="1899-12-30T00:00:00"/>
    <d v="1899-12-30T11:10:00"/>
    <s v=" "/>
    <s v=" "/>
    <s v=" "/>
    <s v=" "/>
    <s v=" "/>
    <s v=" "/>
    <d v="1899-12-30T05:54:00"/>
    <d v="1899-12-30T05:16:00"/>
    <s v=" "/>
    <s v=" "/>
    <s v=" "/>
    <s v=" "/>
    <s v="Ativo"/>
    <s v="CONSULTOR DE VENDAS"/>
    <x v="5"/>
    <s v="LJSOR"/>
  </r>
  <r>
    <n v="501221"/>
    <s v="MILTON MARCONDES"/>
    <s v="Diretoria Seminovos"/>
    <s v="RSGSP  - Regional Seminovos Varejo Grande São Paulo"/>
    <s v="LJMOG - Vendas Varejo Seminovos Mogi das Cruzes"/>
    <s v="FABIO ALEXANDRE FERRAZ DA SILVA"/>
    <s v="POSITIVO"/>
    <d v="1899-12-30T08:43:00"/>
    <d v="1899-12-30T00:00:00"/>
    <d v="1899-12-30T08:43:00"/>
    <s v=" "/>
    <s v=" "/>
    <s v=" "/>
    <s v=" "/>
    <s v=" "/>
    <d v="1899-12-30T00:09:00"/>
    <d v="1899-12-30T07:29:00"/>
    <d v="1899-12-30T01:05:00"/>
    <s v=" "/>
    <s v=" "/>
    <s v=" "/>
    <s v=" "/>
    <s v="Ativo"/>
    <s v="CONSULTOR DE VENDAS"/>
    <x v="5"/>
    <s v="LJMOG"/>
  </r>
  <r>
    <n v="135704"/>
    <s v="IVONE BATISTA SOARES"/>
    <s v="Diretoria Seminovos"/>
    <s v="RSGSP  - Regional Seminovos Varejo Grande São Paulo"/>
    <s v="LJSCT - Vendas Varejo Seminovos São Caetano do Sul"/>
    <s v="CARLOS ACACIO LIMA"/>
    <s v="POSITIVO"/>
    <d v="1899-12-30T06:24:00"/>
    <d v="1899-12-30T00:00:00"/>
    <d v="1899-12-30T06:24:00"/>
    <s v=" "/>
    <s v=" "/>
    <s v=" "/>
    <s v=" "/>
    <s v=" "/>
    <s v=" "/>
    <s v=" "/>
    <s v=" "/>
    <s v=" "/>
    <d v="1899-12-30T06:24:00"/>
    <s v=" "/>
    <s v=" "/>
    <s v="Ativo"/>
    <s v="CONSULTOR DE VENDAS"/>
    <x v="5"/>
    <s v="LJSCT"/>
  </r>
  <r>
    <n v="503017"/>
    <s v="JEAN PAULO JORGE DA SILVA"/>
    <s v="Diretoria Seminovos"/>
    <s v="RSGSP  - Regional Seminovos Varejo Grande São Paulo"/>
    <s v="LJOSC - Vendas Varejo Seminovos Osasco"/>
    <s v="ROBSON LUIZ ANDREATTE"/>
    <s v="POSITIVO"/>
    <d v="1899-12-30T11:21:00"/>
    <d v="1899-12-30T00:00:00"/>
    <d v="1899-12-30T11:21:00"/>
    <s v=" "/>
    <s v=" "/>
    <s v=" "/>
    <s v=" "/>
    <s v=" "/>
    <s v=" "/>
    <s v=" "/>
    <s v=" "/>
    <s v=" "/>
    <s v=" "/>
    <s v=" "/>
    <d v="1899-12-30T06:21:00"/>
    <s v="Ativo"/>
    <s v="CONSULTOR DE VENDAS"/>
    <x v="5"/>
    <s v="LJOSC"/>
  </r>
  <r>
    <n v="131221"/>
    <s v="WATSON WAGNER DA SILVA"/>
    <s v="Diretoria Seminovos"/>
    <s v="RSGSP  - Regional Seminovos Varejo Grande São Paulo"/>
    <s v="LJTAB - Vendas Varejo Seminovos Taubaté"/>
    <s v="HERMES DI JORGE"/>
    <s v="POSITIVO"/>
    <d v="1899-12-30T04:52:00"/>
    <d v="1899-12-30T00:00:00"/>
    <d v="1899-12-30T04:52:00"/>
    <s v=" "/>
    <s v=" "/>
    <s v=" "/>
    <s v=" "/>
    <s v=" "/>
    <s v=" "/>
    <d v="1899-12-30T03:36:00"/>
    <d v="1899-12-30T01:16:00"/>
    <s v=" "/>
    <s v=" "/>
    <s v=" "/>
    <s v=" "/>
    <s v="Ativo"/>
    <s v="CONSULTOR DE VENDAS"/>
    <x v="5"/>
    <s v="LJTAB"/>
  </r>
  <r>
    <n v="130262"/>
    <s v="RAFAEL AMORIM DE MEIRELES"/>
    <s v="Diretoria Seminovos"/>
    <s v="RSGSP  - Regional Seminovos Varejo Grande São Paulo"/>
    <s v="LJSTA - Vendas Varejo Seminovos Santo André"/>
    <s v="JORGE LUIZ CANDIDO"/>
    <s v="POSITIVO"/>
    <d v="1899-12-30T04:01:00"/>
    <d v="1899-12-30T00:00:00"/>
    <d v="1899-12-30T04:01:00"/>
    <s v=" "/>
    <s v=" "/>
    <s v=" "/>
    <s v=" "/>
    <s v=" "/>
    <s v=" "/>
    <s v=" "/>
    <d v="1899-12-30T04:01:00"/>
    <s v=" "/>
    <s v=" "/>
    <s v=" "/>
    <s v=" "/>
    <s v="Ativo"/>
    <s v="CONSULTOR DE VENDAS"/>
    <x v="5"/>
    <s v="LJSTA"/>
  </r>
  <r>
    <n v="122698"/>
    <s v="OSWALDO LUIZ BARBOSA NEUMANN"/>
    <s v="Diretoria Seminovos"/>
    <s v="RSGSP  - Regional Seminovos Varejo Grande São Paulo"/>
    <s v="LJGRU - Vendas Varejo Seminovos Guarulhos"/>
    <s v="GUSTAVO OLIVEIRA AGUIAR"/>
    <s v="POSITIVO"/>
    <d v="1899-12-30T03:52:00"/>
    <d v="1899-12-30T00:00:00"/>
    <d v="1899-12-30T03:52:00"/>
    <s v=" "/>
    <s v=" "/>
    <s v=" "/>
    <s v=" "/>
    <s v=" "/>
    <s v=" "/>
    <d v="1899-12-30T02:40:00"/>
    <d v="1899-12-30T01:12:00"/>
    <s v=" "/>
    <s v=" "/>
    <s v=" "/>
    <s v=" "/>
    <s v="Ativo"/>
    <s v="CONSULTOR DE VENDAS"/>
    <x v="5"/>
    <s v="LJGRU"/>
  </r>
  <r>
    <n v="503589"/>
    <s v="ANDREY CELSO MAJEWSKI"/>
    <s v="Diretoria Seminovos"/>
    <s v="RSGSP  - Regional Seminovos Varejo Grande São Paulo"/>
    <s v="LJOSC - Vendas Varejo Seminovos Osasco"/>
    <s v="ROBSON LUIZ ANDREATTE"/>
    <s v="POSITIVO"/>
    <d v="1899-12-30T06:55:00"/>
    <d v="1899-12-30T00:00:00"/>
    <d v="1899-12-30T06:55:00"/>
    <s v=" "/>
    <s v=" "/>
    <s v=" "/>
    <s v=" "/>
    <s v=" "/>
    <s v=" "/>
    <s v=" "/>
    <s v=" "/>
    <s v=" "/>
    <s v=" "/>
    <s v=" "/>
    <d v="1899-12-30T03:43:00"/>
    <s v="Ativo"/>
    <s v="CONSULTOR DE VENDAS"/>
    <x v="5"/>
    <s v="LJOSC"/>
  </r>
  <r>
    <n v="500542"/>
    <s v="JOSE RICARDO SORIANO GUIMARAES"/>
    <s v="Diretoria Seminovos"/>
    <s v="RSGSP  - Regional Seminovos Varejo Grande São Paulo"/>
    <s v="LJSOR - Vendas Varejo Seminovos Sorocaba"/>
    <s v="MARCIO SAMPIERI"/>
    <s v="POSITIVO"/>
    <d v="1899-12-30T03:02:00"/>
    <d v="1899-12-30T00:00:00"/>
    <d v="1899-12-30T03:02:00"/>
    <s v=" "/>
    <s v=" "/>
    <s v=" "/>
    <s v=" "/>
    <s v=" "/>
    <s v=" "/>
    <d v="1899-12-30T03:02:00"/>
    <s v=" "/>
    <s v=" "/>
    <s v=" "/>
    <s v=" "/>
    <s v=" "/>
    <s v="Ativo"/>
    <s v="CONSULTOR DE VENDAS"/>
    <x v="5"/>
    <s v="LJSOR"/>
  </r>
  <r>
    <n v="134573"/>
    <s v="CLEITON MACHADO"/>
    <s v="Diretoria Seminovos"/>
    <s v="RSGSP  - Regional Seminovos Varejo Grande São Paulo"/>
    <s v="LJIPA - Vendas Varejo Seminovos Itaim Paulista"/>
    <s v="MAURICIO NAVARRO"/>
    <s v="POSITIVO"/>
    <d v="1899-12-30T19:18:00"/>
    <d v="1899-12-30T00:00:00"/>
    <d v="1899-12-30T19:18:00"/>
    <s v=" "/>
    <s v=" "/>
    <s v=" "/>
    <s v=" "/>
    <s v=" "/>
    <s v=" "/>
    <s v=" "/>
    <s v=" "/>
    <s v=" "/>
    <s v=" "/>
    <d v="1899-12-30T00:48:00"/>
    <d v="1899-12-30T00:48:00"/>
    <s v="Ativo"/>
    <s v="CONSULTOR DE VENDAS"/>
    <x v="5"/>
    <s v="LJIPA"/>
  </r>
  <r>
    <n v="132098"/>
    <s v="MARCELO APARECIDO FERREIRA"/>
    <s v="Diretoria Seminovos"/>
    <s v="RSGSP  - Regional Seminovos Varejo Grande São Paulo"/>
    <s v="LJSTA - Vendas Varejo Seminovos Santo André"/>
    <s v="JORGE LUIZ CANDIDO"/>
    <s v="POSITIVO"/>
    <d v="1899-12-30T00:52:00"/>
    <d v="1899-12-30T00:00:00"/>
    <d v="1899-12-30T00:52:00"/>
    <s v=" "/>
    <s v=" "/>
    <s v=" "/>
    <s v=" "/>
    <s v=" "/>
    <s v=" "/>
    <s v=" "/>
    <d v="1899-12-30T00:52:00"/>
    <s v=" "/>
    <s v=" "/>
    <s v=" "/>
    <s v=" "/>
    <s v="Ativo"/>
    <s v="CONSULTOR DE VENDAS"/>
    <x v="5"/>
    <s v="LJSTA"/>
  </r>
  <r>
    <n v="501821"/>
    <s v="AMILTON ROCHA BELO"/>
    <s v="Diretoria Seminovos"/>
    <s v="RSGSP  - Regional Seminovos Varejo Grande São Paulo"/>
    <s v="LJSTA - Vendas Varejo Seminovos Santo André"/>
    <s v="JORGE LUIZ CANDIDO"/>
    <s v="POSITIVO"/>
    <d v="1899-12-30T00:37:00"/>
    <d v="1899-12-30T00:00:00"/>
    <d v="1899-12-30T00:37:00"/>
    <s v=" "/>
    <s v=" "/>
    <s v=" "/>
    <s v=" "/>
    <s v=" "/>
    <s v=" "/>
    <s v=" "/>
    <d v="1899-12-30T00:37:00"/>
    <s v=" "/>
    <s v=" "/>
    <s v=" "/>
    <s v=" "/>
    <s v="Contrato de Trabalho Suspenso"/>
    <s v="CONSULTOR DE VENDAS"/>
    <x v="5"/>
    <s v="LJSTA"/>
  </r>
  <r>
    <n v="135907"/>
    <s v="ADILSON JOAO DA SILVA"/>
    <s v="Diretoria Seminovos"/>
    <s v="RSGSP  - Regional Seminovos Varejo Grande São Paulo"/>
    <s v="LJSMG - Vendas Varejo Seminovos São Miguel"/>
    <s v="PEDRO IVO DIAS RODRIGU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MG"/>
  </r>
  <r>
    <n v="502098"/>
    <s v="ANDRE VICTOR RODRIGUES ALVES ASSIS SILVA"/>
    <s v="Diretoria Seminovos"/>
    <s v="RSGSP  - Regional Seminovos Varejo Grande São Paulo"/>
    <s v="LJSJC - Vendas Varejo Seminovos São José dos Campos"/>
    <s v="DAVID LEANDRO ROCHA SANCH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JC"/>
  </r>
  <r>
    <n v="132916"/>
    <s v="CAMILA LUIS LEITE"/>
    <s v="Diretoria Seminovos"/>
    <s v="RSGSP  - Regional Seminovos Varejo Grande São Paulo"/>
    <s v="LJSBC - Vendas Varejo Seminovos São Bernardo do Campo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BC"/>
  </r>
  <r>
    <n v="133935"/>
    <s v="CLAUDIO CUNHA MAEDA"/>
    <s v="Diretoria Seminovos"/>
    <s v="RSGSP  - Regional Seminovos Varejo Grande São Paulo"/>
    <s v="LJTAB - Vendas Varejo Seminovos Taubaté"/>
    <s v="HERMES DI JORG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TAB"/>
  </r>
  <r>
    <n v="136982"/>
    <s v="CLERHINGTON RUY ALVES DOS SANTOS"/>
    <s v="Diretoria Seminovos"/>
    <s v="RSGSP  - Regional Seminovos Varejo Grande São Paulo"/>
    <s v="LJSCT - Vendas Varejo Seminovos São Caetano do Sul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5"/>
    <s v="LJSCT"/>
  </r>
  <r>
    <n v="132864"/>
    <s v="EDILSON LOURO"/>
    <s v="Diretoria Seminovos"/>
    <s v="RSGSP  - Regional Seminovos Varejo Grande São Paulo"/>
    <s v="LJGRU - Vendas Varejo Seminovos Guarulhos"/>
    <s v="GUSTAVO OLIVEIRA AGUIAR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GRU"/>
  </r>
  <r>
    <n v="135411"/>
    <s v="ELIANE DA CONCEICAO SANTOS SIQUEIRA"/>
    <s v="Diretoria Seminovos"/>
    <s v="RSGSP  - Regional Seminovos Varejo Grande São Paulo"/>
    <s v="LJTAB - Vendas Varejo Seminovos Taubaté"/>
    <s v="HERMES DI JORG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TAB"/>
  </r>
  <r>
    <n v="134609"/>
    <s v="EVERTON PELANDRA DE BRITO"/>
    <s v="Diretoria Seminovos"/>
    <s v="RSGSP  - Regional Seminovos Varejo Grande São Paulo"/>
    <s v="LJSTA - Vendas Varejo Seminovos Santo André"/>
    <s v="JORGE LUIZ CANDID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TA"/>
  </r>
  <r>
    <n v="130912"/>
    <s v="GILBERTO HUDAK"/>
    <s v="Diretoria Seminovos"/>
    <s v="RSGSP  - Regional Seminovos Varejo Grande São Paulo"/>
    <s v="LJIPA - Vendas Varejo Seminovos Itaim Paulista"/>
    <s v="MAURICIO NAVARRO"/>
    <s v="POSITIVO"/>
    <d v="1899-12-30T05:02:00"/>
    <d v="1899-12-30T00:00:00"/>
    <d v="1899-12-30T05:02:00"/>
    <s v=" "/>
    <s v=" "/>
    <s v=" "/>
    <s v=" "/>
    <s v=" "/>
    <s v=" "/>
    <s v=" "/>
    <s v=" "/>
    <s v=" "/>
    <s v=" "/>
    <s v=" "/>
    <s v=" "/>
    <s v="Ativo"/>
    <s v="CONSULTOR DE VENDAS"/>
    <x v="5"/>
    <s v="LJIPA"/>
  </r>
  <r>
    <n v="125602"/>
    <s v="GLAUCO DEMETRIO"/>
    <s v="Diretoria Seminovos"/>
    <s v="RSGSP  - Regional Seminovos Varejo Grande São Paulo"/>
    <s v="LJSOR - Vendas Varejo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OR"/>
  </r>
  <r>
    <n v="130391"/>
    <s v="JOSE LUIZ DA SILVA CAMBA"/>
    <s v="Diretoria Seminovos"/>
    <s v="RSGSP  - Regional Seminovos Varejo Grande São Paulo"/>
    <s v="LJSOR - Vendas Varejo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5"/>
    <s v="LJSOR"/>
  </r>
  <r>
    <n v="133460"/>
    <s v="KELY MENEZES SANTOS"/>
    <s v="Diretoria Seminovos"/>
    <s v="RSGSP  - Regional Seminovos Varejo Grande São Paulo"/>
    <s v="LJPGR - Vendas Varejo Seminovos Praia Grande"/>
    <s v="FABIANO SOUZA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PGR"/>
  </r>
  <r>
    <n v="130822"/>
    <s v="LAUDEMIR DIAS DO AMARAL"/>
    <s v="Diretoria Seminovos"/>
    <s v="RSGSP  - Regional Seminovos Varejo Grande São Paulo"/>
    <s v="LJMOG - Vendas Varejo Seminovos Mogi das Cruzes"/>
    <s v="FABIO ALEXANDRE FERRAZ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MOG"/>
  </r>
  <r>
    <n v="501688"/>
    <s v="ADRIANA APARECIDA PAULINO"/>
    <s v="Diretoria Seminovos"/>
    <s v="RSGSP  - Regional Seminovos Varejo Grande São Paulo"/>
    <s v="LJSJA - Loja Seminovos São José dos Campos"/>
    <s v="ANDRE BORGES DA CO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5"/>
    <s v="LJSJA"/>
  </r>
  <r>
    <n v="131758"/>
    <s v="PEDRO CAPUCHO CARVALHO LEITE"/>
    <s v="Diretoria Seminovos"/>
    <s v="RSGSP  - Regional Seminovos Varejo Grande São Paulo"/>
    <s v="LJSJA - Vendas Varejo Seminovos São José dos Campos"/>
    <s v="ANDRE BORGES DA CO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JA"/>
  </r>
  <r>
    <n v="501996"/>
    <s v="PEDRO IRENO DIAS"/>
    <s v="Diretoria Seminovos"/>
    <s v="RSGSP  - Regional Seminovos Varejo Grande São Paulo"/>
    <s v="LJMOG - Vendas Varejo Seminovos Mogi das Cruzes"/>
    <s v="FABIO ALEXANDRE FERRAZ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MOG"/>
  </r>
  <r>
    <n v="133445"/>
    <s v="PRISCILA CAMARGO ALENCAR NOVAES"/>
    <s v="Diretoria Seminovos"/>
    <s v="RSGSP  - Regional Seminovos Varejo Grande São Paulo"/>
    <s v="LJSTS - Vendas Varejo Seminovos Santos"/>
    <s v="RICARDO TEOFILO AMORIM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TS"/>
  </r>
  <r>
    <n v="135488"/>
    <s v="SANDRO RICARDO RIGONATO"/>
    <s v="Diretoria Seminovos"/>
    <s v="RSGSP  - Regional Seminovos Varejo Grande São Paulo"/>
    <s v="LJSBC - Vendas Varejo Seminovos São Bernardo do Campo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BC"/>
  </r>
  <r>
    <n v="502863"/>
    <s v="SHEILA BARBOSA"/>
    <s v="Diretoria Seminovos"/>
    <s v="RSGSP  - Regional Seminovos Varejo Grande São Paulo"/>
    <s v="LJIPA - Vendas Varejo Seminovos Itaim Paulista"/>
    <s v="MAURICIO NAVARRO"/>
    <s v="POSITIVO"/>
    <d v="1899-12-30T00:10:00"/>
    <d v="1899-12-30T00:00:00"/>
    <d v="1899-12-30T00:10:00"/>
    <s v=" "/>
    <s v=" "/>
    <s v=" "/>
    <s v=" "/>
    <s v=" "/>
    <s v=" "/>
    <s v=" "/>
    <s v=" "/>
    <s v=" "/>
    <s v=" "/>
    <s v=" "/>
    <s v=" "/>
    <s v="Ativo"/>
    <s v="CONSULTOR DE VENDAS"/>
    <x v="5"/>
    <s v="LJIPA"/>
  </r>
  <r>
    <n v="503069"/>
    <s v="THIAGO PELANDRA DE BRITO"/>
    <s v="Diretoria Seminovos"/>
    <s v="RSGSP  - Regional Seminovos Varejo Grande São Paulo"/>
    <s v="LJSTS - Vendas Varejo Seminovos Santos"/>
    <s v="RICARDO TEOFILO AMORIM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TS"/>
  </r>
  <r>
    <n v="500922"/>
    <s v="WAGNER ROBERTO LOPES"/>
    <s v="Diretoria Seminovos"/>
    <s v="RSGSP  - Regional Seminovos Varejo Grande São Paulo"/>
    <s v="LJSOR - Vendas Varejo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5"/>
    <s v="LJSOR"/>
  </r>
  <r>
    <n v="502952"/>
    <s v="ALEXANDER DO NASCIMENTO BORGES"/>
    <s v="Diretoria Seminovos"/>
    <s v="RSGSP  - Regional Seminovos Varejo Grande São Paulo"/>
    <s v="LJOSC - Vendas Varejo Seminovos Osasco"/>
    <s v="ROBSON LUIZ ANDREATTE"/>
    <s v="POSITIVO"/>
    <d v="1899-12-30T07:07:00"/>
    <d v="1899-12-30T00:00:00"/>
    <d v="1899-12-30T07:07:00"/>
    <s v=" "/>
    <s v=" "/>
    <s v=" "/>
    <s v=" "/>
    <s v=" "/>
    <s v=" "/>
    <s v=" "/>
    <s v=" "/>
    <d v="1899-12-30T00:01:00"/>
    <s v=" "/>
    <s v=" "/>
    <d v="1899-12-30T00:34:00"/>
    <s v="Ativo"/>
    <s v="CONSULTOR DE VENDAS"/>
    <x v="5"/>
    <s v="LJOSC"/>
  </r>
  <r>
    <n v="119749"/>
    <s v="DANIEL DA SILVA DE SOUSA"/>
    <s v="Diretoria Seminovos"/>
    <s v="RSGSP  - Regional Seminovos Varejo Grande São Paulo"/>
    <s v="LJIPA - Loja Seminovos Itaim Paulista"/>
    <s v="MAURICIO NAVARRO"/>
    <s v="POSITIVO"/>
    <d v="1899-12-31T04:22:00"/>
    <d v="1899-12-30T00:00:00"/>
    <d v="1899-12-31T04:22:00"/>
    <s v=" "/>
    <s v=" "/>
    <s v=" "/>
    <s v=" "/>
    <s v=" "/>
    <s v=" "/>
    <s v=" "/>
    <s v=" "/>
    <s v=" "/>
    <d v="1899-12-30T16:22:00"/>
    <s v=" "/>
    <d v="1899-12-30T04:00:00"/>
    <s v="Ativo"/>
    <s v="HIGIENIZADOR DE CARROS"/>
    <x v="5"/>
    <s v="LJIPA"/>
  </r>
  <r>
    <n v="119907"/>
    <s v="FERNANDO HENRIQUE DA SILVA CONSTANTINO"/>
    <s v="Diretoria Seminovos"/>
    <s v="RSGSP  - Regional Seminovos Varejo Grande São Paulo"/>
    <s v="LJSOR - Loja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HIGIENIZADOR DE CARROS"/>
    <x v="5"/>
    <s v="LJSOR"/>
  </r>
  <r>
    <n v="133195"/>
    <s v="HUMBERTO MOREIRA NICOLAU"/>
    <s v="Diretoria Seminovos"/>
    <s v="RSGSP  - Regional Seminovos Varejo Grande São Paulo"/>
    <s v="LJPGR - Loja Seminovos Praia Grande"/>
    <s v="FABIANO SOUZA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Ac.Trabalho"/>
    <s v="HIGIENIZADOR DE CARROS"/>
    <x v="5"/>
    <s v="LJPGR"/>
  </r>
  <r>
    <n v="501012"/>
    <s v="IRANI DE SOUZA PALUDETO"/>
    <s v="Diretoria Seminovos"/>
    <s v="RSGSP  - Regional Seminovos Varejo Grande São Paulo"/>
    <s v="LJSOR - Loja Seminovos Sorocaba"/>
    <s v="MARCIO SAMPIER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5"/>
    <s v="LJSOR"/>
  </r>
  <r>
    <n v="119390"/>
    <s v="JEAN SILVA DE ARAUJO"/>
    <s v="Diretoria Seminovos"/>
    <s v="RSGSP  - Regional Seminovos Varejo Grande São Paulo"/>
    <s v="LJIPA - Loja Seminovos Itaim Paulista"/>
    <s v="MAURICIO NAVARRO"/>
    <s v="POSITIVO"/>
    <d v="1899-12-30T07:42:00"/>
    <d v="1899-12-30T00:00:00"/>
    <d v="1899-12-30T07:42:00"/>
    <s v=" "/>
    <s v=" "/>
    <s v=" "/>
    <s v=" "/>
    <s v=" "/>
    <s v=" "/>
    <s v=" "/>
    <s v=" "/>
    <s v=" "/>
    <d v="1899-12-30T08:00:00"/>
    <s v=" "/>
    <s v=" "/>
    <s v="Ativo"/>
    <s v="HIGIENIZADOR DE CARROS"/>
    <x v="5"/>
    <s v="LJIPA"/>
  </r>
  <r>
    <n v="502228"/>
    <s v="MARIA AMELIA MACEDO BARIANNI"/>
    <s v="Diretoria Seminovos"/>
    <s v="RSGSP  - Regional Seminovos Varejo Grande São Paulo"/>
    <s v="LJGRU - Loja Seminovos Guarulhos"/>
    <s v="GUSTAVO OLIVEIRA AGUIAR"/>
    <s v="POSITIVO"/>
    <d v="1899-12-30T13:49:00"/>
    <d v="1899-12-30T00:00:00"/>
    <d v="1899-12-30T13:49:00"/>
    <s v=" "/>
    <s v=" "/>
    <s v=" "/>
    <s v=" "/>
    <s v=" "/>
    <s v=" "/>
    <s v=" "/>
    <s v=" "/>
    <s v=" "/>
    <s v=" "/>
    <s v=" "/>
    <d v="1899-12-30T07:33:00"/>
    <s v="Ativo"/>
    <s v="APOIO ADMINISTRATIVO - 6H"/>
    <x v="5"/>
    <s v="LJGRU"/>
  </r>
  <r>
    <n v="136898"/>
    <s v="MARILANDIA JESUS DOS SANTOS"/>
    <s v="Diretoria Seminovos"/>
    <s v="RSGSP  - Regional Seminovos Varejo Grande São Paulo"/>
    <s v="LJSJC - Loja Seminovos São José dos Campos"/>
    <s v="DAVID LEANDRO ROCHA SANCH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5"/>
    <s v="LJSJC"/>
  </r>
  <r>
    <n v="132272"/>
    <s v="MAURILIO DE JESUS JUNIOR"/>
    <s v="Diretoria Seminovos"/>
    <s v="RSGSP  - Regional Seminovos Varejo Grande São Paulo"/>
    <s v="LJIPA - Vendas Varejo Seminovos Itaim Paulista"/>
    <s v="MAURICIO NAVARRO"/>
    <s v="POSITIVO"/>
    <d v="1899-12-30T06:33:00"/>
    <d v="1899-12-30T00:00:00"/>
    <d v="1899-12-30T06:33:00"/>
    <s v=" "/>
    <s v=" "/>
    <s v=" "/>
    <s v=" "/>
    <s v=" "/>
    <s v=" "/>
    <s v=" "/>
    <s v=" "/>
    <s v=" "/>
    <s v=" "/>
    <d v="1899-12-30T09:15:00"/>
    <d v="1899-12-30T01:02:00"/>
    <s v="Ativo"/>
    <s v="CONSULTOR DE VENDAS"/>
    <x v="5"/>
    <s v="LJIPA"/>
  </r>
  <r>
    <n v="136240"/>
    <s v="PAULO ROBERTO DE ALMEIDA"/>
    <s v="Diretoria Seminovos"/>
    <s v="RSGSP  - Regional Seminovos Varejo Grande São Paulo"/>
    <s v="LJOSC - Loja Seminovos Osasco"/>
    <s v="ROBSON LUIZ ANDREATTE"/>
    <s v="POSITIVO"/>
    <d v="1899-12-30T06:32:00"/>
    <d v="1899-12-30T00:00:00"/>
    <d v="1899-12-30T06:32:00"/>
    <s v=" "/>
    <s v=" "/>
    <s v=" "/>
    <s v=" "/>
    <s v=" "/>
    <s v=" "/>
    <s v=" "/>
    <s v=" "/>
    <s v=" "/>
    <s v=" "/>
    <s v=" "/>
    <d v="1899-12-30T04:59:00"/>
    <s v="Ativo"/>
    <s v="HIGIENIZADOR DE CARROS"/>
    <x v="5"/>
    <s v="LJOSC"/>
  </r>
  <r>
    <n v="501857"/>
    <s v="REGINALDO ALVES DE SOUZA"/>
    <s v="Diretoria Seminovos"/>
    <s v="RSGSP  - Regional Seminovos Varejo Grande São Paulo"/>
    <s v="LJSCT - Loja Seminovos São Caetano do Sul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5"/>
    <s v="LJSCT"/>
  </r>
  <r>
    <n v="129614"/>
    <s v="REGINALDO COSTA NASCIMENTO"/>
    <s v="Diretoria Seminovos"/>
    <s v="RSGSP  - Regional Seminovos Varejo Grande São Paulo"/>
    <s v="LJSJC - Loja Seminovos São José dos Campos"/>
    <s v="DAVID LEANDRO ROCHA SANCH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5"/>
    <s v="LJSJC"/>
  </r>
  <r>
    <n v="117968"/>
    <s v="ROSILENE DE OLIVEIRA SILVA"/>
    <s v="Diretoria Seminovos"/>
    <s v="RSGSP  - Regional Seminovos Varejo Grande São Paulo"/>
    <s v="LJMOG - Loja Seminovos Mogi das Cruzes"/>
    <s v="FABIO ALEXANDRE FERRAZ D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5"/>
    <s v="LJMOG"/>
  </r>
  <r>
    <n v="125501"/>
    <s v="SOLANGE APARECIDA SILVEIRA VIEIRA"/>
    <s v="Diretoria Seminovos"/>
    <s v="RSGSP  - Regional Seminovos Varejo Grande São Paulo"/>
    <s v="LJOSC - Loja Seminovos Osasco"/>
    <s v="ROBSON LUIZ ANDREATTE"/>
    <s v="POSITIVO"/>
    <d v="1899-12-30T05:05:00"/>
    <d v="1899-12-30T00:00:00"/>
    <d v="1899-12-30T05:05:00"/>
    <s v=" "/>
    <s v=" "/>
    <s v=" "/>
    <s v=" "/>
    <s v=" "/>
    <s v=" "/>
    <s v=" "/>
    <s v=" "/>
    <s v=" "/>
    <s v=" "/>
    <d v="1899-12-30T01:00:00"/>
    <d v="1899-12-30T03:48:00"/>
    <s v="Ativo"/>
    <s v="AUX. DE SERVICOS GERAIS - DIRCS"/>
    <x v="5"/>
    <s v="LJOSC"/>
  </r>
  <r>
    <n v="117969"/>
    <s v="SUELI MOREIRA"/>
    <s v="Diretoria Seminovos"/>
    <s v="RSGSP  - Regional Seminovos Varejo Grande São Paulo"/>
    <s v="LJSBC - Loja Seminovos São Bernardo do Campo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5"/>
    <s v="LJSBC"/>
  </r>
  <r>
    <n v="129853"/>
    <s v="VALERIA RIBEIRO DOS SANTOS"/>
    <s v="Diretoria Seminovos"/>
    <s v="RSGSP  - Regional Seminovos Varejo Grande São Paulo"/>
    <s v="LJGRU - Loja Seminovos Guarulhos"/>
    <s v="GUSTAVO OLIVEIRA AGUIAR"/>
    <s v="POSITIVO"/>
    <d v="1899-12-30T11:32:00"/>
    <d v="1899-12-30T00:00:00"/>
    <d v="1899-12-30T11:32:00"/>
    <s v=" "/>
    <s v=" "/>
    <s v=" "/>
    <s v=" "/>
    <s v=" "/>
    <s v=" "/>
    <d v="1899-12-30T00:35:00"/>
    <d v="1899-12-30T00:18:00"/>
    <d v="1899-12-30T00:18:00"/>
    <s v=" "/>
    <s v=" "/>
    <d v="1899-12-30T06:48:00"/>
    <s v="Ativo"/>
    <s v="AUX. DE SERVICOS GERAIS - DIRCS"/>
    <x v="5"/>
    <s v="LJGRU"/>
  </r>
  <r>
    <n v="122565"/>
    <s v="WALLACE MOREIRA NICOLAU"/>
    <s v="Diretoria Seminovos"/>
    <s v="RSGSP  - Regional Seminovos Varejo Grande São Paulo"/>
    <s v="LJSCT - Loja Seminovos São Caetano do Sul"/>
    <s v="CARLOS ACACIO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HIGIENIZADOR DE CARROS"/>
    <x v="5"/>
    <s v="LJSCT"/>
  </r>
  <r>
    <n v="117970"/>
    <s v="ZENILDA SOUZA SILVA"/>
    <s v="Diretoria Seminovos"/>
    <s v="RSGSP  - Regional Seminovos Varejo Grande São Paulo"/>
    <s v="LJIPA - Loja Seminovos Itaim Paulista"/>
    <s v="MAURICIO NAVARR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5"/>
    <s v="LJIPA"/>
  </r>
  <r>
    <n v="121898"/>
    <s v="ALEX DA SILVA VIEIRA"/>
    <s v="Diretoria Seminovos"/>
    <s v="RSNDE - Regional Seminovos Varejo Nordeste"/>
    <s v="LJAJU - Loja Seminovos Aracajú"/>
    <s v="TIAGO ANDRADE ALCANTARA"/>
    <s v="POSITIVO"/>
    <d v="1899-12-30T02:38:00"/>
    <d v="1899-12-30T00:00:00"/>
    <d v="1899-12-30T02:38:00"/>
    <s v=" "/>
    <s v=" "/>
    <s v=" "/>
    <s v=" "/>
    <s v=" "/>
    <s v=" "/>
    <d v="1899-12-30T02:17:00"/>
    <s v=" "/>
    <s v=" "/>
    <s v=" "/>
    <s v=" "/>
    <s v=" "/>
    <s v="Ativo"/>
    <s v="HIGIENIZADOR DE CARROS"/>
    <x v="6"/>
    <s v="LJAJU"/>
  </r>
  <r>
    <n v="134409"/>
    <s v="ROCHELI BELENS CRUZ DOS SANTOS"/>
    <s v="Diretoria Seminovos"/>
    <s v="RSNDE - Regional Seminovos Varejo Nordeste"/>
    <s v="LJSSA - Vendas Varejo Seminovos Salvador"/>
    <s v="ALISSON LIMA E SILVA"/>
    <s v="POSITIVO"/>
    <d v="1900-01-01T18:54:00"/>
    <d v="1899-12-30T00:00:00"/>
    <d v="1900-01-01T18:54:00"/>
    <s v=" "/>
    <s v=" "/>
    <s v=" "/>
    <s v=" "/>
    <s v=" "/>
    <s v=" "/>
    <s v=" "/>
    <s v=" "/>
    <s v=" "/>
    <d v="1899-12-31T08:08:00"/>
    <d v="1899-12-31T10:46:00"/>
    <s v=" "/>
    <s v="Contrato de Trabalho Suspenso"/>
    <s v="CONSULTOR DE VENDAS"/>
    <x v="6"/>
    <s v="LJSSA"/>
  </r>
  <r>
    <n v="503598"/>
    <s v="JAILAN ALEXANDRE BRITO DA SILVA"/>
    <s v="Diretoria Seminovos"/>
    <s v="RSNDE - Regional Seminovos Varejo Nordeste"/>
    <s v="LJNGT - Vendas Varejo Seminovos Nova Iguatemi"/>
    <s v="ALEXANDRE VINICIUS NEGREIROS CABRAL"/>
    <s v="POSITIVO"/>
    <d v="1900-01-01T23:59:00"/>
    <d v="1899-12-30T00:00:00"/>
    <d v="1900-01-01T23:59:00"/>
    <s v=" "/>
    <s v=" "/>
    <s v=" "/>
    <s v=" "/>
    <s v=" "/>
    <s v=" "/>
    <s v=" "/>
    <s v=" "/>
    <s v=" "/>
    <d v="1899-12-30T10:49:00"/>
    <d v="1899-12-30T21:20:00"/>
    <d v="1899-12-31T07:40:00"/>
    <s v="Ativo"/>
    <s v="CONSULTOR DE VENDAS"/>
    <x v="6"/>
    <s v="LJNGT"/>
  </r>
  <r>
    <n v="136589"/>
    <s v="JADILANE LIMA DE JESUS"/>
    <s v="Diretoria Seminovos"/>
    <s v="RSNDE - Regional Seminovos Varejo Nordeste"/>
    <s v="LJREC - Vendas Varejo Seminovos Recife"/>
    <s v="MARCIA REGINA MARIA FRAGA DE VASCONCELOS"/>
    <s v="POSITIVO"/>
    <d v="1900-01-01T02:07:00"/>
    <d v="1899-12-30T00:00:00"/>
    <d v="1900-01-01T02:07:00"/>
    <s v=" "/>
    <s v=" "/>
    <s v=" "/>
    <s v=" "/>
    <s v=" "/>
    <s v=" "/>
    <s v=" "/>
    <s v=" "/>
    <s v=" "/>
    <s v=" "/>
    <d v="1899-12-30T15:25:00"/>
    <d v="1899-12-31T10:45:00"/>
    <s v="Ativo"/>
    <s v="CONSULTOR DE VENDAS"/>
    <x v="6"/>
    <s v="LJREC"/>
  </r>
  <r>
    <n v="503026"/>
    <s v="JORGE ANTONIO RASTELLI CAVALCANTE BARRETTO"/>
    <s v="Diretoria Seminovos"/>
    <s v="RSNDE - Regional Seminovos Varejo Nordeste"/>
    <s v="LJSSA - Vendas Varejo Seminovos Salvador"/>
    <s v="ALISSON LIMA E SILVA"/>
    <s v="POSITIVO"/>
    <d v="1900-01-01T00:43:00"/>
    <d v="1899-12-30T00:00:00"/>
    <d v="1900-01-01T00:43:00"/>
    <s v=" "/>
    <s v=" "/>
    <s v=" "/>
    <s v=" "/>
    <s v=" "/>
    <s v=" "/>
    <s v=" "/>
    <s v=" "/>
    <s v=" "/>
    <d v="1899-12-30T11:26:00"/>
    <d v="1899-12-31T05:52:00"/>
    <d v="1899-12-30T06:18:00"/>
    <s v="Ativo"/>
    <s v="CONSULTOR DE VENDAS"/>
    <x v="6"/>
    <s v="LJSSA"/>
  </r>
  <r>
    <n v="135760"/>
    <s v="DANIELA DA SILVA CARNEIRO"/>
    <s v="Diretoria Seminovos"/>
    <s v="RSNDE - Regional Seminovos Varejo Nordeste"/>
    <s v="LJFSA - Vendas Varejo Seminovos Feira de Santana"/>
    <s v="CLEITON LUIS DOS REIS PEREIRA"/>
    <s v="POSITIVO"/>
    <d v="1899-12-31T18:18:00"/>
    <d v="1899-12-30T00:00:00"/>
    <d v="1899-12-31T18:18:00"/>
    <s v=" "/>
    <s v=" "/>
    <s v=" "/>
    <s v=" "/>
    <d v="1899-12-30T03:36:00"/>
    <d v="1899-12-31T08:38:00"/>
    <d v="1899-12-30T05:23:00"/>
    <s v=" "/>
    <s v=" "/>
    <s v=" "/>
    <s v=" "/>
    <s v=" "/>
    <s v="Ativo"/>
    <s v="CONSULTOR DE VENDAS"/>
    <x v="6"/>
    <s v="LJFSA"/>
  </r>
  <r>
    <n v="129395"/>
    <s v="SAULO DO NASCIMENTO FERREIRA"/>
    <s v="Diretoria Seminovos"/>
    <s v="RSNDE - Regional Seminovos Varejo Nordeste"/>
    <s v="LJVDC - Vendas Varejo Seminovos Vitoria da Conquista"/>
    <s v="FRANCISCO MORAIS ROCHA"/>
    <s v="POSITIVO"/>
    <d v="1899-12-31T14:59:00"/>
    <d v="1899-12-30T00:00:00"/>
    <d v="1899-12-31T14:59:00"/>
    <s v=" "/>
    <s v=" "/>
    <s v=" "/>
    <s v=" "/>
    <s v=" "/>
    <s v=" "/>
    <s v=" "/>
    <s v=" "/>
    <s v=" "/>
    <d v="1899-12-30T13:44:00"/>
    <d v="1899-12-31T01:15:00"/>
    <s v=" "/>
    <s v="Ativo"/>
    <s v="CONSULTOR DE VENDAS"/>
    <x v="6"/>
    <s v="LJVDC"/>
  </r>
  <r>
    <n v="131982"/>
    <s v="EUGENIO JUNIOR SOARES DE LIMA"/>
    <s v="Diretoria Seminovos"/>
    <s v="RSNDE - Regional Seminovos Varejo Nordeste"/>
    <s v="LJJPA - Vendas Varejo Seminovos João Pessoa"/>
    <s v="WICTOR MARANHAO RODRIGUES"/>
    <s v="POSITIVO"/>
    <d v="1899-12-31T21:48:00"/>
    <d v="1899-12-30T00:00:00"/>
    <d v="1899-12-31T21:48:00"/>
    <s v=" "/>
    <s v=" "/>
    <s v=" "/>
    <s v=" "/>
    <s v=" "/>
    <s v=" "/>
    <s v=" "/>
    <s v=" "/>
    <s v=" "/>
    <d v="1899-12-30T00:43:00"/>
    <d v="1899-12-31T04:56:00"/>
    <d v="1899-12-30T02:46:00"/>
    <s v="Ativo"/>
    <s v="CONSULTOR DE VENDAS"/>
    <x v="6"/>
    <s v="LJJPA"/>
  </r>
  <r>
    <n v="129987"/>
    <s v="JANISSON PEREIRA DE SOUZA"/>
    <s v="Diretoria Seminovos"/>
    <s v="RSNDE - Regional Seminovos Varejo Nordeste"/>
    <s v="LJFSA - Vendas Varejo Seminovos Feira de Santana"/>
    <s v="CLEITON LUIS DOS REIS PEREIRA"/>
    <s v="POSITIVO"/>
    <d v="1899-12-31T01:46:00"/>
    <d v="1899-12-30T00:00:00"/>
    <d v="1899-12-31T01:46:00"/>
    <s v=" "/>
    <s v=" "/>
    <s v=" "/>
    <s v=" "/>
    <s v=" "/>
    <s v=" "/>
    <s v=" "/>
    <s v=" "/>
    <s v=" "/>
    <d v="1899-12-30T03:05:00"/>
    <d v="1899-12-30T21:46:00"/>
    <d v="1899-12-30T03:09:00"/>
    <s v="Ativo"/>
    <s v="CONSULTOR DE VENDAS"/>
    <x v="6"/>
    <s v="LJFSA"/>
  </r>
  <r>
    <n v="134727"/>
    <s v="EDILENE MORAES FIDELIS DA SILVA"/>
    <s v="Diretoria Seminovos"/>
    <s v="RSNDE - Regional Seminovos Varejo Nordeste"/>
    <s v="LJREC - Vendas Varejo Seminovos Recife"/>
    <s v="MARCIA REGINA MARIA FRAGA DE VASCONCELOS"/>
    <s v="POSITIVO"/>
    <d v="1899-12-30T21:30:00"/>
    <d v="1899-12-30T00:00:00"/>
    <d v="1899-12-30T21:30:00"/>
    <s v=" "/>
    <s v=" "/>
    <s v=" "/>
    <s v=" "/>
    <s v=" "/>
    <d v="1899-12-30T21:30:00"/>
    <s v=" "/>
    <s v=" "/>
    <s v=" "/>
    <s v=" "/>
    <s v=" "/>
    <s v=" "/>
    <s v="Contrato de Trabalho Suspenso"/>
    <s v="CONSULTOR DE VENDAS"/>
    <x v="6"/>
    <s v="LJREC"/>
  </r>
  <r>
    <n v="124286"/>
    <s v="JOAO FILIPE SILVA SANTOS"/>
    <s v="Diretoria Seminovos"/>
    <s v="RSNDE - Regional Seminovos Varejo Nordeste"/>
    <s v="LJCAX - Vendas Varejo Seminovos Caxanga"/>
    <s v="RAFAEL CAMPOS MARANHAO"/>
    <s v="POSITIVO"/>
    <d v="1899-12-30T18:34:00"/>
    <d v="1899-12-30T00:00:00"/>
    <d v="1899-12-30T18:34:00"/>
    <s v=" "/>
    <s v=" "/>
    <s v=" "/>
    <s v=" "/>
    <s v=" "/>
    <s v=" "/>
    <s v=" "/>
    <s v=" "/>
    <s v=" "/>
    <s v=" "/>
    <d v="1899-12-30T00:57:00"/>
    <d v="1899-12-30T20:30:00"/>
    <s v="Ativo"/>
    <s v="CONSULTOR DE VENDAS"/>
    <x v="6"/>
    <s v="LJCAX"/>
  </r>
  <r>
    <n v="135843"/>
    <s v="FABIO PEDREIRA DA SILVA"/>
    <s v="Diretoria Seminovos"/>
    <s v="RSNDE - Regional Seminovos Varejo Nordeste"/>
    <s v="LJSSA - Vendas Varejo Seminovos Salvador"/>
    <s v="ALISSON LIMA E SILVA"/>
    <s v="POSITIVO"/>
    <d v="1899-12-31T15:49:00"/>
    <d v="1899-12-30T00:00:00"/>
    <d v="1899-12-31T15:49:00"/>
    <s v=" "/>
    <s v=" "/>
    <s v=" "/>
    <s v=" "/>
    <s v=" "/>
    <s v=" "/>
    <s v=" "/>
    <s v=" "/>
    <s v=" "/>
    <s v=" "/>
    <d v="1899-12-30T12:06:00"/>
    <d v="1899-12-30T05:52:00"/>
    <s v="Ativo"/>
    <s v="CONSULTOR DE VENDAS"/>
    <x v="6"/>
    <s v="LJSSA"/>
  </r>
  <r>
    <n v="131430"/>
    <s v="ELBA ALMEIDA GUIMARAES"/>
    <s v="Diretoria Seminovos"/>
    <s v="RSNDE - Regional Seminovos Varejo Nordeste"/>
    <s v="LJSSA - Vendas Varejo Seminovos Salvador"/>
    <s v="ALISSON LIMA E SILVA"/>
    <s v="POSITIVO"/>
    <d v="1899-12-30T14:51:00"/>
    <d v="1899-12-30T00:00:00"/>
    <d v="1899-12-30T14:51:00"/>
    <s v=" "/>
    <s v=" "/>
    <s v=" "/>
    <s v=" "/>
    <s v=" "/>
    <s v=" "/>
    <s v=" "/>
    <s v=" "/>
    <s v=" "/>
    <s v=" "/>
    <s v=" "/>
    <d v="1899-12-30T15:42:00"/>
    <s v="Ativo"/>
    <s v="CONSULTOR DE VENDAS"/>
    <x v="6"/>
    <s v="LJSSA"/>
  </r>
  <r>
    <n v="136361"/>
    <s v="JONATHAN DIEGO CARVALHO FELIX"/>
    <s v="Diretoria Seminovos"/>
    <s v="RSNDE - Regional Seminovos Varejo Nordeste"/>
    <s v="LJAJU - Vendas Varejo Seminovos Aracajú"/>
    <s v="TIAGO ANDRADE ALCANTARA"/>
    <s v="POSITIVO"/>
    <d v="1899-12-30T14:10:00"/>
    <d v="1899-12-30T00:00:00"/>
    <d v="1899-12-30T14:10:00"/>
    <s v=" "/>
    <s v=" "/>
    <s v=" "/>
    <s v=" "/>
    <s v=" "/>
    <s v=" "/>
    <d v="1899-12-30T15:13:00"/>
    <s v=" "/>
    <s v=" "/>
    <s v=" "/>
    <s v=" "/>
    <s v=" "/>
    <s v="Ativo"/>
    <s v="CONSULTOR DE VENDAS"/>
    <x v="6"/>
    <s v="LJAJU"/>
  </r>
  <r>
    <n v="129691"/>
    <s v="HELIO PEREIRA DA SILVA JUNIOR"/>
    <s v="Diretoria Seminovos"/>
    <s v="RSNDE - Regional Seminovos Varejo Nordeste"/>
    <s v="LJCAX - Loja Seminovos Caxanga"/>
    <s v="RAFAEL CAMPOS MARANHAO"/>
    <s v="POSITIVO"/>
    <d v="1899-12-30T00:19:00"/>
    <d v="1899-12-30T00:00:00"/>
    <d v="1899-12-30T00:19:00"/>
    <s v=" "/>
    <s v=" "/>
    <s v=" "/>
    <s v=" "/>
    <s v=" "/>
    <s v=" "/>
    <s v=" "/>
    <s v=" "/>
    <s v=" "/>
    <s v=" "/>
    <s v=" "/>
    <d v="1899-12-30T05:19:00"/>
    <s v="Ativo"/>
    <s v="HIGIENIZADOR DE CARROS"/>
    <x v="6"/>
    <s v="LJCAX"/>
  </r>
  <r>
    <n v="124953"/>
    <s v="IVAN VICTOR SANTANA OLIVEIRA"/>
    <s v="Diretoria Seminovos"/>
    <s v="RSNDE - Regional Seminovos Varejo Nordeste"/>
    <s v="LJSSA - Vendas Varejo Seminovos Salvador"/>
    <s v="ALISSON LIMA E SILVA"/>
    <s v="POSITIVO"/>
    <d v="1899-12-30T21:36:00"/>
    <d v="1899-12-30T00:00:00"/>
    <d v="1899-12-30T21:36:00"/>
    <s v=" "/>
    <s v=" "/>
    <s v=" "/>
    <s v=" "/>
    <s v=" "/>
    <s v=" "/>
    <s v=" "/>
    <s v=" "/>
    <s v=" "/>
    <s v=" "/>
    <s v=" "/>
    <d v="1899-12-30T12:44:00"/>
    <s v="Ativo"/>
    <s v="CONSULTOR DE VENDAS"/>
    <x v="6"/>
    <s v="LJSSA"/>
  </r>
  <r>
    <n v="130257"/>
    <s v="MARCOS BARBOSA DA SILVA"/>
    <s v="Diretoria Seminovos"/>
    <s v="RSNDE - Regional Seminovos Varejo Nordeste"/>
    <s v="LJREC - Vendas Varejo Seminovos Recife"/>
    <s v="MARCIA REGINA MARIA FRAGA DE VASCONCELOS"/>
    <s v="POSITIVO"/>
    <d v="1899-12-30T12:23:00"/>
    <d v="1899-12-30T00:00:00"/>
    <d v="1899-12-30T12:23:00"/>
    <s v=" "/>
    <s v=" "/>
    <s v=" "/>
    <s v=" "/>
    <s v=" "/>
    <s v=" "/>
    <s v=" "/>
    <s v=" "/>
    <s v=" "/>
    <s v=" "/>
    <d v="1899-12-30T12:23:00"/>
    <s v=" "/>
    <s v="Contrato de Trabalho Suspenso"/>
    <s v="CONSULTOR DE VENDAS"/>
    <x v="6"/>
    <s v="LJREC"/>
  </r>
  <r>
    <n v="502977"/>
    <s v="GILKA ARAUJO DE SANTANA"/>
    <s v="Diretoria Seminovos"/>
    <s v="RSNDE - Regional Seminovos Varejo Nordeste"/>
    <s v="LJNGT - Vendas Varejo Seminovos Nova Iguatemi"/>
    <s v="ALEXANDRE VINICIUS NEGREIROS CABRAL"/>
    <s v="POSITIVO"/>
    <d v="1899-12-30T05:55:00"/>
    <d v="1899-12-30T00:00:00"/>
    <d v="1899-12-30T05:55:00"/>
    <s v=" "/>
    <s v=" "/>
    <s v=" "/>
    <s v=" "/>
    <s v=" "/>
    <s v=" "/>
    <s v=" "/>
    <s v=" "/>
    <s v=" "/>
    <s v=" "/>
    <s v=" "/>
    <d v="1899-12-30T11:07:00"/>
    <s v="Ativo"/>
    <s v="CONSULTOR DE VENDAS"/>
    <x v="6"/>
    <s v="LJNGT"/>
  </r>
  <r>
    <n v="132590"/>
    <s v="THIAGO DOS SANTOS PEREIRA"/>
    <s v="Diretoria Seminovos"/>
    <s v="RSNDE - Regional Seminovos Varejo Nordeste"/>
    <s v="LJVDC - Vendas Varejo Seminovos Vitoria da Conquista"/>
    <s v="FRANCISCO MORAIS ROCHA"/>
    <s v="POSITIVO"/>
    <d v="1899-12-30T09:24:00"/>
    <d v="1899-12-30T00:00:00"/>
    <d v="1899-12-30T09:24:00"/>
    <s v=" "/>
    <s v=" "/>
    <s v=" "/>
    <s v=" "/>
    <s v=" "/>
    <d v="1899-12-30T09:24:00"/>
    <s v=" "/>
    <s v=" "/>
    <s v=" "/>
    <s v=" "/>
    <s v=" "/>
    <s v=" "/>
    <s v="Ativo"/>
    <s v="CONSULTOR DE VENDAS"/>
    <x v="6"/>
    <s v="LJVDC"/>
  </r>
  <r>
    <n v="503456"/>
    <s v="ANDRE LUIZ GONCALVES DE LIMA"/>
    <s v="Diretoria Seminovos"/>
    <s v="RSNDE - Regional Seminovos Varejo Nordeste"/>
    <s v="LJCAX - Vendas Varejo Seminovos Caxanga"/>
    <s v="RAFAEL CAMPOS MARANHAO"/>
    <s v="POSITIVO"/>
    <d v="1899-12-30T00:09:00"/>
    <d v="1899-12-30T00:00:00"/>
    <d v="1899-12-30T00:09:00"/>
    <s v=" "/>
    <s v=" "/>
    <s v=" "/>
    <s v=" "/>
    <s v=" "/>
    <s v=" "/>
    <s v=" "/>
    <s v=" "/>
    <s v=" "/>
    <s v=" "/>
    <s v=" "/>
    <d v="1899-12-30T09:15:00"/>
    <s v="Ativo"/>
    <s v="CONSULTOR DE VENDAS"/>
    <x v="6"/>
    <s v="LJCAX"/>
  </r>
  <r>
    <n v="130381"/>
    <s v="TIAGO SANTANA COSTA"/>
    <s v="Diretoria Seminovos"/>
    <s v="RSNDE - Regional Seminovos Varejo Nordeste"/>
    <s v="LJNGT - Vendas Varejo Seminovos Nova Iguatemi"/>
    <s v="ALEXANDRE VINICIUS NEGREIROS CABRAL"/>
    <s v="POSITIVO"/>
    <d v="1899-12-30T08:51:00"/>
    <d v="1899-12-30T00:00:00"/>
    <d v="1899-12-30T08:51:00"/>
    <s v=" "/>
    <s v=" "/>
    <s v=" "/>
    <s v=" "/>
    <s v=" "/>
    <s v=" "/>
    <s v=" "/>
    <s v=" "/>
    <s v=" "/>
    <s v=" "/>
    <d v="1899-12-30T08:51:00"/>
    <s v=" "/>
    <s v="Contrato de Trabalho Suspenso"/>
    <s v="CONSULTOR DE VENDAS"/>
    <x v="6"/>
    <s v="LJNGT"/>
  </r>
  <r>
    <n v="502664"/>
    <s v="BRANDSON CARVALHO DANTAS"/>
    <s v="Diretoria Seminovos"/>
    <s v="RSNDE - Regional Seminovos Varejo Nordeste"/>
    <s v="LJAJU - Vendas Varejo Seminovos Aracajú"/>
    <s v="TIAGO ANDRADE ALCANTARA"/>
    <s v="POSITIVO"/>
    <d v="1899-12-30T02:27:00"/>
    <d v="1899-12-30T00:00:00"/>
    <d v="1899-12-30T02:27:00"/>
    <s v=" "/>
    <s v=" "/>
    <s v=" "/>
    <s v=" "/>
    <s v=" "/>
    <s v=" "/>
    <d v="1899-12-30T04:54:00"/>
    <s v=" "/>
    <s v=" "/>
    <s v=" "/>
    <s v=" "/>
    <s v=" "/>
    <s v="Ativo"/>
    <s v="CONSULTOR DE VENDAS"/>
    <x v="6"/>
    <s v="LJAJU"/>
  </r>
  <r>
    <n v="135908"/>
    <s v="KLEBSON WILSON PEREIRA"/>
    <s v="Diretoria Seminovos"/>
    <s v="RSNDE - Regional Seminovos Varejo Nordeste"/>
    <s v="LJJPA - Vendas Varejo Seminovos João Pessoa"/>
    <s v="WICTOR MARANHAO RODRIGUES"/>
    <s v="POSITIVO"/>
    <d v="1899-12-30T04:28:00"/>
    <d v="1899-12-30T00:00:00"/>
    <d v="1899-12-30T04:28:00"/>
    <s v=" "/>
    <s v=" "/>
    <s v=" "/>
    <s v=" "/>
    <s v=" "/>
    <s v=" "/>
    <s v=" "/>
    <s v=" "/>
    <s v=" "/>
    <s v=" "/>
    <d v="1899-12-30T03:43:00"/>
    <d v="1899-12-30T00:45:00"/>
    <s v="Contrato de Trabalho Suspenso"/>
    <s v="CONSULTOR DE VENDAS"/>
    <x v="6"/>
    <s v="LJJPA"/>
  </r>
  <r>
    <n v="503618"/>
    <s v="HAMILTON DO NASCIMENTO NOGUEIRA"/>
    <s v="Diretoria Seminovos"/>
    <s v="RSNDE - Regional Seminovos Varejo Nordeste"/>
    <s v="LJNGT - Vendas Varejo Seminovos Nova Iguatemi"/>
    <s v="ALEXANDRE VINICIUS NEGREIROS CABRAL"/>
    <s v="POSITIVO"/>
    <d v="1899-12-30T02:32:00"/>
    <d v="1899-12-30T00:00:00"/>
    <d v="1899-12-30T02:32:00"/>
    <s v=" "/>
    <s v=" "/>
    <s v=" "/>
    <s v=" "/>
    <s v=" "/>
    <s v=" "/>
    <s v=" "/>
    <s v=" "/>
    <s v=" "/>
    <s v=" "/>
    <d v="1899-12-30T02:32:00"/>
    <s v=" "/>
    <s v="Contrato de Trabalho Suspenso"/>
    <s v="CONSULTOR DE VENDAS"/>
    <x v="6"/>
    <s v="LJNGT"/>
  </r>
  <r>
    <n v="503608"/>
    <s v="ANTONIO CARLOS MAIA JUNIOR"/>
    <s v="Diretoria Seminovos"/>
    <s v="RSNDE - Regional Seminovos Varejo Nordeste"/>
    <s v="LJJPA - Vendas Varejo Seminovos João Pessoa"/>
    <s v="WICTOR MARANHAO RODRIGUES"/>
    <s v="POSITIVO"/>
    <d v="1899-12-30T08:23:00"/>
    <d v="1899-12-30T00:00:00"/>
    <d v="1899-12-30T08:23:00"/>
    <s v=" "/>
    <s v=" "/>
    <s v=" "/>
    <s v=" "/>
    <s v=" "/>
    <s v=" "/>
    <s v=" "/>
    <s v=" "/>
    <s v=" "/>
    <s v=" "/>
    <s v=" "/>
    <d v="1899-12-30T01:08:00"/>
    <s v="Ativo"/>
    <s v="CONSULTOR DE VENDAS"/>
    <x v="6"/>
    <s v="LJJPA"/>
  </r>
  <r>
    <n v="124294"/>
    <s v="MANUEL FRANCISCO CORREIA NETO"/>
    <s v="Diretoria Seminovos"/>
    <s v="RSNDE - Regional Seminovos Varejo Nordeste"/>
    <s v="LJVDC - Vendas Varejo Seminovos Vitoria da Conquista"/>
    <s v="FRANCISCO MORAIS ROCHA"/>
    <s v="POSITIVO"/>
    <d v="1899-12-30T00:48:00"/>
    <d v="1899-12-30T00:00:00"/>
    <d v="1899-12-30T00:48:00"/>
    <s v=" "/>
    <s v=" "/>
    <s v=" "/>
    <s v=" "/>
    <s v=" "/>
    <s v=" "/>
    <s v=" "/>
    <s v=" "/>
    <s v=" "/>
    <s v=" "/>
    <d v="1899-12-30T00:48:00"/>
    <s v=" "/>
    <s v="Contrato de Trabalho Suspenso"/>
    <s v="CONSULTOR DE VENDAS"/>
    <x v="6"/>
    <s v="LJVDC"/>
  </r>
  <r>
    <n v="132179"/>
    <s v="JOSY DA SILVA ALMEIDA SANTOS"/>
    <s v="Diretoria Seminovos"/>
    <s v="RSNDE - Regional Seminovos Varejo Nordeste"/>
    <s v="LJVDC - Vendas Varejo Seminovos Vitoria da Conquista"/>
    <s v="FRANCISCO MORAIS ROCHA"/>
    <s v="POSITIVO"/>
    <d v="1899-12-30T00:47:00"/>
    <d v="1899-12-30T00:00:00"/>
    <d v="1899-12-30T00:47:00"/>
    <s v=" "/>
    <s v=" "/>
    <s v=" "/>
    <s v=" "/>
    <s v=" "/>
    <s v=" "/>
    <s v=" "/>
    <s v=" "/>
    <s v=" "/>
    <s v=" "/>
    <d v="1899-12-30T00:47:00"/>
    <s v=" "/>
    <s v="Ativo"/>
    <s v="CONSULTOR DE VENDAS"/>
    <x v="6"/>
    <s v="LJVDC"/>
  </r>
  <r>
    <n v="135930"/>
    <s v="ALEXANDRE PINTO DOS REIS GOMES"/>
    <s v="Diretoria Seminovos"/>
    <s v="RSNDE - Regional Seminovos Varejo Nordeste"/>
    <s v="LJMCO - Vendas Varejo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6"/>
    <s v="LJMCO"/>
  </r>
  <r>
    <n v="130809"/>
    <s v="CELSO MARIO ALEIXO DE BRITO FILHO"/>
    <s v="Diretoria Seminovos"/>
    <s v="RSNDE - Regional Seminovos Varejo Nordeste"/>
    <s v="LJCAU - Vendas Varejo Seminovos Caruaru"/>
    <s v="FLAVIO FRANCISCO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6"/>
    <s v="LJCAU"/>
  </r>
  <r>
    <n v="135974"/>
    <s v="ERINALDO DE OLIVEIRA SANTOS"/>
    <s v="Diretoria Seminovos"/>
    <s v="RSNDE - Regional Seminovos Varejo Nordeste"/>
    <s v="LJCGE - Vendas Varejo Seminovos Campina Grande"/>
    <s v="LEANDRO LEITE DUART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6"/>
    <s v="LJCGE"/>
  </r>
  <r>
    <n v="122549"/>
    <s v="GILMAR XAVIER DE ANDRADE JUNIOR"/>
    <s v="Diretoria Seminovos"/>
    <s v="RSNDE - Regional Seminovos Varejo Nordeste"/>
    <s v="LJMCO - Vendas Varejo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6"/>
    <s v="LJMCO"/>
  </r>
  <r>
    <n v="124387"/>
    <s v="HUGO CESAR AMARO ACIOLI"/>
    <s v="Diretoria Seminovos"/>
    <s v="RSNDE - Regional Seminovos Varejo Nordeste"/>
    <s v="LJMCO - Vendas Varejo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6"/>
    <s v="LJMCO"/>
  </r>
  <r>
    <n v="503490"/>
    <s v="JOSE JONATAS DOS SANTOS"/>
    <s v="Diretoria Seminovos"/>
    <s v="RSNDE - Regional Seminovos Varejo Nordeste"/>
    <s v="LJMCO - Vendas Varejo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6"/>
    <s v="LJMCO"/>
  </r>
  <r>
    <n v="133946"/>
    <s v="JOSE PEREIRA DE LIMA NETO"/>
    <s v="Diretoria Seminovos"/>
    <s v="RSNDE - Regional Seminovos Varejo Nordeste"/>
    <s v="LJCAU - Vendas Varejo Seminovos Caruaru"/>
    <s v="FLAVIO FRANCISCO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6"/>
    <s v="LJCAU"/>
  </r>
  <r>
    <n v="124292"/>
    <s v="LIVIA LIMA OLIVEIRA"/>
    <s v="Diretoria Seminovos"/>
    <s v="RSNDE - Regional Seminovos Varejo Nordeste"/>
    <s v="LJVDC - Vendas Varejo Seminovos Vitoria da Conquista"/>
    <s v="FRANCISCO MORAIS ROCH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Licença Mater."/>
    <s v="CONSULTOR DE VENDAS"/>
    <x v="6"/>
    <s v="LJVDC"/>
  </r>
  <r>
    <n v="123765"/>
    <s v="ROMMULLO BARBOSA DE OLIVEIRA"/>
    <s v="Diretoria Seminovos"/>
    <s v="RSNDE - Regional Seminovos Varejo Nordeste"/>
    <s v="LJCGE - Vendas Varejo Seminovos Campina Grande"/>
    <s v="LEANDRO LEITE DUART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6"/>
    <s v="LJCGE"/>
  </r>
  <r>
    <n v="137207"/>
    <s v="ALEXIUS GERMANO MARQUES"/>
    <s v="Diretoria Seminovos"/>
    <s v="RSNDE - Regional Seminovos Varejo Nordeste"/>
    <s v="LJFSA - Vendas Varejo Seminovos Feira de Santana"/>
    <s v="CLEITON LUIS DOS REIS PEREIRA"/>
    <s v="POSITIVO"/>
    <d v="1899-12-30T06:46:00"/>
    <d v="1899-12-30T00:00:00"/>
    <d v="1899-12-30T06:46:00"/>
    <s v=" "/>
    <s v=" "/>
    <s v=" "/>
    <s v=" "/>
    <s v=" "/>
    <s v=" "/>
    <s v=" "/>
    <s v=" "/>
    <s v=" "/>
    <s v=" "/>
    <s v=" "/>
    <d v="1899-12-30T07:51:00"/>
    <s v="Ativo"/>
    <s v="CONSULTOR DE VENDAS"/>
    <x v="6"/>
    <s v="LJFSA"/>
  </r>
  <r>
    <n v="503418"/>
    <s v="SILAS DO NASCIMENTO LOPES"/>
    <s v="Diretoria Seminovos"/>
    <s v="RSNDE - Regional Seminovos Varejo Nordeste"/>
    <s v="LJMCZ - Vendas Varejo Seminovos Maceió"/>
    <s v="JOYCE LARISE CORREIA GOM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6"/>
    <s v="LJMCZ"/>
  </r>
  <r>
    <n v="131307"/>
    <s v="WESLLEY MAIKELL ARAUJO DE MOURA"/>
    <s v="Diretoria Seminovos"/>
    <s v="RSNDE - Regional Seminovos Varejo Nordeste"/>
    <s v="LJCGE - Vendas Varejo Seminovos Campina Grande"/>
    <s v="LEANDRO LEITE DUART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6"/>
    <s v="LJCGE"/>
  </r>
  <r>
    <n v="501779"/>
    <s v="ANGELA DOS SANTOS OLIVEIRA"/>
    <s v="Diretoria Seminovos"/>
    <s v="RSNDE - Regional Seminovos Varejo Nordeste"/>
    <s v="LJFSA - Loja Seminovos Feira de Santana"/>
    <s v="CLEITON LUIS DOS REIS PEREIRA"/>
    <s v="POSITIVO"/>
    <d v="1899-12-31T19:00:00"/>
    <d v="1899-12-30T00:00:00"/>
    <d v="1899-12-31T19:00:00"/>
    <s v=" "/>
    <s v=" "/>
    <s v=" "/>
    <s v=" "/>
    <s v=" "/>
    <s v=" "/>
    <s v=" "/>
    <s v=" "/>
    <s v=" "/>
    <s v=" "/>
    <s v=" "/>
    <d v="1899-12-30T23:29:00"/>
    <s v="Ativo"/>
    <s v="AUX. DE SERVICOS GERAIS - DIRCS"/>
    <x v="6"/>
    <s v="LJFSA"/>
  </r>
  <r>
    <n v="500217"/>
    <s v="DANIEL GUIMARAES PINHEIRO"/>
    <s v="Diretoria Seminovos"/>
    <s v="RSNDE - Regional Seminovos Varejo Nordeste"/>
    <s v="LJNGT - Loja Seminovos Nova Iguatemi"/>
    <s v="ALEXANDRE VINICIUS NEGREIROS CABRAL"/>
    <s v="POSITIVO"/>
    <d v="1899-12-30T10:56:00"/>
    <d v="1899-12-30T00:00:00"/>
    <d v="1899-12-30T10:56:00"/>
    <s v=" "/>
    <s v=" "/>
    <s v=" "/>
    <s v=" "/>
    <s v=" "/>
    <s v=" "/>
    <s v=" "/>
    <s v=" "/>
    <s v=" "/>
    <d v="1899-12-30T04:33:00"/>
    <d v="1899-12-30T04:05:00"/>
    <d v="1899-12-30T01:52:00"/>
    <s v="Ativo"/>
    <s v="HIGIENIZADOR DE CARROS"/>
    <x v="6"/>
    <s v="LJNGT"/>
  </r>
  <r>
    <n v="123754"/>
    <s v="HOZANA ALVES DE SOUZA"/>
    <s v="Diretoria Seminovos"/>
    <s v="RSNDE - Regional Seminovos Varejo Nordeste"/>
    <s v="LJCGE - Loja Seminovos Campina Grande"/>
    <s v="LEANDRO LEITE DUARTE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6"/>
    <s v="LJCGE"/>
  </r>
  <r>
    <n v="500289"/>
    <s v="IVONICE DA SILVA CADETE"/>
    <s v="Diretoria Seminovos"/>
    <s v="RSNDE - Regional Seminovos Varejo Nordeste"/>
    <s v="LJREC - Loja Seminovos Recife"/>
    <s v="MARCIA REGINA MARIA FRAGA DE VASCONCELOS"/>
    <s v="POSITIVO"/>
    <d v="1899-12-31T02:25:00"/>
    <d v="1899-12-30T00:00:00"/>
    <d v="1899-12-31T02:25:00"/>
    <s v=" "/>
    <s v=" "/>
    <s v=" "/>
    <s v=" "/>
    <s v=" "/>
    <s v=" "/>
    <s v=" "/>
    <s v=" "/>
    <s v=" "/>
    <s v=" "/>
    <d v="1899-12-30T03:03:00"/>
    <d v="1899-12-30T09:11:00"/>
    <s v="Ativo"/>
    <s v="AUX. DE SERVICOS GERAIS - DIRCS"/>
    <x v="6"/>
    <s v="LJREC"/>
  </r>
  <r>
    <n v="124489"/>
    <s v="KLEBSON CONCEICAO DAS VIRGENS"/>
    <s v="Diretoria Seminovos"/>
    <s v="RSNDE - Regional Seminovos Varejo Nordeste"/>
    <s v="LJFSA - Loja Seminovos Feira de Santana"/>
    <s v="CLEITON LUIS DOS REIS PEREIRA"/>
    <s v="POSITIVO"/>
    <d v="1899-12-31T02:52:00"/>
    <d v="1899-12-30T00:00:00"/>
    <d v="1899-12-31T02:52:00"/>
    <s v=" "/>
    <s v=" "/>
    <s v=" "/>
    <s v=" "/>
    <s v=" "/>
    <s v=" "/>
    <s v=" "/>
    <s v=" "/>
    <s v=" "/>
    <d v="1899-12-30T17:52:00"/>
    <d v="1899-12-30T03:54:00"/>
    <d v="1899-12-30T03:06:00"/>
    <s v="Ativo"/>
    <s v="HIGIENIZADOR DE CARROS"/>
    <x v="6"/>
    <s v="LJFSA"/>
  </r>
  <r>
    <n v="131228"/>
    <s v="LAIZA MORGANA DA SILVA"/>
    <s v="Diretoria Seminovos"/>
    <s v="RSNDE - Regional Seminovos Varejo Nordeste"/>
    <s v="LJCAU - Loja Seminovos Caruaru"/>
    <s v="FLAVIO FRANCISCO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6"/>
    <s v="LJCAU"/>
  </r>
  <r>
    <n v="124230"/>
    <s v="LUCIANA DE JESUS MARINHO"/>
    <s v="Diretoria Seminovos"/>
    <s v="RSNDE - Regional Seminovos Varejo Nordeste"/>
    <s v="LJVDC - Loja Seminovos Vitoria da Conquista"/>
    <s v="FRANCISCO MORAIS ROCH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6"/>
    <s v="LJVDC"/>
  </r>
  <r>
    <n v="120920"/>
    <s v="LUCIANO DE JESUS FERREIRA"/>
    <s v="Diretoria Seminovos"/>
    <s v="RSNDE - Regional Seminovos Varejo Nordeste"/>
    <s v="LJNGT - Loja Seminovos Nova Iguatemi"/>
    <s v="ALEXANDRE VINICIUS NEGREIROS CABRAL"/>
    <s v="POSITIVO"/>
    <d v="1899-12-30T02:05:00"/>
    <d v="1899-12-30T00:00:00"/>
    <d v="1899-12-30T02:05:00"/>
    <s v=" "/>
    <s v=" "/>
    <s v=" "/>
    <s v=" "/>
    <s v=" "/>
    <s v=" "/>
    <s v=" "/>
    <s v=" "/>
    <s v=" "/>
    <d v="1899-12-30T04:11:00"/>
    <s v=" "/>
    <d v="1899-12-30T01:08:00"/>
    <s v="Ativo"/>
    <s v="HIGIENIZADOR DE CARROS"/>
    <x v="6"/>
    <s v="LJNGT"/>
  </r>
  <r>
    <n v="131661"/>
    <s v="MARCELO SILVA CORREIA"/>
    <s v="Diretoria Seminovos"/>
    <s v="RSNDE - Regional Seminovos Varejo Nordeste"/>
    <s v="LJSSA - Loja Seminovos Salvador"/>
    <s v="ALISSON LIMA E SILVA"/>
    <s v="POSITIVO"/>
    <d v="1899-12-30T19:19:00"/>
    <d v="1899-12-30T00:00:00"/>
    <d v="1899-12-30T19:19:00"/>
    <s v=" "/>
    <s v=" "/>
    <s v=" "/>
    <s v=" "/>
    <s v=" "/>
    <s v=" "/>
    <s v=" "/>
    <s v=" "/>
    <s v=" "/>
    <d v="1899-12-30T09:06:00"/>
    <d v="1899-12-30T03:47:00"/>
    <d v="1899-12-30T05:42:00"/>
    <s v="Ativo"/>
    <s v="HIGIENIZADOR DE CARROS"/>
    <x v="6"/>
    <s v="LJSSA"/>
  </r>
  <r>
    <n v="135816"/>
    <s v="MARIA EDUARDA MACEDO DOS SANTOS"/>
    <s v="Diretoria Seminovos"/>
    <s v="RSNDE - Regional Seminovos Varejo Nordeste"/>
    <s v="LJPNA - Loja Seminovos Petrolina"/>
    <s v="EDVALDO GOMES DE MELO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6"/>
    <s v="LJPNA"/>
  </r>
  <r>
    <n v="117322"/>
    <s v="PETRUCIO JOSE DOS SANTOS"/>
    <s v="Diretoria Seminovos"/>
    <s v="RSNDE - Regional Seminovos Varejo Nordeste"/>
    <s v="LJMCO - Loja Seminovos Maceió"/>
    <s v="MARCOS ANTONIO BRANDAO MESQUI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6"/>
    <s v="LJMCO"/>
  </r>
  <r>
    <n v="501556"/>
    <s v="ROMERO CARVALHO AMARAL"/>
    <s v="Diretoria Seminovos"/>
    <s v="RSNDE - Regional Seminovos Varejo Nordeste"/>
    <s v="LJREC - Loja Seminovos Recife"/>
    <s v="MARCIA REGINA MARIA FRAGA DE VASCONCELOS"/>
    <s v="POSITIVO"/>
    <d v="1899-12-30T03:59:00"/>
    <d v="1899-12-30T00:00:00"/>
    <d v="1899-12-30T03:59:00"/>
    <s v=" "/>
    <s v=" "/>
    <s v=" "/>
    <s v=" "/>
    <s v=" "/>
    <s v=" "/>
    <s v=" "/>
    <s v=" "/>
    <s v=" "/>
    <s v=" "/>
    <s v=" "/>
    <d v="1899-12-30T03:13:00"/>
    <s v="Ativo"/>
    <s v="HIGIENIZADOR DE CARROS"/>
    <x v="6"/>
    <s v="LJREC"/>
  </r>
  <r>
    <n v="500234"/>
    <s v="ROSILENE MARIA DE JESUS NEVES"/>
    <s v="Diretoria Seminovos"/>
    <s v="RSNDE - Regional Seminovos Varejo Nordeste"/>
    <s v="LJSSA - Loja Seminovos Salvador"/>
    <s v="ALISSON LIMA E SILVA"/>
    <s v="POSITIVO"/>
    <d v="1899-12-31T17:19:00"/>
    <d v="1899-12-30T00:00:00"/>
    <d v="1899-12-31T17:19:00"/>
    <s v=" "/>
    <s v=" "/>
    <s v=" "/>
    <s v=" "/>
    <s v=" "/>
    <s v=" "/>
    <s v=" "/>
    <s v=" "/>
    <s v=" "/>
    <s v=" "/>
    <s v=" "/>
    <d v="1899-12-30T18:45:00"/>
    <s v="Ativo"/>
    <s v="AUX. DE SERVICOS GERAIS - DIRCS"/>
    <x v="6"/>
    <s v="LJSSA"/>
  </r>
  <r>
    <n v="502149"/>
    <s v="ROZINETE MARIA SALUSTIANO"/>
    <s v="Diretoria Seminovos"/>
    <s v="RSNDE - Regional Seminovos Varejo Nordeste"/>
    <s v="LJJPA - Loja Seminovos João Pessoa"/>
    <s v="WICTOR MARANHAO RODRIGUES"/>
    <s v="POSITIVO"/>
    <d v="1899-12-30T13:16:00"/>
    <d v="1899-12-30T00:00:00"/>
    <d v="1899-12-30T13:16:00"/>
    <s v=" "/>
    <s v=" "/>
    <s v=" "/>
    <s v=" "/>
    <s v=" "/>
    <s v=" "/>
    <s v=" "/>
    <s v=" "/>
    <s v=" "/>
    <s v=" "/>
    <d v="1899-12-30T03:43:00"/>
    <d v="1899-12-31T01:36:00"/>
    <s v="Ativo"/>
    <s v="AUX. DE SERVICOS GERAIS - DIRCS"/>
    <x v="6"/>
    <s v="LJJPA"/>
  </r>
  <r>
    <n v="124184"/>
    <s v="SUENI CAMPOS DO NASCIMENTO"/>
    <s v="Diretoria Seminovos"/>
    <s v="RSNDE - Regional Seminovos Varejo Nordeste"/>
    <s v="LJNGT - Loja Seminovos Nova Iguatemi"/>
    <s v="ALEXANDRE VINICIUS NEGREIROS CABRAL"/>
    <s v="POSITIVO"/>
    <d v="1899-12-31T03:21:00"/>
    <d v="1899-12-30T00:00:00"/>
    <d v="1899-12-31T03:21:00"/>
    <s v=" "/>
    <s v=" "/>
    <s v=" "/>
    <s v=" "/>
    <s v=" "/>
    <s v=" "/>
    <s v=" "/>
    <s v=" "/>
    <s v=" "/>
    <s v=" "/>
    <d v="1899-12-30T04:44:00"/>
    <d v="1899-12-30T15:24:00"/>
    <s v="Ativo"/>
    <s v="AUX. DE SERVICOS GERAIS - DIRCS"/>
    <x v="6"/>
    <s v="LJNGT"/>
  </r>
  <r>
    <n v="134371"/>
    <s v="ERICKSON FERREIRA DAS NEVES"/>
    <s v="Diretoria Seminovos"/>
    <s v="RSNOR - Regional Seminovos Varejo Norte"/>
    <s v="LJBEL - Vendas Varejo Seminovos Belém"/>
    <s v="REINALDO GERSON FERREIRA DA SILVA"/>
    <s v="POSITIVO"/>
    <d v="1900-01-05T04:10:00"/>
    <d v="1899-12-30T00:00:00"/>
    <d v="1900-01-05T04:10:00"/>
    <s v=" "/>
    <s v=" "/>
    <s v=" "/>
    <s v=" "/>
    <d v="1899-12-31T02:58:00"/>
    <d v="1900-01-01T01:37:00"/>
    <d v="1900-01-01T07:20:00"/>
    <s v=" "/>
    <s v=" "/>
    <s v=" "/>
    <s v=" "/>
    <s v=" "/>
    <s v="Ativo"/>
    <s v="CONSULTOR DE VENDAS"/>
    <x v="7"/>
    <s v="LJBEL"/>
  </r>
  <r>
    <n v="133350"/>
    <s v="ALMIRO FERREIRA PILOTO"/>
    <s v="Diretoria Seminovos"/>
    <s v="RSNOR - Regional Seminovos Varejo Norte"/>
    <s v="LJBEL - Vendas Varejo Seminovos Belém"/>
    <s v="REINALDO GERSON FERREIRA DA SILVA"/>
    <s v="POSITIVO"/>
    <d v="1900-01-04T22:29:00"/>
    <d v="1899-12-30T00:00:00"/>
    <d v="1900-01-04T22:29:00"/>
    <s v=" "/>
    <s v=" "/>
    <s v=" "/>
    <s v=" "/>
    <d v="1899-12-30T11:08:00"/>
    <d v="1900-01-01T20:22:00"/>
    <d v="1899-12-31T12:07:00"/>
    <s v=" "/>
    <s v=" "/>
    <s v=" "/>
    <s v=" "/>
    <s v=" "/>
    <s v="Ativo"/>
    <s v="CONSULTOR DE VENDAS"/>
    <x v="7"/>
    <s v="LJBEL"/>
  </r>
  <r>
    <n v="124001"/>
    <s v="SEBASTIAO CLEMENTINO DA COSTA JUNIOR"/>
    <s v="Diretoria Seminovos"/>
    <s v="RSNOR - Regional Seminovos Varejo Norte"/>
    <s v="LJBEL - Vendas Varejo Seminovos Belém"/>
    <s v="REINALDO GERSON FERREIRA DA SILVA"/>
    <s v="POSITIVO"/>
    <d v="1900-01-03T13:42:00"/>
    <d v="1899-12-30T00:00:00"/>
    <d v="1900-01-03T13:42:00"/>
    <s v=" "/>
    <s v=" "/>
    <s v=" "/>
    <s v=" "/>
    <s v=" "/>
    <d v="1900-01-02T19:29:00"/>
    <d v="1899-12-30T08:44:00"/>
    <s v=" "/>
    <s v=" "/>
    <s v=" "/>
    <s v=" "/>
    <s v=" "/>
    <s v="Ativo"/>
    <s v="CONSULTOR DE VENDAS"/>
    <x v="7"/>
    <s v="LJBEL"/>
  </r>
  <r>
    <n v="130740"/>
    <s v="LEIRY SOARES DA SILVA"/>
    <s v="Diretoria Seminovos"/>
    <s v="RSNOR - Regional Seminovos Varejo Norte"/>
    <s v="LJMNS - Vendas Varejo Seminovos Manaus"/>
    <s v="PEDRO GOMES COSTA MOTA"/>
    <s v="POSITIVO"/>
    <d v="1900-01-03T22:12:00"/>
    <d v="1899-12-30T00:00:00"/>
    <d v="1900-01-03T22:12:00"/>
    <s v=" "/>
    <s v=" "/>
    <s v=" "/>
    <s v=" "/>
    <s v=" "/>
    <d v="1899-12-30T04:59:00"/>
    <d v="1900-01-02T00:31:00"/>
    <s v=" "/>
    <s v=" "/>
    <s v=" "/>
    <s v=" "/>
    <s v=" "/>
    <s v="Ativo"/>
    <s v="CONSULTOR DE VENDAS"/>
    <x v="7"/>
    <s v="LJMNS"/>
  </r>
  <r>
    <n v="134673"/>
    <s v="ALESSANDRO FERREIRA DE SOUZA"/>
    <s v="Diretoria Seminovos"/>
    <s v="RSNOR - Regional Seminovos Varejo Norte"/>
    <s v="LJMNS - Vendas Varejo Seminovos Manaus"/>
    <s v="PEDRO GOMES COSTA MOTA"/>
    <s v="POSITIVO"/>
    <d v="1900-01-02T06:32:00"/>
    <d v="1899-12-30T00:00:00"/>
    <d v="1900-01-02T06:32:00"/>
    <s v=" "/>
    <s v=" "/>
    <s v=" "/>
    <s v=" "/>
    <s v=" "/>
    <d v="1899-12-31T18:40:00"/>
    <d v="1899-12-30T19:05:00"/>
    <s v=" "/>
    <s v=" "/>
    <s v=" "/>
    <s v=" "/>
    <s v=" "/>
    <s v="Ativo"/>
    <s v="CONSULTOR DE VENDAS"/>
    <x v="7"/>
    <s v="LJMNS"/>
  </r>
  <r>
    <n v="131648"/>
    <s v="CARLOS BONY COSTA ARAUJO"/>
    <s v="Diretoria Seminovos"/>
    <s v="RSNOR - Regional Seminovos Varejo Norte"/>
    <s v="LJMAB - Vendas Varejo Seminovos Marabá"/>
    <s v="JORGE LUIS GONCALVES DE ARAUJO"/>
    <s v="POSITIVO"/>
    <d v="1900-01-01T02:39:00"/>
    <d v="1899-12-30T00:00:00"/>
    <d v="1900-01-01T02:39:00"/>
    <s v=" "/>
    <d v="1899-12-30T03:21:00"/>
    <s v=" "/>
    <s v=" "/>
    <d v="1899-12-30T07:19:00"/>
    <d v="1899-12-31T15:59:00"/>
    <s v=" "/>
    <s v=" "/>
    <s v=" "/>
    <s v=" "/>
    <s v=" "/>
    <s v=" "/>
    <s v="Contrato de Trabalho Suspenso"/>
    <s v="CONSULTOR DE VENDAS"/>
    <x v="7"/>
    <s v="LJMAB"/>
  </r>
  <r>
    <n v="503475"/>
    <s v="MODESTINO DE SOUZA DOURADO JUNIOR"/>
    <s v="Diretoria Seminovos"/>
    <s v="RSNOR - Regional Seminovos Varejo Norte"/>
    <s v="LJMAB - Vendas Varejo Seminovos Marabá"/>
    <s v="JORGE LUIS GONCALVES DE ARAUJO"/>
    <s v="POSITIVO"/>
    <d v="1900-01-01T02:30:00"/>
    <d v="1899-12-30T00:00:00"/>
    <d v="1900-01-01T02:30:00"/>
    <s v=" "/>
    <s v=" "/>
    <s v=" "/>
    <s v=" "/>
    <d v="1899-12-30T00:44:00"/>
    <d v="1899-12-31T05:24:00"/>
    <d v="1899-12-30T18:28:00"/>
    <s v=" "/>
    <s v=" "/>
    <s v=" "/>
    <s v=" "/>
    <s v=" "/>
    <s v="Ativo"/>
    <s v="CONSULTOR DE VENDAS"/>
    <x v="7"/>
    <s v="LJMAB"/>
  </r>
  <r>
    <n v="134647"/>
    <s v="RAMILSON FERREIRA DA SILVA"/>
    <s v="Diretoria Seminovos"/>
    <s v="RSNOR - Regional Seminovos Varejo Norte"/>
    <s v="LJBEL - Vendas Varejo Seminovos Belém"/>
    <s v="REINALDO GERSON FERREIRA DA SILVA"/>
    <s v="POSITIVO"/>
    <d v="1899-12-31T20:38:00"/>
    <d v="1899-12-30T00:00:00"/>
    <d v="1899-12-31T20:38:00"/>
    <s v=" "/>
    <s v=" "/>
    <s v=" "/>
    <s v=" "/>
    <d v="1899-12-30T04:45:00"/>
    <d v="1899-12-31T15:53:00"/>
    <s v=" "/>
    <s v=" "/>
    <s v=" "/>
    <s v=" "/>
    <s v=" "/>
    <s v=" "/>
    <s v="Contrato de Trabalho Suspenso"/>
    <s v="CONSULTOR DE VENDAS"/>
    <x v="7"/>
    <s v="LJBEL"/>
  </r>
  <r>
    <n v="132259"/>
    <s v="ALLYSSON CORREA LIMA"/>
    <s v="Diretoria Seminovos"/>
    <s v="RSNOR - Regional Seminovos Varejo Norte"/>
    <s v="LJSLM - Vendas Varejo Seminovos Senador Lemos Belém"/>
    <s v="EDINELSON VALENTE BARREIROS"/>
    <s v="POSITIVO"/>
    <d v="1899-12-31T18:23:00"/>
    <d v="1899-12-30T00:00:00"/>
    <d v="1899-12-31T18:23:00"/>
    <s v=" "/>
    <s v=" "/>
    <s v=" "/>
    <s v=" "/>
    <d v="1899-12-30T06:33:00"/>
    <d v="1899-12-31T11:50:00"/>
    <s v=" "/>
    <s v=" "/>
    <s v=" "/>
    <s v=" "/>
    <s v=" "/>
    <s v=" "/>
    <s v="Contrato de Trabalho Suspenso"/>
    <s v="CONSULTOR DE VENDAS"/>
    <x v="7"/>
    <s v="LJSLM"/>
  </r>
  <r>
    <n v="135232"/>
    <s v="CHARLES PINTO PAIXAO"/>
    <s v="Diretoria Seminovos"/>
    <s v="RSNOR - Regional Seminovos Varejo Norte"/>
    <s v="LJBEL - Vendas Varejo Seminovos Belém"/>
    <s v="REINALDO GERSON FERREIRA DA SILVA"/>
    <s v="POSITIVO"/>
    <d v="1900-01-01T08:37:00"/>
    <d v="1899-12-30T00:00:00"/>
    <d v="1900-01-01T08:37:00"/>
    <s v=" "/>
    <s v=" "/>
    <s v=" "/>
    <s v=" "/>
    <s v=" "/>
    <d v="1899-12-30T01:48:00"/>
    <d v="1899-12-31T16:34:00"/>
    <s v=" "/>
    <s v=" "/>
    <s v=" "/>
    <s v=" "/>
    <s v=" "/>
    <s v="Ativo"/>
    <s v="CONSULTOR DE VENDAS"/>
    <x v="7"/>
    <s v="LJBEL"/>
  </r>
  <r>
    <n v="131296"/>
    <s v="MARCELLO SOARES DE MENEZES SERRA"/>
    <s v="Diretoria Seminovos"/>
    <s v="RSNOR - Regional Seminovos Varejo Norte"/>
    <s v="LJMNS - Vendas Varejo Seminovos Manaus"/>
    <s v="PEDRO GOMES COSTA MOTA"/>
    <s v="POSITIVO"/>
    <d v="1900-01-01T11:04:00"/>
    <d v="1899-12-30T00:00:00"/>
    <d v="1900-01-01T11:04:00"/>
    <s v=" "/>
    <s v=" "/>
    <s v=" "/>
    <s v=" "/>
    <s v=" "/>
    <d v="1899-12-30T17:33:00"/>
    <d v="1899-12-30T19:28:00"/>
    <s v=" "/>
    <s v=" "/>
    <s v=" "/>
    <s v=" "/>
    <s v=" "/>
    <s v="Ativo"/>
    <s v="CONSULTOR DE VENDAS"/>
    <x v="7"/>
    <s v="LJMNS"/>
  </r>
  <r>
    <n v="131560"/>
    <s v="REGIELSON LIMA DA SILVA"/>
    <s v="Diretoria Seminovos"/>
    <s v="RSNOR - Regional Seminovos Varejo Norte"/>
    <s v="LJIMP - Vendas Varejo Seminovos Imperatriz"/>
    <s v="SIDNEY CLEY CUNHA DURAND PINTO"/>
    <s v="POSITIVO"/>
    <d v="1899-12-31T09:04:00"/>
    <d v="1899-12-30T00:00:00"/>
    <d v="1899-12-31T09:04:00"/>
    <s v=" "/>
    <s v=" "/>
    <s v=" "/>
    <s v=" "/>
    <s v=" "/>
    <s v=" "/>
    <s v=" "/>
    <s v=" "/>
    <s v=" "/>
    <s v=" "/>
    <d v="1899-12-30T23:16:00"/>
    <d v="1899-12-30T09:50:00"/>
    <s v="Ativo"/>
    <s v="CONSULTOR DE VENDAS"/>
    <x v="7"/>
    <s v="LJIMP"/>
  </r>
  <r>
    <n v="501712"/>
    <s v="ALLISSON ALBERTO DA ROCHA CHAVES"/>
    <s v="Diretoria Seminovos"/>
    <s v="RSNOR - Regional Seminovos Varejo Norte"/>
    <s v="LJCAM - Vendas Varejo Seminovos Capim Macio"/>
    <s v="GILSON GUTEMBERG COSTA DA CRUZ"/>
    <s v="POSITIVO"/>
    <d v="1899-12-31T02:00:00"/>
    <d v="1899-12-30T00:00:00"/>
    <d v="1899-12-31T02:00:00"/>
    <s v=" "/>
    <s v=" "/>
    <s v=" "/>
    <s v=" "/>
    <s v=" "/>
    <s v=" "/>
    <s v=" "/>
    <s v=" "/>
    <s v=" "/>
    <s v=" "/>
    <d v="1899-12-31T02:00:00"/>
    <s v=" "/>
    <s v="Ativo"/>
    <s v="CONSULTOR DE VENDAS"/>
    <x v="7"/>
    <s v="LJCAM"/>
  </r>
  <r>
    <n v="130476"/>
    <s v="WELLGHTON LUIS DA COSTA"/>
    <s v="Diretoria Seminovos"/>
    <s v="RSNOR - Regional Seminovos Varejo Norte"/>
    <s v="LJCAM - Vendas Varejo Seminovos Capim Macio"/>
    <s v="GILSON GUTEMBERG COSTA DA CRUZ"/>
    <s v="POSITIVO"/>
    <d v="1899-12-31T00:00:00"/>
    <d v="1899-12-30T00:00:00"/>
    <d v="1899-12-31T00:00:00"/>
    <s v=" "/>
    <s v=" "/>
    <s v=" "/>
    <s v=" "/>
    <s v=" "/>
    <s v=" "/>
    <s v=" "/>
    <s v=" "/>
    <s v=" "/>
    <s v=" "/>
    <d v="1899-12-31T00:00:00"/>
    <s v=" "/>
    <s v="Contrato de Trabalho Suspenso"/>
    <s v="CONSULTOR DE VENDAS"/>
    <x v="7"/>
    <s v="LJCAM"/>
  </r>
  <r>
    <n v="135056"/>
    <s v="RODRIGO ALMEIDA DE OLIVEIRA"/>
    <s v="Diretoria Seminovos"/>
    <s v="RSNOR - Regional Seminovos Varejo Norte"/>
    <s v="LJMNS - Vendas Varejo Seminovos Manaus"/>
    <s v="PEDRO GOMES COSTA MOTA"/>
    <s v="POSITIVO"/>
    <d v="1899-12-30T21:13:00"/>
    <d v="1899-12-30T00:00:00"/>
    <d v="1899-12-30T21:13:00"/>
    <s v=" "/>
    <s v=" "/>
    <s v=" "/>
    <s v=" "/>
    <s v=" "/>
    <d v="1899-12-30T21:04:00"/>
    <d v="1899-12-30T00:09:00"/>
    <s v=" "/>
    <s v=" "/>
    <s v=" "/>
    <s v=" "/>
    <s v=" "/>
    <s v="Contrato de Trabalho Suspenso"/>
    <s v="CONSULTOR DE VENDAS"/>
    <x v="7"/>
    <s v="LJMNS"/>
  </r>
  <r>
    <n v="125288"/>
    <s v="MARCELO VON RANDOW RATTES JUNIOR"/>
    <s v="Diretoria Seminovos"/>
    <s v="RSNOR - Regional Seminovos Varejo Norte"/>
    <s v="LJMAB - Vendas Varejo Seminovos Marabá"/>
    <s v="JORGE LUIS GONCALVES DE ARAUJO"/>
    <s v="POSITIVO"/>
    <d v="1899-12-30T22:19:00"/>
    <d v="1899-12-30T00:00:00"/>
    <d v="1899-12-30T22:19:00"/>
    <s v=" "/>
    <s v=" "/>
    <s v=" "/>
    <s v=" "/>
    <s v=" "/>
    <d v="1899-12-30T18:19:00"/>
    <d v="1899-12-30T02:49:00"/>
    <s v=" "/>
    <s v=" "/>
    <s v=" "/>
    <s v=" "/>
    <s v=" "/>
    <s v="Ativo"/>
    <s v="CONSULTOR DE VENDAS"/>
    <x v="7"/>
    <s v="LJMAB"/>
  </r>
  <r>
    <n v="502631"/>
    <s v="ANTONIO JORGE DA SILVA COSTA"/>
    <s v="Diretoria Seminovos"/>
    <s v="RSNOR - Regional Seminovos Varejo Norte"/>
    <s v="LJMAB - Vendas Varejo Seminovos Marabá"/>
    <s v="JORGE LUIS GONCALVES DE ARAUJO"/>
    <s v="POSITIVO"/>
    <d v="1899-12-30T22:56:00"/>
    <d v="1899-12-30T00:00:00"/>
    <d v="1899-12-30T22:56:00"/>
    <s v=" "/>
    <s v=" "/>
    <s v=" "/>
    <s v=" "/>
    <s v=" "/>
    <s v=" "/>
    <d v="1899-12-30T16:16:00"/>
    <s v=" "/>
    <s v=" "/>
    <s v=" "/>
    <s v=" "/>
    <s v=" "/>
    <s v="Ativo"/>
    <s v="CONSULTOR DE VENDAS"/>
    <x v="7"/>
    <s v="LJMAB"/>
  </r>
  <r>
    <n v="133786"/>
    <s v="NELSON FLORES DOS SANTOS FILHO"/>
    <s v="Diretoria Seminovos"/>
    <s v="RSNOR - Regional Seminovos Varejo Norte"/>
    <s v="LJBEL - Vendas Varejo Seminovos Belém"/>
    <s v="REINALDO GERSON FERREIRA DA SILVA"/>
    <s v="POSITIVO"/>
    <d v="1899-12-31T03:32:00"/>
    <d v="1899-12-30T00:00:00"/>
    <d v="1899-12-31T03:32:00"/>
    <s v=" "/>
    <s v=" "/>
    <s v=" "/>
    <s v=" "/>
    <s v=" "/>
    <s v=" "/>
    <d v="1899-12-30T14:40:00"/>
    <s v=" "/>
    <s v=" "/>
    <s v=" "/>
    <s v=" "/>
    <s v=" "/>
    <s v="Ativo"/>
    <s v="CONSULTOR DE VENDAS"/>
    <x v="7"/>
    <s v="LJBEL"/>
  </r>
  <r>
    <n v="132914"/>
    <s v="FABIANO KLEVERSON DE BARROS"/>
    <s v="Diretoria Seminovos"/>
    <s v="RSNOR - Regional Seminovos Varejo Norte"/>
    <s v="LJFZA - Vendas Varejo Seminovos Fortaleza"/>
    <s v="HUGO ROHSNER BEZERRA"/>
    <s v="POSITIVO"/>
    <d v="1899-12-30T20:16:00"/>
    <d v="1899-12-30T00:00:00"/>
    <d v="1899-12-30T20:16:00"/>
    <s v=" "/>
    <s v=" "/>
    <s v=" "/>
    <s v=" "/>
    <s v=" "/>
    <d v="1899-12-30T01:20:00"/>
    <d v="1899-12-30T12:50:00"/>
    <s v=" "/>
    <s v=" "/>
    <s v=" "/>
    <s v=" "/>
    <s v=" "/>
    <s v="Ativo"/>
    <s v="CONSULTOR DE VENDAS"/>
    <x v="7"/>
    <s v="LJFZA"/>
  </r>
  <r>
    <n v="132542"/>
    <s v="LINDEMBERGH DE SOUSA SILVA"/>
    <s v="Diretoria Seminovos"/>
    <s v="RSNOR - Regional Seminovos Varejo Norte"/>
    <s v="LJIMP - Vendas Varejo Seminovos Imperatriz"/>
    <s v="SIDNEY CLEY CUNHA DURAND PINTO"/>
    <s v="POSITIVO"/>
    <d v="1899-12-30T04:13:00"/>
    <d v="1899-12-30T00:00:00"/>
    <d v="1899-12-30T04:13:00"/>
    <s v=" "/>
    <s v=" "/>
    <s v=" "/>
    <s v=" "/>
    <s v=" "/>
    <s v=" "/>
    <s v=" "/>
    <s v=" "/>
    <s v=" "/>
    <s v=" "/>
    <s v=" "/>
    <d v="1899-12-30T01:48:00"/>
    <s v="Ativo"/>
    <s v="CONSULTOR DE VENDAS"/>
    <x v="7"/>
    <s v="LJIMP"/>
  </r>
  <r>
    <n v="134121"/>
    <s v="AGNON ALMEIDA RIBEIRO"/>
    <s v="Diretoria Seminovos"/>
    <s v="RSNOR - Regional Seminovos Varejo Norte"/>
    <s v="LJSLS - Vendas Varejo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SLS"/>
  </r>
  <r>
    <n v="135578"/>
    <s v="ALLIANE ALVES DOS SANTOS"/>
    <s v="Diretoria Seminovos"/>
    <s v="RSNOR - Regional Seminovos Varejo Norte"/>
    <s v="LJNAN - Vendas Varejo Seminovos Natal"/>
    <s v="AIVERTON FERREIRA DE ARAUJO TOR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NAN"/>
  </r>
  <r>
    <n v="501815"/>
    <s v="ANTONIO BATISTA DO NASCIMENTO FILHO"/>
    <s v="Diretoria Seminovos"/>
    <s v="RSNOR - Regional Seminovos Varejo Norte"/>
    <s v="LJTER - Vendas Varejo Seminovos Teresina"/>
    <s v="EDUARDO LUCAS DOS SAN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TER"/>
  </r>
  <r>
    <n v="132565"/>
    <s v="CLAUDIO FERNANDO ANDRADE DA SILVA"/>
    <s v="Diretoria Seminovos"/>
    <s v="RSNOR - Regional Seminovos Varejo Norte"/>
    <s v="LJNAN - Vendas Varejo Seminovos Natal"/>
    <s v="AIVERTON FERREIRA DE ARAUJO TOR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NAN"/>
  </r>
  <r>
    <n v="133121"/>
    <s v="DANIEL RODRIGUES CARNEIRO"/>
    <s v="Diretoria Seminovos"/>
    <s v="RSNOR - Regional Seminovos Varejo Norte"/>
    <s v="LJFTZ - Vendas Varejo Seminovos Fortaleza Santos Dumont"/>
    <s v="THYAGO GUILHERME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FTZ"/>
  </r>
  <r>
    <n v="123419"/>
    <s v="DARCIDES DE CASTRO MARTINS JUNIOR"/>
    <s v="Diretoria Seminovos"/>
    <s v="RSNOR - Regional Seminovos Varejo Norte"/>
    <s v="LJSLM - Vendas Varejo Seminovos Senador Lemos Belém"/>
    <s v="EDINELSON VALENTE BARREIR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SLM"/>
  </r>
  <r>
    <n v="133977"/>
    <s v="DJALMA ACRISIO PINHEIRO JUNIOR"/>
    <s v="Diretoria Seminovos"/>
    <s v="RSNOR - Regional Seminovos Varejo Norte"/>
    <s v="LJSLS - Vendas Varejo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SLS"/>
  </r>
  <r>
    <n v="135459"/>
    <s v="EDUARDO RODRIGO ARAUJO DUARTE"/>
    <s v="Diretoria Seminovos"/>
    <s v="RSNOR - Regional Seminovos Varejo Norte"/>
    <s v="LJCAM - Vendas Varejo Seminovos Capim Macio"/>
    <s v="GILSON GUTEMBERG COSTA DA CRU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CAM"/>
  </r>
  <r>
    <n v="136703"/>
    <s v="FABIO BRUNO RODRIGUES DA TRINDADE"/>
    <s v="Diretoria Seminovos"/>
    <s v="RSNOR - Regional Seminovos Varejo Norte"/>
    <s v="LJSLM - Vendas Varejo Seminovos Senador Lemos Belém"/>
    <s v="EDINELSON VALENTE BARREIR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SLM"/>
  </r>
  <r>
    <n v="135801"/>
    <s v="FLAVIO GONCALVES CIRILO"/>
    <s v="Diretoria Seminovos"/>
    <s v="RSNOR - Regional Seminovos Varejo Norte"/>
    <s v="LJNAN - Vendas Varejo Seminovos Natal"/>
    <s v="AIVERTON FERREIRA DE ARAUJO TOR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NAN"/>
  </r>
  <r>
    <n v="125190"/>
    <s v="JACQUELINE FREITAS DE LIMA"/>
    <s v="Diretoria Seminovos"/>
    <s v="RSNOR - Regional Seminovos Varejo Norte"/>
    <s v="LJSJB - Vendas Varejo Seminovos Fortaleza São Jose Bastos"/>
    <s v="RAFAEL CARNEIRO DE MORA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SJB"/>
  </r>
  <r>
    <n v="134601"/>
    <s v="JOAB DE FREITAS BEZERRA"/>
    <s v="Diretoria Seminovos"/>
    <s v="RSNOR - Regional Seminovos Varejo Norte"/>
    <s v="LJNAN - Vendas Varejo Seminovos Natal"/>
    <s v="AIVERTON FERREIRA DE ARAUJO TOR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7"/>
    <s v="LJNAN"/>
  </r>
  <r>
    <n v="135215"/>
    <s v="JOAO DOS SANTOS FILHO"/>
    <s v="Diretoria Seminovos"/>
    <s v="RSNOR - Regional Seminovos Varejo Norte"/>
    <s v="LJJZN - Vendas Varejo Seminovos Juazeiro do Norte"/>
    <s v="JACKSON SANTOS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JZN"/>
  </r>
  <r>
    <n v="131460"/>
    <s v="JOSE CLEZIO VIEIRA DANTAS JUNIOR"/>
    <s v="Diretoria Seminovos"/>
    <s v="RSNOR - Regional Seminovos Varejo Norte"/>
    <s v="LJJZN - Vendas Varejo Seminovos Juazeiro do Norte"/>
    <s v="JACKSON SANTOS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JZN"/>
  </r>
  <r>
    <n v="123942"/>
    <s v="JOSILDO ALVES PINHEIRO JUNIOR"/>
    <s v="Diretoria Seminovos"/>
    <s v="RSNOR - Regional Seminovos Varejo Norte"/>
    <s v="LJTER - Vendas Varejo Seminovos Teresina"/>
    <s v="EDUARDO LUCAS DOS SAN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TER"/>
  </r>
  <r>
    <n v="501469"/>
    <s v="ADEILSON MEDEIROS DE ARAUJO"/>
    <s v="Diretoria Seminovos"/>
    <s v="RSNOR - Regional Seminovos Varejo Norte"/>
    <s v="LJCAM - Loja Seminovos Capim Macio"/>
    <s v="GILSON GUTEMBERG COSTA DA CRU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7"/>
    <s v="LJCAM"/>
  </r>
  <r>
    <n v="133835"/>
    <s v="ADRIANA BENTO VIANA LIMA"/>
    <s v="Diretoria Seminovos"/>
    <s v="RSNOR - Regional Seminovos Varejo Norte"/>
    <s v="LJJZN - Loja Seminovos Juazeiro do Norte"/>
    <s v="JACKSON SANTOS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7"/>
    <s v="LJJZN"/>
  </r>
  <r>
    <n v="132737"/>
    <s v="ADRIANA RAMOS BOTELHO"/>
    <s v="Diretoria Seminovos"/>
    <s v="RSNOR - Regional Seminovos Varejo Norte"/>
    <s v="LJNAN - Loja Seminovos Natal"/>
    <s v="AIVERTON FERREIRA DE ARAUJO TORRES"/>
    <s v="POSITIVO"/>
    <d v="1899-12-30T08:00:00"/>
    <d v="1899-12-30T00:00:00"/>
    <d v="1899-12-30T08:00:00"/>
    <s v=" "/>
    <s v=" "/>
    <s v=" "/>
    <s v=" "/>
    <s v=" "/>
    <s v=" "/>
    <s v=" "/>
    <s v=" "/>
    <s v=" "/>
    <s v=" "/>
    <s v=" "/>
    <s v=" "/>
    <s v="Ativo"/>
    <s v="AUX. DE SERVICOS GERAIS - DIRCS"/>
    <x v="7"/>
    <s v="LJNAN"/>
  </r>
  <r>
    <n v="131051"/>
    <s v="ROBSON DE SOUZA SANTOS"/>
    <s v="Diretoria Seminovos"/>
    <s v="RSNOR - Regional Seminovos Varejo Norte"/>
    <s v="LJSLS - Vendas Varejo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SLS"/>
  </r>
  <r>
    <n v="136257"/>
    <s v="SAYMON DOUGLAS SILVA DO NASCIMENTO BESERRA"/>
    <s v="Diretoria Seminovos"/>
    <s v="RSNOR - Regional Seminovos Varejo Norte"/>
    <s v="LJFTZ - Vendas Varejo Seminovos Fortaleza Santos Dumont"/>
    <s v="THYAGO GUILHERME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FTZ"/>
  </r>
  <r>
    <n v="135399"/>
    <s v="THOME VINICIUS ROLIM CANTANHEDE"/>
    <s v="Diretoria Seminovos"/>
    <s v="RSNOR - Regional Seminovos Varejo Norte"/>
    <s v="LJSLS - Vendas Varejo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SLS"/>
  </r>
  <r>
    <n v="136980"/>
    <s v="JOSIANE DE ALMEIDA RESKI"/>
    <s v="Diretoria Seminovos"/>
    <s v="RSNOR - Regional Seminovos Varejo Norte"/>
    <s v="LJPVH - Loja Seminovos Porto Velho"/>
    <s v="SHELLY DE OLIVEIRA SOUZ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7"/>
    <s v="LJPVH"/>
  </r>
  <r>
    <n v="135468"/>
    <s v="JOSIMAR SOUSA DA SILVA"/>
    <s v="Diretoria Seminovos"/>
    <s v="RSNOR - Regional Seminovos Varejo Norte"/>
    <s v="LJIMP - Loja Seminovos Imperatriz"/>
    <s v="SIDNEY CLEY CUNHA DURAND PINTO"/>
    <s v="POSITIVO"/>
    <d v="1899-12-31T02:00:00"/>
    <d v="1899-12-30T00:00:00"/>
    <d v="1899-12-31T02:00:00"/>
    <s v=" "/>
    <s v=" "/>
    <s v=" "/>
    <s v=" "/>
    <s v=" "/>
    <s v=" "/>
    <s v=" "/>
    <s v=" "/>
    <s v=" "/>
    <s v=" "/>
    <d v="1899-12-30T10:23:00"/>
    <d v="1899-12-30T13:30:00"/>
    <s v="Ativo"/>
    <s v="HIGIENIZADOR DE CARROS"/>
    <x v="7"/>
    <s v="LJIMP"/>
  </r>
  <r>
    <n v="125904"/>
    <s v="MARIA CLAUDIA INACIO MORENO"/>
    <s v="Diretoria Seminovos"/>
    <s v="RSNOR - Regional Seminovos Varejo Norte"/>
    <s v="LJFZA - Loja Seminovos Fortaleza"/>
    <s v="HUGO ROHSNER BEZERRA"/>
    <s v="POSITIVO"/>
    <d v="1899-12-31T00:06:00"/>
    <d v="1899-12-30T00:00:00"/>
    <d v="1899-12-31T00:06:00"/>
    <s v=" "/>
    <s v=" "/>
    <s v=" "/>
    <s v=" "/>
    <s v=" "/>
    <s v=" "/>
    <d v="1899-12-30T19:55:00"/>
    <s v=" "/>
    <s v=" "/>
    <s v=" "/>
    <s v=" "/>
    <s v=" "/>
    <s v="Ativo"/>
    <s v="AUX. DE SERVICOS GERAIS - DIRCS"/>
    <x v="7"/>
    <s v="LJFZA"/>
  </r>
  <r>
    <n v="502375"/>
    <s v="MARIA DA CONCEICAO MARQUES RODRIGUES"/>
    <s v="Diretoria Seminovos"/>
    <s v="RSNOR - Regional Seminovos Varejo Norte"/>
    <s v="LJTER - Loja Seminovos Teresina"/>
    <s v="EDUARDO LUCAS DOS SAN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7"/>
    <s v="LJTER"/>
  </r>
  <r>
    <n v="118514"/>
    <s v="MARIA DEUSANEIDE RIBEIRO MENDES MODESTO"/>
    <s v="Diretoria Seminovos"/>
    <s v="RSNOR - Regional Seminovos Varejo Norte"/>
    <s v="LJBEL - Loja Seminovos Belém"/>
    <s v="REINALDO GERSON FERREIRA DA SILVA"/>
    <s v="POSITIVO"/>
    <d v="1899-12-30T06:46:00"/>
    <d v="1899-12-30T00:00:00"/>
    <d v="1899-12-30T06:46:00"/>
    <s v=" "/>
    <s v=" "/>
    <s v=" "/>
    <s v=" "/>
    <s v=" "/>
    <d v="1899-12-30T00:09:00"/>
    <d v="1899-12-30T04:20:00"/>
    <s v=" "/>
    <s v=" "/>
    <s v=" "/>
    <s v=" "/>
    <s v=" "/>
    <s v="Ativo"/>
    <s v="AUX. DE SERVICOS GERAIS - DIRCS"/>
    <x v="7"/>
    <s v="LJBEL"/>
  </r>
  <r>
    <n v="501783"/>
    <s v="MARIA LUCIA BORGES DOS SANTOS"/>
    <s v="Diretoria Seminovos"/>
    <s v="RSNOR - Regional Seminovos Varejo Norte"/>
    <s v="LJSLS - Loja Seminovos São Luis"/>
    <s v="MARIO JORGE MENDONCA MIRAND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7"/>
    <s v="LJSLS"/>
  </r>
  <r>
    <n v="117827"/>
    <s v="NEULIANE ALVES AZEVEDO"/>
    <s v="Diretoria Seminovos"/>
    <s v="RSNOR - Regional Seminovos Varejo Norte"/>
    <s v="LJFTZ - Loja Seminovos Fortaleza Santos Dumont"/>
    <s v="THYAGO GUILHERME DE OLIVEIR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7"/>
    <s v="LJFTZ"/>
  </r>
  <r>
    <n v="118483"/>
    <s v="RAIMUNDO WILYA CONCEICAO DOS SANTOS"/>
    <s v="Diretoria Seminovos"/>
    <s v="RSNOR - Regional Seminovos Varejo Norte"/>
    <s v="LJMAB - Loja Seminovos Marabá"/>
    <s v="JORGE LUIS GONCALVES DE ARAUJO"/>
    <s v="POSITIVO"/>
    <d v="1899-12-30T06:37:00"/>
    <d v="1899-12-30T00:00:00"/>
    <d v="1899-12-30T06:37:00"/>
    <s v=" "/>
    <s v=" "/>
    <s v=" "/>
    <s v=" "/>
    <s v=" "/>
    <d v="1899-12-30T04:19:00"/>
    <d v="1899-12-30T01:55:00"/>
    <s v=" "/>
    <s v=" "/>
    <s v=" "/>
    <s v=" "/>
    <s v=" "/>
    <s v="Ativo"/>
    <s v="HIGIENIZADOR DE CARROS"/>
    <x v="7"/>
    <s v="LJMAB"/>
  </r>
  <r>
    <n v="137177"/>
    <s v="RODRIGO CARMONA DE FREITAS"/>
    <s v="Diretoria Seminovos"/>
    <s v="RSNOR - Regional Seminovos Varejo Norte"/>
    <s v="LJPVH - Vendas Varejo Seminovos Porto Velho"/>
    <s v="SHELLY DE OLIVEIRA SOUZ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7"/>
    <s v="LJPVH"/>
  </r>
  <r>
    <n v="131492"/>
    <s v="RONILSON DA SILVA CIPRIANO"/>
    <s v="Diretoria Seminovos"/>
    <s v="RSNOR - Regional Seminovos Varejo Norte"/>
    <s v="LJJZN - Loja Seminovos Juazeiro do Norte"/>
    <s v="JACKSON SANTOS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7"/>
    <s v="LJJZN"/>
  </r>
  <r>
    <n v="114218"/>
    <s v="ROSEMARY DO SOCORRO NASCIMENTO DOS SANTOS"/>
    <s v="Diretoria Seminovos"/>
    <s v="RSNOR - Regional Seminovos Varejo Norte"/>
    <s v="LJSLM - Loja Seminovos Senador Lemos Belém"/>
    <s v="EDINELSON VALENTE BARREIR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7"/>
    <s v="LJSLM"/>
  </r>
  <r>
    <n v="136044"/>
    <s v="TATIANA NOGUEIRA DA SILVA"/>
    <s v="Diretoria Seminovos"/>
    <s v="RSNOR - Regional Seminovos Varejo Norte"/>
    <s v="LJMNS - Loja Seminovos Manaus"/>
    <s v="PEDRO GOMES COSTA MOTA"/>
    <s v="POSITIVO"/>
    <d v="1899-12-30T03:40:00"/>
    <d v="1899-12-30T00:00:00"/>
    <d v="1899-12-30T03:40:00"/>
    <s v=" "/>
    <s v=" "/>
    <s v=" "/>
    <s v=" "/>
    <s v=" "/>
    <s v=" "/>
    <d v="1899-12-30T01:04:00"/>
    <s v=" "/>
    <s v=" "/>
    <s v=" "/>
    <s v=" "/>
    <s v=" "/>
    <s v="Ativo"/>
    <s v="AUX. DE SERVICOS GERAIS - DIRCS"/>
    <x v="7"/>
    <s v="LJMNS"/>
  </r>
  <r>
    <n v="501872"/>
    <s v="WEDSON EDIVALDO DA SILVA"/>
    <s v="Diretoria Seminovos"/>
    <s v="RSNOR - Regional Seminovos Varejo Norte"/>
    <s v="LJCAM - Loja Seminovos Capim Macio"/>
    <s v="GILSON GUTEMBERG COSTA DA CRU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HIGIENIZADOR DE CARROS"/>
    <x v="7"/>
    <s v="LJCAM"/>
  </r>
  <r>
    <n v="503258"/>
    <s v="ANDERSON CLAYTON DE OLIVEIRA"/>
    <s v="Diretoria Seminovos"/>
    <s v="RSRIO - Regional Seminovos Varejo Rio de Janeiro"/>
    <s v="LJBAR - Vendas Varejo Seminovos Barra da Tijuca"/>
    <s v="FABIO PINTO PEREZ"/>
    <s v="POSITIVO"/>
    <d v="1900-01-01T16:57:00"/>
    <d v="1899-12-30T00:00:00"/>
    <d v="1900-01-01T16:57:00"/>
    <s v=" "/>
    <s v=" "/>
    <d v="1899-12-31T05:41:00"/>
    <d v="1899-12-30T15:23:00"/>
    <s v=" "/>
    <s v=" "/>
    <s v=" "/>
    <s v=" "/>
    <s v=" "/>
    <s v=" "/>
    <s v=" "/>
    <s v=" "/>
    <s v="Ativo"/>
    <s v="CONSULTOR DE VENDAS"/>
    <x v="8"/>
    <s v="LJBAR"/>
  </r>
  <r>
    <n v="129916"/>
    <s v="WALTER COSTA DE MATTOS FILHO"/>
    <s v="Diretoria Seminovos"/>
    <s v="RSRIO - Regional Seminovos Varejo Rio de Janeiro"/>
    <s v="LJBAR - Vendas Varejo Seminovos Barra da Tijuca"/>
    <s v="FABIO PINTO PEREZ"/>
    <s v="POSITIVO"/>
    <d v="1899-12-31T18:10:00"/>
    <d v="1899-12-30T00:00:00"/>
    <d v="1899-12-31T18:10:00"/>
    <s v=" "/>
    <s v=" "/>
    <d v="1899-12-31T18:10:00"/>
    <s v=" "/>
    <s v=" "/>
    <s v=" "/>
    <s v=" "/>
    <s v=" "/>
    <s v=" "/>
    <s v=" "/>
    <s v=" "/>
    <s v=" "/>
    <s v="Contrato de Trabalho Suspenso"/>
    <s v="CONSULTOR DE VENDAS"/>
    <x v="8"/>
    <s v="LJBAR"/>
  </r>
  <r>
    <n v="132287"/>
    <s v="SAVILLE TELLES SILVA"/>
    <s v="Diretoria Seminovos"/>
    <s v="RSRIO - Regional Seminovos Varejo Rio de Janeiro"/>
    <s v="LJCGD - Vendas Varejo Seminovos Campo Grande Rio de Janeiro"/>
    <s v="FABIO PINTO PEREZ"/>
    <s v="POSITIVO"/>
    <d v="1899-12-31T15:52:00"/>
    <d v="1899-12-30T00:00:00"/>
    <d v="1899-12-31T15:52:00"/>
    <s v=" "/>
    <s v=" "/>
    <s v=" "/>
    <s v=" "/>
    <s v=" "/>
    <d v="1899-12-30T23:16:00"/>
    <d v="1899-12-30T08:22:00"/>
    <s v=" "/>
    <s v=" "/>
    <s v=" "/>
    <s v=" "/>
    <s v=" "/>
    <s v="Ativo"/>
    <s v="CONSULTOR DE VENDAS"/>
    <x v="8"/>
    <s v="LJCGD"/>
  </r>
  <r>
    <n v="135897"/>
    <s v="MURILO GILBERTO LOURENCO DOS SANTOS"/>
    <s v="Diretoria Seminovos"/>
    <s v="RSRIO - Regional Seminovos Varejo Rio de Janeiro"/>
    <s v="LJITD - Vendas Varejo Seminovos Intendente"/>
    <s v="MARCIO PEREIRA NASCIMENTO FILHO"/>
    <s v="POSITIVO"/>
    <d v="1899-12-31T23:56:00"/>
    <d v="1899-12-30T00:00:00"/>
    <d v="1899-12-31T23:56:00"/>
    <s v=" "/>
    <s v=" "/>
    <d v="1899-12-30T08:28:00"/>
    <d v="1899-12-30T21:02:00"/>
    <s v=" "/>
    <s v=" "/>
    <s v=" "/>
    <s v=" "/>
    <s v=" "/>
    <s v=" "/>
    <s v=" "/>
    <s v=" "/>
    <s v="Ativo"/>
    <s v="CONSULTOR DE VENDAS"/>
    <x v="8"/>
    <s v="LJITD"/>
  </r>
  <r>
    <n v="503499"/>
    <s v="RAFAEL DE CARVALHO RANCIARO"/>
    <s v="Diretoria Seminovos"/>
    <s v="RSRIO - Regional Seminovos Varejo Rio de Janeiro"/>
    <s v="LJRIO - Vendas Varejo Seminovos Rio de Janeiro"/>
    <s v="LEONARDO MATOS MOURA CAMPOS"/>
    <s v="POSITIVO"/>
    <d v="1899-12-31T13:03:00"/>
    <d v="1899-12-30T00:00:00"/>
    <d v="1899-12-31T13:03:00"/>
    <s v=" "/>
    <s v=" "/>
    <s v=" "/>
    <d v="1899-12-31T05:23:00"/>
    <s v=" "/>
    <s v=" "/>
    <s v=" "/>
    <s v=" "/>
    <s v=" "/>
    <s v=" "/>
    <s v=" "/>
    <s v=" "/>
    <s v="Ativo"/>
    <s v="CONSULTOR DE VENDAS"/>
    <x v="8"/>
    <s v="LJRIO"/>
  </r>
  <r>
    <n v="132151"/>
    <s v="ALBERTO MELO SEPULVEDA"/>
    <s v="Diretoria Seminovos"/>
    <s v="RSRIO - Regional Seminovos Varejo Rio de Janeiro"/>
    <s v="LJNIG - Vendas Varejo Seminovos Nova Iguaçu"/>
    <s v="TABAJARA ALVARO MENDONCA ALVARES"/>
    <s v="POSITIVO"/>
    <d v="1899-12-31T07:57:00"/>
    <d v="1899-12-30T00:00:00"/>
    <d v="1899-12-31T07:57:00"/>
    <s v=" "/>
    <s v=" "/>
    <d v="1899-12-30T23:44:00"/>
    <d v="1899-12-30T03:14:00"/>
    <s v=" "/>
    <s v=" "/>
    <s v=" "/>
    <s v=" "/>
    <s v=" "/>
    <s v=" "/>
    <s v=" "/>
    <s v=" "/>
    <s v="Ativo"/>
    <s v="CONSULTOR DE VENDAS"/>
    <x v="8"/>
    <s v="LJNIG"/>
  </r>
  <r>
    <n v="130858"/>
    <s v="ANTONIO JOAQUIM DE SOUZA JUNIOR"/>
    <s v="Diretoria Seminovos"/>
    <s v="RSRIO - Regional Seminovos Varejo Rio de Janeiro"/>
    <s v="LJBAR - Vendas Varejo Seminovos Barra da Tijuca"/>
    <s v="FABIO PINTO PEREZ"/>
    <s v="POSITIVO"/>
    <d v="1899-12-31T01:06:00"/>
    <d v="1899-12-30T00:00:00"/>
    <d v="1899-12-31T01:06:00"/>
    <s v=" "/>
    <s v=" "/>
    <d v="1899-12-30T01:16:00"/>
    <d v="1899-12-31T00:16:00"/>
    <s v=" "/>
    <s v=" "/>
    <s v=" "/>
    <s v=" "/>
    <s v=" "/>
    <s v=" "/>
    <s v=" "/>
    <s v=" "/>
    <s v="Ativo"/>
    <s v="CONSULTOR DE VENDAS"/>
    <x v="8"/>
    <s v="LJBAR"/>
  </r>
  <r>
    <n v="503637"/>
    <s v="MARCELO MACHADO DE VASCONCELOS"/>
    <s v="Diretoria Seminovos"/>
    <s v="RSRIO - Regional Seminovos Varejo Rio de Janeiro"/>
    <s v="LJCGD - Vendas Varejo Seminovos Campo Grande Rj"/>
    <s v="FABIO PINTO PEREZ"/>
    <s v="POSITIVO"/>
    <d v="1899-12-31T10:44:00"/>
    <d v="1899-12-30T00:00:00"/>
    <d v="1899-12-31T10:44:00"/>
    <s v=" "/>
    <s v=" "/>
    <d v="1899-12-30T06:41:00"/>
    <d v="1899-12-30T16:34:00"/>
    <s v=" "/>
    <s v=" "/>
    <s v=" "/>
    <s v=" "/>
    <s v=" "/>
    <s v=" "/>
    <s v=" "/>
    <s v=" "/>
    <s v="Ativo"/>
    <s v="CONSULTOR DE VENDAS"/>
    <x v="8"/>
    <s v="LJCGD"/>
  </r>
  <r>
    <n v="503599"/>
    <s v="GISELLE FERREIRA DE ARAUJO"/>
    <s v="Diretoria Seminovos"/>
    <s v="RSRIO - Regional Seminovos Varejo Rio de Janeiro"/>
    <s v="LJRIO - Vendas Varejo Seminovos Rio de Janeiro"/>
    <s v="LEONARDO MATOS MOURA CAMPOS"/>
    <s v="POSITIVO"/>
    <d v="1899-12-31T06:45:00"/>
    <d v="1899-12-30T00:00:00"/>
    <d v="1899-12-31T06:45:00"/>
    <s v=" "/>
    <s v=" "/>
    <d v="1899-12-30T08:27:00"/>
    <d v="1899-12-30T12:22:00"/>
    <s v=" "/>
    <s v=" "/>
    <s v=" "/>
    <s v=" "/>
    <s v=" "/>
    <s v=" "/>
    <s v=" "/>
    <s v=" "/>
    <s v="Ativo"/>
    <s v="CONSULTOR DE VENDAS"/>
    <x v="8"/>
    <s v="LJRIO"/>
  </r>
  <r>
    <n v="123095"/>
    <s v="BRUNO REIS MARQUES DA SILVA"/>
    <s v="Diretoria Seminovos"/>
    <s v="RSRIO - Regional Seminovos Varejo Rio de Janeiro"/>
    <s v="LJRJB - Vendas Varejo Seminovos RJ Avenida Brasil"/>
    <s v="MARLON CESAR RIBEIRO DE LIMA"/>
    <s v="POSITIVO"/>
    <d v="1899-12-30T19:01:00"/>
    <d v="1899-12-30T00:00:00"/>
    <d v="1899-12-30T19:01:00"/>
    <d v="1899-12-30T15:48:00"/>
    <d v="1899-12-30T03:13:00"/>
    <s v=" "/>
    <s v=" "/>
    <s v=" "/>
    <s v=" "/>
    <s v=" "/>
    <s v=" "/>
    <s v=" "/>
    <s v=" "/>
    <s v=" "/>
    <s v=" "/>
    <s v="Ativo"/>
    <s v="CONSULTOR DE VENDAS"/>
    <x v="8"/>
    <s v="LJRJB"/>
  </r>
  <r>
    <n v="136304"/>
    <s v="VANESSA SAMPAIO DE ABREU FONTES"/>
    <s v="Diretoria Seminovos"/>
    <s v="RSRIO - Regional Seminovos Varejo Rio de Janeiro"/>
    <s v="LJPTS - Vendas Varejo Seminovos Petrópolis"/>
    <s v="ANA PAULA DOS SANTOS BATISTA"/>
    <s v="POSITIVO"/>
    <d v="1899-12-30T18:12:00"/>
    <d v="1899-12-30T00:00:00"/>
    <d v="1899-12-30T18:12:00"/>
    <s v=" "/>
    <s v=" "/>
    <d v="1899-12-30T18:12:00"/>
    <s v=" "/>
    <s v=" "/>
    <s v=" "/>
    <s v=" "/>
    <s v=" "/>
    <s v=" "/>
    <s v=" "/>
    <s v=" "/>
    <s v=" "/>
    <s v="Contrato de Trabalho Suspenso"/>
    <s v="CONSULTOR DE VENDAS"/>
    <x v="8"/>
    <s v="LJPTS"/>
  </r>
  <r>
    <n v="125762"/>
    <s v="ROBSON COELHO VOGAS"/>
    <s v="Diretoria Seminovos"/>
    <s v="RSRIO - Regional Seminovos Varejo Rio de Janeiro"/>
    <s v="LJNIG - Vendas Varejo Seminovos Nova Iguaçu"/>
    <s v="TABAJARA ALVARO MENDONCA ALVARES"/>
    <s v="POSITIVO"/>
    <d v="1899-12-31T02:11:00"/>
    <d v="1899-12-30T00:00:00"/>
    <d v="1899-12-31T02:11:00"/>
    <s v=" "/>
    <s v=" "/>
    <d v="1899-12-30T16:53:00"/>
    <d v="1899-12-30T01:03:00"/>
    <s v=" "/>
    <s v=" "/>
    <s v=" "/>
    <s v=" "/>
    <s v=" "/>
    <s v=" "/>
    <s v=" "/>
    <s v=" "/>
    <s v="Ativo"/>
    <s v="CONSULTOR DE VENDAS"/>
    <x v="8"/>
    <s v="LJNIG"/>
  </r>
  <r>
    <n v="503144"/>
    <s v="HUGO DA SILVA NASCIMENTO"/>
    <s v="Diretoria Seminovos"/>
    <s v="RSRIO - Regional Seminovos Varejo Rio de Janeiro"/>
    <s v="LJITD - Vendas Varejo Seminovos Intendente"/>
    <s v="MARCIO PEREIRA NASCIMENTO FILHO"/>
    <s v="POSITIVO"/>
    <d v="1899-12-31T03:28:00"/>
    <d v="1899-12-30T00:00:00"/>
    <d v="1899-12-31T03:28:00"/>
    <s v=" "/>
    <s v=" "/>
    <d v="1899-12-30T07:28:00"/>
    <d v="1899-12-30T08:57:00"/>
    <s v=" "/>
    <s v=" "/>
    <s v=" "/>
    <s v=" "/>
    <s v=" "/>
    <s v=" "/>
    <s v=" "/>
    <s v=" "/>
    <s v="Ativo"/>
    <s v="CONSULTOR DE VENDAS"/>
    <x v="8"/>
    <s v="LJITD"/>
  </r>
  <r>
    <n v="503590"/>
    <s v="BRUNO SILVA DOS SANTOS"/>
    <s v="Diretoria Seminovos"/>
    <s v="RSRIO - Regional Seminovos Varejo Rio de Janeiro"/>
    <s v="LJNIG - Vendas Varejo Seminovos Nova Iguaçu"/>
    <s v="TABAJARA ALVARO MENDONCA ALVARES"/>
    <s v="POSITIVO"/>
    <d v="1899-12-30T17:50:00"/>
    <d v="1899-12-30T00:00:00"/>
    <d v="1899-12-30T17:50:00"/>
    <s v=" "/>
    <s v=" "/>
    <d v="1899-12-30T11:03:00"/>
    <d v="1899-12-30T04:50:00"/>
    <s v=" "/>
    <s v=" "/>
    <s v=" "/>
    <s v=" "/>
    <s v=" "/>
    <s v=" "/>
    <s v=" "/>
    <s v=" "/>
    <s v="Ativo"/>
    <s v="CONSULTOR DE VENDAS"/>
    <x v="8"/>
    <s v="LJNIG"/>
  </r>
  <r>
    <n v="130034"/>
    <s v="CARLOS EDUARDO TEIXEIRA MARQUES"/>
    <s v="Diretoria Seminovos"/>
    <s v="RSRIO - Regional Seminovos Varejo Rio de Janeiro"/>
    <s v="LJITD - Vendas Varejo Seminovos Intendente"/>
    <s v="MARCIO PEREIRA NASCIMENTO FILHO"/>
    <s v="POSITIVO"/>
    <d v="1899-12-30T22:22:00"/>
    <d v="1899-12-30T00:00:00"/>
    <d v="1899-12-30T22:22:00"/>
    <s v=" "/>
    <s v=" "/>
    <s v=" "/>
    <d v="1899-12-30T14:33:00"/>
    <s v=" "/>
    <s v=" "/>
    <s v=" "/>
    <s v=" "/>
    <s v=" "/>
    <s v=" "/>
    <s v=" "/>
    <s v=" "/>
    <s v="Ativo"/>
    <s v="CONSULTOR DE VENDAS"/>
    <x v="8"/>
    <s v="LJITD"/>
  </r>
  <r>
    <n v="503549"/>
    <s v="ROBSON SANTOS FERNANDES NUNES"/>
    <s v="Diretoria Seminovos"/>
    <s v="RSRIO - Regional Seminovos Varejo Rio de Janeiro"/>
    <s v="LJCGD - Vendas Varejo Seminovos Campo Grande Rj"/>
    <s v="FABIO PINTO PEREZ"/>
    <s v="POSITIVO"/>
    <d v="1899-12-30T20:00:00"/>
    <d v="1899-12-30T00:00:00"/>
    <d v="1899-12-30T20:00:00"/>
    <s v=" "/>
    <s v=" "/>
    <s v=" "/>
    <d v="1899-12-30T12:26:00"/>
    <s v=" "/>
    <s v=" "/>
    <s v=" "/>
    <s v=" "/>
    <s v=" "/>
    <s v=" "/>
    <s v=" "/>
    <s v=" "/>
    <s v="Ativo"/>
    <s v="CONSULTOR DE VENDAS"/>
    <x v="8"/>
    <s v="LJCGD"/>
  </r>
  <r>
    <n v="124789"/>
    <s v="LEANDRO SOUTO DA SILVA"/>
    <s v="Diretoria Seminovos"/>
    <s v="RSRIO - Regional Seminovos Varejo Rio de Janeiro"/>
    <s v="LJNIT - Vendas Varejo Seminovos Niterói"/>
    <s v="FELIPE REIS BARGIELA"/>
    <s v="POSITIVO"/>
    <d v="1899-12-30T16:13:00"/>
    <d v="1899-12-30T00:00:00"/>
    <d v="1899-12-30T16:13:00"/>
    <s v=" "/>
    <s v=" "/>
    <s v=" "/>
    <d v="1899-12-30T12:22:00"/>
    <s v=" "/>
    <s v=" "/>
    <s v=" "/>
    <s v=" "/>
    <s v=" "/>
    <s v=" "/>
    <s v=" "/>
    <s v=" "/>
    <s v="Ativo"/>
    <s v="CONSULTOR DE VENDAS"/>
    <x v="8"/>
    <s v="LJNIT"/>
  </r>
  <r>
    <n v="500533"/>
    <s v="IVANILDES MARIA MELO ROCHA"/>
    <s v="Diretoria Seminovos"/>
    <s v="RSRIO - Regional Seminovos Varejo Rio de Janeiro"/>
    <s v="LJRIO - Loja Seminovos Rio de Janeiro"/>
    <s v="LEONARDO MATOS MOURA CAMPOS"/>
    <s v="POSITIVO"/>
    <d v="1899-12-30T09:41:00"/>
    <d v="1899-12-30T00:00:00"/>
    <d v="1899-12-30T09:41:00"/>
    <s v=" "/>
    <s v=" "/>
    <d v="1899-12-30T00:40:00"/>
    <s v=" "/>
    <s v=" "/>
    <s v=" "/>
    <s v=" "/>
    <s v=" "/>
    <s v=" "/>
    <s v=" "/>
    <s v=" "/>
    <s v=" "/>
    <s v="Ativo"/>
    <s v="AUX. DE SERVICOS GERAIS - DIRCS"/>
    <x v="8"/>
    <s v="LJRIO"/>
  </r>
  <r>
    <n v="123317"/>
    <s v="JORGE EDUARDO LIMA DE AZEVEDO"/>
    <s v="Diretoria Seminovos"/>
    <s v="RSRIO - Regional Seminovos Varejo Rio de Janeiro"/>
    <s v="LJNIT - Vendas Varejo Seminovos Niterói"/>
    <s v="FELIPE REIS BARGIELA"/>
    <s v="POSITIVO"/>
    <d v="1899-12-30T12:01:00"/>
    <d v="1899-12-30T00:00:00"/>
    <d v="1899-12-30T12:01:00"/>
    <s v=" "/>
    <s v=" "/>
    <d v="1899-12-30T09:56:00"/>
    <d v="1899-12-30T02:05:00"/>
    <s v=" "/>
    <s v=" "/>
    <s v=" "/>
    <s v=" "/>
    <s v=" "/>
    <s v=" "/>
    <s v=" "/>
    <s v=" "/>
    <s v="Contrato de Trabalho Suspenso"/>
    <s v="CONSULTOR DE VENDAS"/>
    <x v="8"/>
    <s v="LJNIT"/>
  </r>
  <r>
    <n v="131994"/>
    <s v="BRUNO CEZAR DA SILVA DANTAS"/>
    <s v="Diretoria Seminovos"/>
    <s v="RSRIO - Regional Seminovos Varejo Rio de Janeiro"/>
    <s v="LJRIO - Vendas Varejo Seminovos Rio de Janeiro"/>
    <s v="LEONARDO MATOS MOURA CAMPOS"/>
    <s v="POSITIVO"/>
    <d v="1899-12-30T09:46:00"/>
    <d v="1899-12-30T00:00:00"/>
    <d v="1899-12-30T09:46:00"/>
    <s v=" "/>
    <s v=" "/>
    <s v=" "/>
    <s v=" "/>
    <s v=" "/>
    <s v=" "/>
    <s v=" "/>
    <s v=" "/>
    <s v=" "/>
    <s v=" "/>
    <s v=" "/>
    <d v="1899-12-30T11:55:00"/>
    <s v="Ativo"/>
    <s v="CONSULTOR DE VENDAS"/>
    <x v="8"/>
    <s v="LJRIO"/>
  </r>
  <r>
    <n v="134334"/>
    <s v="EMANUEL PEDRO FERREIRA SABINO DE SANTANA"/>
    <s v="Diretoria Seminovos"/>
    <s v="RSRIO - Regional Seminovos Varejo Rio de Janeiro"/>
    <s v="LJCGD - Vendas Varejo Seminovos Campo Grande Rio de Janeiro"/>
    <s v="FABIO PINTO PEREZ"/>
    <s v="POSITIVO"/>
    <d v="1899-12-30T17:48:00"/>
    <d v="1899-12-30T00:00:00"/>
    <d v="1899-12-30T17:48:00"/>
    <s v=" "/>
    <s v=" "/>
    <s v=" "/>
    <s v=" "/>
    <s v=" "/>
    <d v="1899-12-30T02:18:00"/>
    <d v="1899-12-30T08:15:00"/>
    <s v=" "/>
    <s v=" "/>
    <s v=" "/>
    <s v=" "/>
    <s v=" "/>
    <s v="Ativo"/>
    <s v="CONSULTOR DE VENDAS"/>
    <x v="8"/>
    <s v="LJCGD"/>
  </r>
  <r>
    <n v="503277"/>
    <s v="SILVIO RICARDO CRUZ DE BRITO"/>
    <s v="Diretoria Seminovos"/>
    <s v="RSRIO - Regional Seminovos Varejo Rio de Janeiro"/>
    <s v="LJBAR - Vendas Varejo Seminovos Barra da Tijuca"/>
    <s v="FABIO PINTO PEREZ"/>
    <s v="POSITIVO"/>
    <d v="1899-12-30T20:19:00"/>
    <d v="1899-12-30T00:00:00"/>
    <d v="1899-12-30T20:19:00"/>
    <s v=" "/>
    <s v=" "/>
    <s v=" "/>
    <d v="1899-12-30T10:09:00"/>
    <s v=" "/>
    <s v=" "/>
    <s v=" "/>
    <s v=" "/>
    <s v=" "/>
    <s v=" "/>
    <s v=" "/>
    <s v=" "/>
    <s v="Ativo"/>
    <s v="CONSULTOR DE VENDAS"/>
    <x v="8"/>
    <s v="LJBAR"/>
  </r>
  <r>
    <n v="503385"/>
    <s v="JOAO PAULO PESTANA DOS SANTOS"/>
    <s v="Diretoria Seminovos"/>
    <s v="RSRIO - Regional Seminovos Varejo Rio de Janeiro"/>
    <s v="LJITD - Vendas Varejo Seminovos Intendente"/>
    <s v="MARCIO PEREIRA NASCIMENTO FILHO"/>
    <s v="POSITIVO"/>
    <d v="1899-12-30T16:21:00"/>
    <d v="1899-12-30T00:00:00"/>
    <d v="1899-12-30T16:21:00"/>
    <s v=" "/>
    <s v=" "/>
    <s v=" "/>
    <d v="1899-12-30T09:58:00"/>
    <s v=" "/>
    <s v=" "/>
    <s v=" "/>
    <s v=" "/>
    <s v=" "/>
    <s v=" "/>
    <s v=" "/>
    <s v=" "/>
    <s v="Ativo"/>
    <s v="CONSULTOR DE VENDAS"/>
    <x v="8"/>
    <s v="LJITD"/>
  </r>
  <r>
    <n v="134853"/>
    <s v="EDMILSON DE SOUZA PORCIUNCULA"/>
    <s v="Diretoria Seminovos"/>
    <s v="RSRIO - Regional Seminovos Varejo Rio de Janeiro"/>
    <s v="LJNIG - Vendas Varejo Seminovos Nova Iguaçu"/>
    <s v="TABAJARA ALVARO MENDONCA ALVARES"/>
    <s v="POSITIVO"/>
    <d v="1899-12-30T13:44:00"/>
    <d v="1899-12-30T00:00:00"/>
    <d v="1899-12-30T13:44:00"/>
    <s v=" "/>
    <s v=" "/>
    <d v="1899-12-30T02:37:00"/>
    <d v="1899-12-30T06:20:00"/>
    <s v=" "/>
    <s v=" "/>
    <s v=" "/>
    <s v=" "/>
    <s v=" "/>
    <s v=" "/>
    <s v=" "/>
    <s v=" "/>
    <s v="Ativo"/>
    <s v="CONSULTOR DE VENDAS"/>
    <x v="8"/>
    <s v="LJNIG"/>
  </r>
  <r>
    <n v="132412"/>
    <s v="RAFAEL MIRANDA DA CONCEICAO"/>
    <s v="Diretoria Seminovos"/>
    <s v="RSRIO - Regional Seminovos Varejo Rio de Janeiro"/>
    <s v="LJITD - Vendas Varejo Seminovos Intendente"/>
    <s v="MARCIO PEREIRA NASCIMENTO FILHO"/>
    <s v="POSITIVO"/>
    <d v="1899-12-30T08:06:00"/>
    <d v="1899-12-30T00:00:00"/>
    <d v="1899-12-30T08:06:00"/>
    <s v=" "/>
    <s v=" "/>
    <s v=" "/>
    <s v=" "/>
    <s v=" "/>
    <s v=" "/>
    <d v="1899-12-30T07:57:00"/>
    <s v=" "/>
    <s v=" "/>
    <s v=" "/>
    <s v=" "/>
    <s v=" "/>
    <s v="Ativo"/>
    <s v="CONSULTOR DE VENDAS"/>
    <x v="8"/>
    <s v="LJITD"/>
  </r>
  <r>
    <n v="502644"/>
    <s v="PAULO SERGIO DE OLIVEIRA PAIVA"/>
    <s v="Diretoria Seminovos"/>
    <s v="RSRIO - Regional Seminovos Varejo Rio de Janeiro"/>
    <s v="LJNIT - Vendas Varejo Seminovos Niterói"/>
    <s v="FELIPE REIS BARGIELA"/>
    <s v="POSITIVO"/>
    <d v="1899-12-30T09:01:00"/>
    <d v="1899-12-30T00:00:00"/>
    <d v="1899-12-30T09:01:00"/>
    <s v=" "/>
    <s v=" "/>
    <s v=" "/>
    <d v="1899-12-30T06:13:00"/>
    <s v=" "/>
    <s v=" "/>
    <s v=" "/>
    <s v=" "/>
    <s v=" "/>
    <s v=" "/>
    <s v=" "/>
    <s v=" "/>
    <s v="Ativo"/>
    <s v="CONSULTOR DE VENDAS"/>
    <x v="8"/>
    <s v="LJNIT"/>
  </r>
  <r>
    <n v="131981"/>
    <s v="RODRIGO MELO FERREIRA"/>
    <s v="Diretoria Seminovos"/>
    <s v="RSRIO - Regional Seminovos Varejo Rio de Janeiro"/>
    <s v="LJBAR - Vendas Varejo Seminovos Barra da Tijuca"/>
    <s v="FABIO PINTO PEREZ"/>
    <s v="POSITIVO"/>
    <d v="1899-12-30T19:23:00"/>
    <d v="1899-12-30T00:00:00"/>
    <d v="1899-12-30T19:23:00"/>
    <s v=" "/>
    <s v=" "/>
    <s v=" "/>
    <s v=" "/>
    <s v=" "/>
    <s v=" "/>
    <d v="1899-12-30T05:26:00"/>
    <s v=" "/>
    <s v=" "/>
    <s v=" "/>
    <s v=" "/>
    <s v=" "/>
    <s v="Ativo"/>
    <s v="CONSULTOR DE VENDAS"/>
    <x v="8"/>
    <s v="LJBAR"/>
  </r>
  <r>
    <n v="134147"/>
    <s v="GABRIEL JOSE MOREIRA SILVA"/>
    <s v="Diretoria Seminovos"/>
    <s v="RSRIO - Regional Seminovos Varejo Rio de Janeiro"/>
    <s v="LJITD - Vendas Varejo Seminovos Intendente"/>
    <s v="MARCIO PEREIRA NASCIMENTO FILHO"/>
    <s v="POSITIVO"/>
    <d v="1899-12-30T05:16:00"/>
    <d v="1899-12-30T00:00:00"/>
    <d v="1899-12-30T05:16:00"/>
    <s v=" "/>
    <s v=" "/>
    <d v="1899-12-30T05:16:00"/>
    <s v=" "/>
    <s v=" "/>
    <s v=" "/>
    <s v=" "/>
    <s v=" "/>
    <s v=" "/>
    <s v=" "/>
    <s v=" "/>
    <s v=" "/>
    <s v="Contrato de Trabalho Suspenso"/>
    <s v="CONSULTOR DE VENDAS"/>
    <x v="8"/>
    <s v="LJITD"/>
  </r>
  <r>
    <n v="125394"/>
    <s v="CRISTIANO DA SILVA MIRANDA"/>
    <s v="Diretoria Seminovos"/>
    <s v="RSRIO - Regional Seminovos Varejo Rio de Janeiro"/>
    <s v="LJBAR - Vendas Varejo Seminovos Barra da Tijuca"/>
    <s v="FABIO PINTO PEREZ"/>
    <s v="POSITIVO"/>
    <d v="1899-12-30T11:10:00"/>
    <d v="1899-12-30T00:00:00"/>
    <d v="1899-12-30T11:10:00"/>
    <s v=" "/>
    <s v=" "/>
    <s v=" "/>
    <d v="1899-12-30T04:48:00"/>
    <s v=" "/>
    <s v=" "/>
    <s v=" "/>
    <s v=" "/>
    <s v=" "/>
    <s v=" "/>
    <s v=" "/>
    <s v=" "/>
    <s v="Ativo"/>
    <s v="CONSULTOR DE VENDAS"/>
    <x v="8"/>
    <s v="LJBAR"/>
  </r>
  <r>
    <n v="503305"/>
    <s v="EDILENE SANTOS MACEDO"/>
    <s v="Diretoria Seminovos"/>
    <s v="RSRIO - Regional Seminovos Varejo Rio de Janeiro"/>
    <s v="LJITD - Vendas Varejo Seminovos Intendente"/>
    <s v="MARCIO PEREIRA NASCIMENTO FILHO"/>
    <s v="POSITIVO"/>
    <d v="1899-12-30T02:56:00"/>
    <d v="1899-12-30T00:00:00"/>
    <d v="1899-12-30T02:56:00"/>
    <s v=" "/>
    <s v=" "/>
    <d v="1899-12-30T02:56:00"/>
    <s v=" "/>
    <s v=" "/>
    <s v=" "/>
    <s v=" "/>
    <s v=" "/>
    <s v=" "/>
    <s v=" "/>
    <s v=" "/>
    <s v=" "/>
    <s v="Contrato de Trabalho Suspenso"/>
    <s v="CONSULTOR DE VENDAS"/>
    <x v="8"/>
    <s v="LJITD"/>
  </r>
  <r>
    <n v="136275"/>
    <s v="RODRIGO MARQUES DE MELLO"/>
    <s v="Diretoria Seminovos"/>
    <s v="RSRIO - Regional Seminovos Varejo Rio de Janeiro"/>
    <s v="LJVRE - Vendas Varejo Seminovos Volta Redonda"/>
    <s v="PAULO FABRICIO SCARAMELO"/>
    <s v="POSITIVO"/>
    <d v="1899-12-30T07:35:00"/>
    <d v="1899-12-30T00:00:00"/>
    <d v="1899-12-30T07:35:00"/>
    <s v=" "/>
    <s v=" "/>
    <s v=" "/>
    <d v="1899-12-30T02:35:00"/>
    <s v=" "/>
    <s v=" "/>
    <s v=" "/>
    <s v=" "/>
    <s v=" "/>
    <s v=" "/>
    <s v=" "/>
    <s v=" "/>
    <s v="Ativo"/>
    <s v="CONSULTOR DE VENDAS"/>
    <x v="8"/>
    <s v="LJVRE"/>
  </r>
  <r>
    <n v="135243"/>
    <s v="LEANDRO RODRIGUES PONTES"/>
    <s v="Diretoria Seminovos"/>
    <s v="RSRIO - Regional Seminovos Varejo Rio de Janeiro"/>
    <s v="LJNIT - Vendas Varejo Seminovos Niterói"/>
    <s v="FELIPE REIS BARGIELA"/>
    <s v="POSITIVO"/>
    <d v="1899-12-30T05:39:00"/>
    <d v="1899-12-30T00:00:00"/>
    <d v="1899-12-30T05:39:00"/>
    <s v=" "/>
    <s v=" "/>
    <s v=" "/>
    <d v="1899-12-30T01:13:00"/>
    <s v=" "/>
    <s v=" "/>
    <s v=" "/>
    <s v=" "/>
    <s v=" "/>
    <s v=" "/>
    <s v=" "/>
    <s v=" "/>
    <s v="Ativo"/>
    <s v="CONSULTOR DE VENDAS"/>
    <x v="8"/>
    <s v="LJNIT"/>
  </r>
  <r>
    <n v="130587"/>
    <s v="ANA PAULA FERNANDES DE OLIVEIRA MEDEIROS"/>
    <s v="Diretoria Seminovos"/>
    <s v="RSRIO - Regional Seminovos Varejo Rio de Janeiro"/>
    <s v="LJITD - Vendas Varejo Seminovos Intendente"/>
    <s v="MARCIO PEREIRA NASCIMENTO FILHO"/>
    <s v="POSITIVO"/>
    <d v="1899-12-30T11:15:00"/>
    <d v="1899-12-30T00:00:00"/>
    <d v="1899-12-30T11:15:00"/>
    <s v=" "/>
    <s v=" "/>
    <s v=" "/>
    <d v="1899-12-30T00:27:00"/>
    <s v=" "/>
    <s v=" "/>
    <s v=" "/>
    <s v=" "/>
    <s v=" "/>
    <s v=" "/>
    <s v=" "/>
    <s v=" "/>
    <s v="Ativo"/>
    <s v="CONSULTOR DE VENDAS"/>
    <x v="8"/>
    <s v="LJITD"/>
  </r>
  <r>
    <n v="130634"/>
    <s v="ANDRE FERNANDES DA COSTA"/>
    <s v="Diretoria Seminovos"/>
    <s v="RSRIO - Regional Seminovos Varejo Rio de Janeiro"/>
    <s v="LJRJB - Vendas Varejo Seminovos Avenida Brasil RJ"/>
    <s v="MARLON CESAR RIBEIRO DE LI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8"/>
    <s v="LJRJB"/>
  </r>
  <r>
    <n v="136306"/>
    <s v="CARLOS EDUARDO MONTEIRO PEREIRA"/>
    <s v="Diretoria Seminovos"/>
    <s v="RSRIO - Regional Seminovos Varejo Rio de Janeiro"/>
    <s v="LJPTS - Vendas Varejo Seminovos Petrópolis"/>
    <s v="ANA PAULA DOS SANTOS BATI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8"/>
    <s v="LJPTS"/>
  </r>
  <r>
    <n v="136302"/>
    <s v="CLAUDIO ALVES BORBA"/>
    <s v="Diretoria Seminovos"/>
    <s v="RSRIO - Regional Seminovos Varejo Rio de Janeiro"/>
    <s v="LJPTS - Vendas Varejo Seminovos Petrópolis"/>
    <s v="ANA PAULA DOS SANTOS BATI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8"/>
    <s v="LJPTS"/>
  </r>
  <r>
    <n v="130259"/>
    <s v="DAVI ALEXANDRE DOS SANTOS"/>
    <s v="Diretoria Seminovos"/>
    <s v="RSRIO - Regional Seminovos Varejo Rio de Janeiro"/>
    <s v="LJNIG - Vendas Varejo Seminovos Nova Iguaçu"/>
    <s v="TABAJARA ALVARO MENDONCA ALVAR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8"/>
    <s v="LJNIG"/>
  </r>
  <r>
    <n v="136301"/>
    <s v="EDER VALTER ALMEIDA DIAS"/>
    <s v="Diretoria Seminovos"/>
    <s v="RSRIO - Regional Seminovos Varejo Rio de Janeiro"/>
    <s v="LJPTS - Vendas Varejo Seminovos Petrópolis"/>
    <s v="ANA PAULA DOS SANTOS BATI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8"/>
    <s v="LJPTS"/>
  </r>
  <r>
    <n v="502385"/>
    <s v="SERGIO MENDES ALVISO"/>
    <s v="Diretoria Seminovos"/>
    <s v="RSRIO - Regional Seminovos Varejo Rio de Janeiro"/>
    <s v="LJNIG - Loja Seminovos Nova Iguaçu"/>
    <s v="TABAJARA ALVARO MENDONCA ALVARES"/>
    <s v="POSITIVO"/>
    <d v="1899-12-30T02:32:00"/>
    <d v="1899-12-30T00:00:00"/>
    <d v="1899-12-30T02:32:00"/>
    <s v=" "/>
    <s v=" "/>
    <d v="1899-12-30T00:43:00"/>
    <s v=" "/>
    <s v=" "/>
    <s v=" "/>
    <s v=" "/>
    <s v=" "/>
    <s v=" "/>
    <s v=" "/>
    <s v=" "/>
    <s v=" "/>
    <s v="Ativo"/>
    <s v="HIGIENIZADOR DE CARROS"/>
    <x v="8"/>
    <s v="LJNIG"/>
  </r>
  <r>
    <n v="501280"/>
    <s v="ADEILTON BEZERRA DE ARAUJO"/>
    <s v="Diretoria Seminovos"/>
    <s v="RSRIO - Regional Seminovos Varejo Rio de Janeiro"/>
    <s v="LJCGD - Loja Seminovos Campo Grande Rio de Janeiro"/>
    <s v="FABIO PINTO PEREZ"/>
    <s v="POSITIVO"/>
    <d v="1899-12-30T01:04:00"/>
    <d v="1899-12-30T00:00:00"/>
    <d v="1899-12-30T01:04:00"/>
    <s v=" "/>
    <s v=" "/>
    <s v=" "/>
    <d v="1899-12-30T00:21:00"/>
    <s v=" "/>
    <s v=" "/>
    <s v=" "/>
    <s v=" "/>
    <s v=" "/>
    <s v=" "/>
    <s v=" "/>
    <s v=" "/>
    <s v="Ativo"/>
    <s v="HIGIENIZADOR DE CARROS"/>
    <x v="8"/>
    <s v="LJCGD"/>
  </r>
  <r>
    <n v="125263"/>
    <s v="ADRIANA DOS SANTOS BARBOSA"/>
    <s v="Diretoria Seminovos"/>
    <s v="RSRIO - Regional Seminovos Varejo Rio de Janeiro"/>
    <s v="LJITG - Loja Seminovos Itaguai"/>
    <s v="ANA PAULA DOS SANTOS BATISTA"/>
    <s v="POSITIVO"/>
    <d v="1899-12-31T09:05:00"/>
    <d v="1899-12-30T00:00:00"/>
    <d v="1899-12-31T09:05:00"/>
    <s v=" "/>
    <s v=" "/>
    <s v=" "/>
    <d v="1899-12-30T19:20:00"/>
    <s v=" "/>
    <s v=" "/>
    <s v=" "/>
    <s v=" "/>
    <s v=" "/>
    <s v=" "/>
    <s v=" "/>
    <s v=" "/>
    <s v="Ativo"/>
    <s v="AUX. DE SERVICOS GERAIS"/>
    <x v="8"/>
    <s v="LJITG"/>
  </r>
  <r>
    <n v="136241"/>
    <s v="ANA LUCIA NASCIMENTO MUNIZ"/>
    <s v="Diretoria Seminovos"/>
    <s v="RSRIO - Regional Seminovos Varejo Rio de Janeiro"/>
    <s v="LJCGD - Loja Seminovos Campo Grande Rio de Janeiro"/>
    <s v="FABIO PINTO PEREZ"/>
    <s v="POSITIVO"/>
    <d v="1899-12-31T05:37:00"/>
    <d v="1899-12-30T00:00:00"/>
    <d v="1899-12-31T05:37:00"/>
    <s v=" "/>
    <s v=" "/>
    <d v="1899-12-30T03:41:00"/>
    <d v="1899-12-30T16:56:00"/>
    <s v=" "/>
    <s v=" "/>
    <s v=" "/>
    <s v=" "/>
    <s v=" "/>
    <s v=" "/>
    <s v=" "/>
    <s v=" "/>
    <s v="Ativo"/>
    <s v="AUX. DE SERVICOS GERAIS - DIRCS"/>
    <x v="8"/>
    <s v="LJCGD"/>
  </r>
  <r>
    <n v="133601"/>
    <s v="CARLOS HENRIQUE DE OLIVEIRA"/>
    <s v="Diretoria Seminovos"/>
    <s v="RSRIO - Regional Seminovos Varejo Rio de Janeiro"/>
    <s v="LJNIT - Loja Seminovos Niterói"/>
    <s v="FELIPE REIS BARGIELA"/>
    <s v="POSITIVO"/>
    <d v="1899-12-30T01:12:00"/>
    <d v="1899-12-30T00:00:00"/>
    <d v="1899-12-30T01:12:00"/>
    <s v=" "/>
    <s v=" "/>
    <s v=" "/>
    <d v="1899-12-30T01:18:00"/>
    <s v=" "/>
    <s v=" "/>
    <s v=" "/>
    <s v=" "/>
    <s v=" "/>
    <s v=" "/>
    <s v=" "/>
    <s v=" "/>
    <s v="Ativo"/>
    <s v="HIGIENIZADOR DE CARROS"/>
    <x v="8"/>
    <s v="LJNIT"/>
  </r>
  <r>
    <n v="137178"/>
    <s v="CHAIANE DO SANTOS MARCOLINO"/>
    <s v="Diretoria Seminovos"/>
    <s v="RSRIO - Regional Seminovos Varejo Rio de Janeiro"/>
    <s v="LJPTS -  Loja Seminovos Petrópolis"/>
    <s v="ANA PAULA DOS SANTOS BATIST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8"/>
    <s v="LJPTS"/>
  </r>
  <r>
    <n v="136499"/>
    <s v="CRISTIAN ARAUJO DE SA"/>
    <s v="Diretoria Seminovos"/>
    <s v="RSRIO - Regional Seminovos Varejo Rio de Janeiro"/>
    <s v="LJITD - Loja Seminovos Intendente"/>
    <s v="MARCIO PEREIRA NASCIMENTO FILHO"/>
    <s v="POSITIVO"/>
    <d v="1899-12-30T11:28:00"/>
    <d v="1899-12-30T00:00:00"/>
    <d v="1899-12-30T11:28:00"/>
    <s v=" "/>
    <s v=" "/>
    <s v=" "/>
    <d v="1899-12-30T07:11:00"/>
    <s v=" "/>
    <s v=" "/>
    <s v=" "/>
    <s v=" "/>
    <s v=" "/>
    <s v=" "/>
    <s v=" "/>
    <s v=" "/>
    <s v="Ativo"/>
    <s v="HIGIENIZADOR DE CARROS"/>
    <x v="8"/>
    <s v="LJITD"/>
  </r>
  <r>
    <n v="129419"/>
    <s v="DIRCIMERI FLORENCIO PEREIRA LUIZ"/>
    <s v="Diretoria Seminovos"/>
    <s v="RSRIO - Regional Seminovos Varejo Rio de Janeiro"/>
    <s v="LJVRE - Loja Seminovos Volta Redonda"/>
    <s v="PAULO FABRICIO SCARAMELO"/>
    <s v="POSITIVO"/>
    <d v="1899-12-30T10:30:00"/>
    <d v="1899-12-30T00:00:00"/>
    <d v="1899-12-30T10:30:00"/>
    <s v=" "/>
    <s v=" "/>
    <s v=" "/>
    <d v="1899-12-30T10:00:00"/>
    <s v=" "/>
    <s v=" "/>
    <s v=" "/>
    <s v=" "/>
    <s v=" "/>
    <s v=" "/>
    <s v=" "/>
    <s v=" "/>
    <s v="Ativo"/>
    <s v="AUX. DE SERVICOS GERAIS"/>
    <x v="8"/>
    <s v="LJVRE"/>
  </r>
  <r>
    <n v="136588"/>
    <s v="DOUGLAS NUNES IGNEZ SOUZA"/>
    <s v="Diretoria Seminovos"/>
    <s v="RSRIO - Regional Seminovos Varejo Rio de Janeiro"/>
    <s v="LJITG - Loja Seminovos Itaguai"/>
    <s v="ANA PAULA DOS SANTOS BATISTA"/>
    <s v="POSITIVO"/>
    <d v="1899-12-30T13:20:00"/>
    <d v="1899-12-30T00:00:00"/>
    <d v="1899-12-30T13:20:00"/>
    <s v=" "/>
    <s v=" "/>
    <d v="1899-12-30T13:20:00"/>
    <s v=" "/>
    <s v=" "/>
    <s v=" "/>
    <s v=" "/>
    <s v=" "/>
    <s v=" "/>
    <s v=" "/>
    <s v=" "/>
    <s v=" "/>
    <s v="Contrato de Trabalho Suspenso"/>
    <s v="HIGIENIZADOR DE CARROS"/>
    <x v="8"/>
    <s v="LJITG"/>
  </r>
  <r>
    <n v="137210"/>
    <s v="FILIPHE PEREIRA DE LIMA CAMARA"/>
    <s v="Diretoria Seminovos"/>
    <s v="RSRIO - Regional Seminovos Varejo Rio de Janeiro"/>
    <s v="LJDUQ - Loja Seminovos Duque de Caxias"/>
    <s v="OTAVIO BARREIRA DE ARAUJO SOUS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8"/>
    <s v="LJDUQ"/>
  </r>
  <r>
    <n v="133875"/>
    <s v="FABIANO BARBOSA"/>
    <s v="Diretoria Seminovos"/>
    <s v="RSRIO - Regional Seminovos Varejo Rio de Janeiro"/>
    <s v="LJVRE - Vendas Varejo Seminovos Volta Redonda"/>
    <s v="PAULO FABRICIO SCARAMELO"/>
    <s v="POSITIVO"/>
    <d v="1899-12-30T07:25:00"/>
    <d v="1899-12-30T00:00:00"/>
    <d v="1899-12-30T07:25:00"/>
    <s v=" "/>
    <s v=" "/>
    <s v=" "/>
    <d v="1899-12-30T02:53:00"/>
    <s v=" "/>
    <s v=" "/>
    <s v=" "/>
    <s v=" "/>
    <s v=" "/>
    <s v=" "/>
    <s v=" "/>
    <s v=" "/>
    <s v="Ativo"/>
    <s v="CONSULTOR DE VENDAS"/>
    <x v="8"/>
    <s v="LJVRE"/>
  </r>
  <r>
    <n v="123069"/>
    <s v="HAVARD DELACOQUE"/>
    <s v="Diretoria Seminovos"/>
    <s v="RSRIO - Regional Seminovos Varejo Rio de Janeiro"/>
    <s v="LJVRE - Loja Seminovos Volta Redonda"/>
    <s v="PAULO FABRICIO SCARAMELO"/>
    <s v="POSITIVO"/>
    <d v="1899-12-30T05:20:00"/>
    <d v="1899-12-30T00:00:00"/>
    <d v="1899-12-30T05:20:00"/>
    <s v=" "/>
    <s v=" "/>
    <d v="1899-12-30T01:20:00"/>
    <d v="1899-12-30T04:00:00"/>
    <s v=" "/>
    <s v=" "/>
    <s v=" "/>
    <s v=" "/>
    <s v=" "/>
    <s v=" "/>
    <s v=" "/>
    <s v=" "/>
    <s v="Contrato de Trabalho Suspenso"/>
    <s v="HIGIENIZADOR DE CARROS"/>
    <x v="8"/>
    <s v="LJVRE"/>
  </r>
  <r>
    <n v="122895"/>
    <s v="GISLAINE TEIXEIRA SOUZA"/>
    <s v="Diretoria Seminovos"/>
    <s v="RSRIO - Regional Seminovos Varejo Rio de Janeiro"/>
    <s v="LJVRE - Vendas Varejo Seminovos Volta Redonda"/>
    <s v="PAULO FABRICIO SCARAMELO"/>
    <s v="POSITIVO"/>
    <d v="1899-12-30T10:25:00"/>
    <d v="1899-12-30T00:00:00"/>
    <d v="1899-12-30T10:25:00"/>
    <s v=" "/>
    <s v=" "/>
    <s v=" "/>
    <d v="1899-12-30T00:20:00"/>
    <s v=" "/>
    <s v=" "/>
    <s v=" "/>
    <s v=" "/>
    <s v=" "/>
    <s v=" "/>
    <s v=" "/>
    <s v=" "/>
    <s v="Ativo"/>
    <s v="CONSULTOR DE VENDAS"/>
    <x v="8"/>
    <s v="LJVRE"/>
  </r>
  <r>
    <n v="123561"/>
    <s v="IURY DA ROCHA TAVARES"/>
    <s v="Diretoria Seminovos"/>
    <s v="RSRIO - Regional Seminovos Varejo Rio de Janeiro"/>
    <s v="LJUPB - Vendas Varejo Seminovos Up Town Barra"/>
    <s v="THIAGO HENRIQUE MELO FERREIRA"/>
    <s v="POSITIVO"/>
    <d v="1899-12-30T00:46:00"/>
    <d v="1899-12-30T00:00:00"/>
    <d v="1899-12-30T00:46:00"/>
    <s v=" "/>
    <s v=" "/>
    <s v=" "/>
    <d v="1899-12-30T00:42:00"/>
    <s v=" "/>
    <s v=" "/>
    <s v=" "/>
    <s v=" "/>
    <s v=" "/>
    <s v=" "/>
    <s v=" "/>
    <s v=" "/>
    <s v="Ativo"/>
    <s v="CONSULTOR DE VENDAS"/>
    <x v="8"/>
    <s v="LJUPB"/>
  </r>
  <r>
    <n v="135980"/>
    <s v="JOSIANE NUNES GUERHARD"/>
    <s v="Diretoria Seminovos"/>
    <s v="RSRIO - Regional Seminovos Varejo Rio de Janeiro"/>
    <s v="LJROS - Loja Seminovos  Rio das Ostras"/>
    <s v="STEFANO ZELAYA CORREI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8"/>
    <s v="LJROS"/>
  </r>
  <r>
    <n v="133838"/>
    <s v="KARINA TAVARES DE SOUZA"/>
    <s v="Diretoria Seminovos"/>
    <s v="RSRIO - Regional Seminovos Varejo Rio de Janeiro"/>
    <s v="LJDUQ - Vendas Varejo Seminovos Duque de Caxias"/>
    <s v="OTAVIO BARREIRA DE ARAUJO SOUSA"/>
    <s v="POSITIVO"/>
    <d v="1899-12-30T05:54:00"/>
    <d v="1899-12-30T00:00:00"/>
    <d v="1899-12-30T05:54:00"/>
    <d v="1899-12-30T01:33:00"/>
    <s v=" "/>
    <s v=" "/>
    <d v="1899-12-30T03:27:00"/>
    <s v=" "/>
    <s v=" "/>
    <s v=" "/>
    <s v=" "/>
    <s v=" "/>
    <s v=" "/>
    <s v=" "/>
    <s v=" "/>
    <s v="Ativo"/>
    <s v="CONSULTOR DE VENDAS"/>
    <x v="8"/>
    <s v="LJDUQ"/>
  </r>
  <r>
    <n v="130304"/>
    <s v="LEANDRO DA SILVA TEIXEIRA"/>
    <s v="Diretoria Seminovos"/>
    <s v="RSRIO - Regional Seminovos Varejo Rio de Janeiro"/>
    <s v="LJNIT - Vendas Varejo Seminovos Niterói"/>
    <s v="FELIPE REIS BARGIELA"/>
    <s v="POSITIVO"/>
    <d v="1899-12-30T03:59:00"/>
    <d v="1899-12-30T00:00:00"/>
    <d v="1899-12-30T03:59:00"/>
    <s v=" "/>
    <s v=" "/>
    <s v=" "/>
    <d v="1899-12-30T01:56:00"/>
    <s v=" "/>
    <s v=" "/>
    <s v=" "/>
    <s v=" "/>
    <s v=" "/>
    <s v=" "/>
    <s v=" "/>
    <s v=" "/>
    <s v="Ativo"/>
    <s v="CONSULTOR DE VENDAS"/>
    <x v="8"/>
    <s v="LJNIT"/>
  </r>
  <r>
    <n v="137216"/>
    <s v="LEONARDO SALES DE MESQUITA"/>
    <s v="Diretoria Seminovos"/>
    <s v="RSRIO - Regional Seminovos Varejo Rio de Janeiro"/>
    <s v="LJROS - Vendas Varejo Seminovos Rio das Ostras"/>
    <s v="STEFANO ZELAYA CORREI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8"/>
    <s v="LJROS"/>
  </r>
  <r>
    <n v="130748"/>
    <s v="LEONARDO DIAS CARVALHO"/>
    <s v="Diretoria Seminovos"/>
    <s v="RSRIO - Regional Seminovos Varejo Rio de Janeiro"/>
    <s v="LJVRE - Vendas Varejo Seminovos Volta Redonda"/>
    <s v="PAULO FABRICIO SCARAMELO"/>
    <s v="POSITIVO"/>
    <d v="1899-12-30T07:47:00"/>
    <d v="1899-12-30T00:00:00"/>
    <d v="1899-12-30T07:47:00"/>
    <s v=" "/>
    <s v=" "/>
    <s v=" "/>
    <d v="1899-12-30T02:31:00"/>
    <s v=" "/>
    <s v=" "/>
    <s v=" "/>
    <s v=" "/>
    <s v=" "/>
    <s v=" "/>
    <s v=" "/>
    <s v=" "/>
    <s v="Ativo"/>
    <s v="CONSULTOR DE VENDAS"/>
    <x v="8"/>
    <s v="LJVRE"/>
  </r>
  <r>
    <n v="130931"/>
    <s v="LUCIANA TEIXEIRA BISPO DOS SANTOS"/>
    <s v="Diretoria Seminovos"/>
    <s v="RSRIO - Regional Seminovos Varejo Rio de Janeiro"/>
    <s v="LJUPB - Loja Seminovos Up Town Barra"/>
    <s v="THIAGO HENRIQUE MELO FERREIRA"/>
    <s v="POSITIVO"/>
    <d v="1899-12-30T06:12:00"/>
    <d v="1899-12-30T00:00:00"/>
    <d v="1899-12-30T06:12:00"/>
    <s v=" "/>
    <s v=" "/>
    <s v=" "/>
    <s v=" "/>
    <s v=" "/>
    <s v=" "/>
    <s v=" "/>
    <s v=" "/>
    <s v=" "/>
    <s v=" "/>
    <s v=" "/>
    <s v=" "/>
    <s v="Ativo"/>
    <s v="AUX. DE SERVICOS GERAIS - DIRCS"/>
    <x v="8"/>
    <s v="LJUPB"/>
  </r>
  <r>
    <n v="500784"/>
    <s v="MARIA CRISTINA FROTA AGUIAR"/>
    <s v="Diretoria Seminovos"/>
    <s v="RSRIO - Regional Seminovos Varejo Rio de Janeiro"/>
    <s v="LJBAR - Loja Seminovos Barra da Tijuca"/>
    <s v="GUSTAVO DE ALMEIDA STUTZEL"/>
    <s v="POSITIVO"/>
    <d v="1899-12-31T07:34:00"/>
    <d v="1899-12-30T00:00:00"/>
    <d v="1899-12-31T07:34:00"/>
    <s v=" "/>
    <s v=" "/>
    <s v=" "/>
    <d v="1899-12-30T21:02:00"/>
    <s v=" "/>
    <s v=" "/>
    <s v=" "/>
    <s v=" "/>
    <s v=" "/>
    <s v=" "/>
    <s v=" "/>
    <s v=" "/>
    <s v="Ativo"/>
    <s v="AUX. DE SERVICOS GERAIS - DIRCS"/>
    <x v="8"/>
    <s v="LJBAR"/>
  </r>
  <r>
    <n v="502189"/>
    <s v="NOELZA DE ANDRADE MENDES"/>
    <s v="Diretoria Seminovos"/>
    <s v="RSRIO - Regional Seminovos Varejo Rio de Janeiro"/>
    <s v="LJCGD - Loja Seminovos Campo Grande Rio de Janeiro"/>
    <s v="FABIO PINTO PERE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s v="AUX. DE SERVICOS GERAIS - DIRCS"/>
    <x v="8"/>
    <s v="LJCGD"/>
  </r>
  <r>
    <n v="502876"/>
    <s v="RODNEY DIAS SILVA"/>
    <s v="Diretoria Seminovos"/>
    <s v="RSRIO - Regional Seminovos Varejo Rio de Janeiro"/>
    <s v="LJCGD - Loja Seminovos Campo Grande Rio de Janeiro"/>
    <s v="FABIO PINTO PERE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s v="HIGIENIZADOR DE CARROS"/>
    <x v="8"/>
    <s v="LJCGD"/>
  </r>
  <r>
    <n v="122075"/>
    <s v="RODRIGO DO VAL SILVA"/>
    <s v="Diretoria Seminovos"/>
    <s v="RSRIO - Regional Seminovos Varejo Rio de Janeiro"/>
    <s v="LJRIO - Loja Seminovos Rio de Janeiro"/>
    <s v="LEONARDO MATOS MOURA CAMPOS"/>
    <s v="POSITIVO"/>
    <d v="1899-12-30T08:28:00"/>
    <d v="1899-12-30T00:00:00"/>
    <d v="1899-12-30T08:28:00"/>
    <s v=" "/>
    <s v=" "/>
    <s v=" "/>
    <d v="1899-12-30T06:24:00"/>
    <s v=" "/>
    <s v=" "/>
    <s v=" "/>
    <s v=" "/>
    <s v=" "/>
    <s v=" "/>
    <s v=" "/>
    <s v=" "/>
    <s v="Ativo"/>
    <s v="HIGIENIZADOR DE CARROS"/>
    <x v="8"/>
    <s v="LJRIO"/>
  </r>
  <r>
    <n v="122928"/>
    <s v="ROSE APARECIDA CAETANO"/>
    <s v="Diretoria Seminovos"/>
    <s v="RSRIO - Regional Seminovos Varejo Rio de Janeiro"/>
    <s v="LJVRE - Vendas Varejo Seminovos Volta Redonda"/>
    <s v="PAULO FABRICIO SCARAMELO"/>
    <s v="POSITIVO"/>
    <d v="1899-12-30T09:52:00"/>
    <d v="1899-12-30T00:00:00"/>
    <d v="1899-12-30T09:52:00"/>
    <s v=" "/>
    <s v=" "/>
    <s v=" "/>
    <d v="1899-12-30T01:38:00"/>
    <s v=" "/>
    <s v=" "/>
    <s v=" "/>
    <s v=" "/>
    <s v=" "/>
    <s v=" "/>
    <s v=" "/>
    <s v=" "/>
    <s v="Ativo"/>
    <s v="CONSULTOR DE VENDAS"/>
    <x v="8"/>
    <s v="LJVRE"/>
  </r>
  <r>
    <n v="501250"/>
    <s v="VALDIR NUNES DE FREITAS"/>
    <s v="Diretoria Seminovos"/>
    <s v="RSRIO - Regional Seminovos Varejo Rio de Janeiro"/>
    <s v="LJCGD - Loja Seminovos Campo Grande Rio de Janeiro"/>
    <s v="FABIO PINTO PEREZ"/>
    <s v="POSITIVO"/>
    <d v="1899-12-30T10:43:00"/>
    <d v="1899-12-30T00:00:00"/>
    <d v="1899-12-30T10:43:00"/>
    <s v=" "/>
    <s v=" "/>
    <d v="1899-12-30T10:29:00"/>
    <d v="1899-12-30T00:14:00"/>
    <s v=" "/>
    <s v=" "/>
    <s v=" "/>
    <s v=" "/>
    <s v=" "/>
    <s v=" "/>
    <s v=" "/>
    <s v=" "/>
    <s v="Contrato de Trabalho Suspenso"/>
    <s v="HIGIENIZADOR DE CARROS"/>
    <x v="8"/>
    <s v="LJCGD"/>
  </r>
  <r>
    <n v="130421"/>
    <s v="WAGNER LUIZ DE CARVALHO"/>
    <s v="Diretoria Seminovos"/>
    <s v="RSRIO - Regional Seminovos Varejo Rio de Janeiro"/>
    <s v="LJVRE - Loja Seminovos Volta Redonda"/>
    <s v="PAULO FABRICIO SCARAMELO"/>
    <s v="POSITIVO"/>
    <d v="1899-12-30T08:11:00"/>
    <d v="1899-12-30T00:00:00"/>
    <d v="1899-12-30T08:11:00"/>
    <s v=" "/>
    <s v=" "/>
    <s v=" "/>
    <d v="1899-12-30T00:11:00"/>
    <s v=" "/>
    <s v=" "/>
    <s v=" "/>
    <s v=" "/>
    <s v=" "/>
    <s v=" "/>
    <s v=" "/>
    <s v=" "/>
    <s v="Ativo"/>
    <s v="HIGIENIZADOR DE CARROS"/>
    <x v="8"/>
    <s v="LJVRE"/>
  </r>
  <r>
    <n v="129826"/>
    <s v="WALLACE ADRIANO GOMES"/>
    <s v="Diretoria Seminovos"/>
    <s v="RSRIO - Regional Seminovos Varejo Rio de Janeiro"/>
    <s v="LJITG - Loja Seminovos Itaguaí"/>
    <s v="ANA PAULA DOS SANTOS BATISTA"/>
    <s v="POSITIVO"/>
    <d v="1899-12-31T20:02:00"/>
    <d v="1899-12-30T00:00:00"/>
    <d v="1899-12-31T20:02:00"/>
    <s v=" "/>
    <d v="1899-12-30T03:08:00"/>
    <d v="1899-12-31T08:37:00"/>
    <d v="1899-12-30T06:45:00"/>
    <s v=" "/>
    <s v=" "/>
    <s v=" "/>
    <s v=" "/>
    <s v=" "/>
    <s v=" "/>
    <s v=" "/>
    <s v=" "/>
    <s v="Ativo"/>
    <s v="HIGIENIZADOR DE CARROS"/>
    <x v="8"/>
    <s v="LJITG"/>
  </r>
  <r>
    <n v="501282"/>
    <s v="CLAUDIO ALBERTO DE LIMA"/>
    <s v="Diretoria Seminovos"/>
    <s v="RSSAO  - Regional Seminovos Varejo São Paulo"/>
    <s v="LJSAO - Vendas Varejo Seminovos São Paulo"/>
    <s v="MARCOS ELISEU JAHRMANN"/>
    <s v="POSITIVO"/>
    <d v="1900-01-02T16:54:00"/>
    <d v="1899-12-30T00:00:00"/>
    <d v="1900-01-02T16:54:00"/>
    <s v=" "/>
    <s v=" "/>
    <s v=" "/>
    <s v=" "/>
    <s v=" "/>
    <s v=" "/>
    <s v=" "/>
    <s v=" "/>
    <s v=" "/>
    <d v="1899-12-31T14:29:00"/>
    <d v="1900-01-01T02:25:00"/>
    <s v=" "/>
    <s v="Contrato de Trabalho Suspenso"/>
    <s v="CONSULTOR DE VENDAS"/>
    <x v="9"/>
    <s v="LJSAO"/>
  </r>
  <r>
    <n v="130363"/>
    <s v="LUIS EDUARDO MOREIRA"/>
    <s v="Diretoria Seminovos"/>
    <s v="RSSAO  - Regional Seminovos Varejo São Paulo"/>
    <s v="LJSAO - Vendas Varejo Seminovos São Paulo"/>
    <s v="MARCOS ELISEU JAHRMANN"/>
    <s v="POSITIVO"/>
    <d v="1900-01-02T02:21:00"/>
    <d v="1899-12-30T00:00:00"/>
    <d v="1900-01-02T02:21:00"/>
    <s v=" "/>
    <s v=" "/>
    <s v=" "/>
    <s v=" "/>
    <s v=" "/>
    <s v=" "/>
    <s v=" "/>
    <s v=" "/>
    <s v=" "/>
    <s v=" "/>
    <d v="1899-12-31T15:27:00"/>
    <d v="1899-12-30T23:13:00"/>
    <s v="Ativo"/>
    <s v="CONSULTOR DE VENDAS"/>
    <x v="9"/>
    <s v="LJSAO"/>
  </r>
  <r>
    <n v="124948"/>
    <s v="ALESSON GILMAR BRANCO"/>
    <s v="Diretoria Seminovos"/>
    <s v="RSSAO  - Regional Seminovos Varejo São Paulo"/>
    <s v="LJENC - Vendas Varejo Seminovos Nova Eng. Caetano Alvares"/>
    <s v="LUCIANO ANTONIALLI"/>
    <s v="POSITIVO"/>
    <d v="1900-01-01T16:08:00"/>
    <d v="1899-12-30T00:00:00"/>
    <d v="1900-01-01T16:08:00"/>
    <s v=" "/>
    <s v=" "/>
    <s v=" "/>
    <s v=" "/>
    <s v=" "/>
    <s v=" "/>
    <s v=" "/>
    <s v=" "/>
    <s v=" "/>
    <s v=" "/>
    <d v="1899-12-31T12:14:00"/>
    <d v="1899-12-31T01:32:00"/>
    <s v="Ativo"/>
    <s v="CONSULTOR DE VENDAS"/>
    <x v="9"/>
    <s v="LJENC"/>
  </r>
  <r>
    <n v="133179"/>
    <s v="CARLOS HENRIQUE BATISTA PAULO BAETA"/>
    <s v="Diretoria Seminovos"/>
    <s v="RSSAO  - Regional Seminovos Varejo São Paulo"/>
    <s v="LJSAO - Vendas Varejo Seminovos São Paulo"/>
    <s v="MARCOS ELISEU JAHRMANN"/>
    <s v="POSITIVO"/>
    <d v="1900-01-01T14:47:00"/>
    <d v="1899-12-30T00:00:00"/>
    <d v="1900-01-01T14:47:00"/>
    <s v=" "/>
    <s v=" "/>
    <s v=" "/>
    <s v=" "/>
    <s v=" "/>
    <s v=" "/>
    <s v=" "/>
    <s v=" "/>
    <s v=" "/>
    <d v="1899-12-30T10:21:00"/>
    <d v="1899-12-31T14:08:00"/>
    <d v="1899-12-30T04:37:00"/>
    <s v="Ativo"/>
    <s v="CONSULTOR DE VENDAS"/>
    <x v="9"/>
    <s v="LJSAO"/>
  </r>
  <r>
    <n v="502185"/>
    <s v="ADEMILSON FERREIRA JOSE"/>
    <s v="Diretoria Seminovos"/>
    <s v="RSSAO  - Regional Seminovos Varejo São Paulo"/>
    <s v="LJSAO - Vendas Varejo Seminovos São Paulo"/>
    <s v="MARCOS ELISEU JAHRMANN"/>
    <s v="POSITIVO"/>
    <d v="1900-01-01T01:43:00"/>
    <d v="1899-12-30T00:00:00"/>
    <d v="1900-01-01T01:43:00"/>
    <s v=" "/>
    <s v=" "/>
    <s v=" "/>
    <s v=" "/>
    <s v=" "/>
    <s v=" "/>
    <s v=" "/>
    <s v=" "/>
    <s v=" "/>
    <d v="1899-12-30T08:20:00"/>
    <d v="1899-12-31T17:23:00"/>
    <s v=" "/>
    <s v="Contrato de Trabalho Suspenso"/>
    <s v="CONSULTOR DE VENDAS"/>
    <x v="9"/>
    <s v="LJSAO"/>
  </r>
  <r>
    <n v="132595"/>
    <s v="ROBERTA KELLI DE LIMA DE JESUS"/>
    <s v="Diretoria Seminovos"/>
    <s v="RSSAO  - Regional Seminovos Varejo São Paulo"/>
    <s v="LJENC - Vendas Varejo Seminovos Nova Eng. Caetano Alvares"/>
    <s v="LUCIANO ANTONIALLI"/>
    <s v="POSITIVO"/>
    <d v="1899-12-31T12:38:00"/>
    <d v="1899-12-30T00:00:00"/>
    <d v="1899-12-31T12:38:00"/>
    <s v=" "/>
    <s v=" "/>
    <s v=" "/>
    <s v=" "/>
    <s v=" "/>
    <s v=" "/>
    <s v=" "/>
    <s v=" "/>
    <s v=" "/>
    <d v="1899-12-30T16:31:00"/>
    <d v="1899-12-31T05:20:00"/>
    <d v="1899-12-30T01:52:00"/>
    <s v="Ativo"/>
    <s v="CONSULTOR DE VENDAS"/>
    <x v="9"/>
    <s v="LJENC"/>
  </r>
  <r>
    <n v="501264"/>
    <s v="MARIA CLEA DE LIMA"/>
    <s v="Diretoria Seminovos"/>
    <s v="RSSAO  - Regional Seminovos Varejo São Paulo"/>
    <s v="LJSAO - Vendas Varejo Seminovos São Paulo"/>
    <s v="MARCOS ELISEU JAHRMANN"/>
    <s v="POSITIVO"/>
    <d v="1899-12-31T21:00:00"/>
    <d v="1899-12-30T00:00:00"/>
    <d v="1899-12-31T21:00:00"/>
    <s v=" "/>
    <s v=" "/>
    <s v=" "/>
    <s v=" "/>
    <s v=" "/>
    <s v=" "/>
    <d v="1899-12-30T12:22:00"/>
    <d v="1899-12-30T04:10:00"/>
    <s v=" "/>
    <s v=" "/>
    <s v=" "/>
    <d v="1899-12-31T03:14:00"/>
    <s v="Ativo"/>
    <s v="CONSULTOR DE VENDAS"/>
    <x v="9"/>
    <s v="LJSAO"/>
  </r>
  <r>
    <n v="123793"/>
    <s v="RODRIGO CONRADO DE ANDRADE"/>
    <s v="Diretoria Seminovos"/>
    <s v="RSSAO  - Regional Seminovos Varejo São Paulo"/>
    <s v="LJSAM - Vendas Varejo Seminovos Santo Amaro"/>
    <s v="RENIVALDO GONCALVES DO NASCIMENTO"/>
    <s v="POSITIVO"/>
    <d v="1899-12-31T13:22:00"/>
    <d v="1899-12-30T00:00:00"/>
    <d v="1899-12-31T13:22:00"/>
    <s v=" "/>
    <s v=" "/>
    <s v=" "/>
    <s v=" "/>
    <s v=" "/>
    <s v=" "/>
    <s v=" "/>
    <s v=" "/>
    <s v=" "/>
    <d v="1899-12-30T22:15:00"/>
    <d v="1899-12-30T15:07:00"/>
    <s v=" "/>
    <s v="Ativo"/>
    <s v="CONSULTOR DE VENDAS"/>
    <x v="9"/>
    <s v="LJSAM"/>
  </r>
  <r>
    <n v="135264"/>
    <s v="ROBERVAL RODRIGUES DOS SANTOS JUNIOR"/>
    <s v="Diretoria Seminovos"/>
    <s v="RSSAO  - Regional Seminovos Varejo São Paulo"/>
    <s v="LJSPN - Vendas Varejo Seminovos Vila Guilherme"/>
    <s v="ALAN GUARNIERI NUNES"/>
    <s v="POSITIVO"/>
    <d v="1899-12-31T10:45:00"/>
    <d v="1899-12-30T00:00:00"/>
    <d v="1899-12-31T10:45:00"/>
    <s v=" "/>
    <s v=" "/>
    <s v=" "/>
    <s v=" "/>
    <s v=" "/>
    <s v=" "/>
    <s v=" "/>
    <s v=" "/>
    <s v=" "/>
    <s v=" "/>
    <d v="1899-12-30T05:28:00"/>
    <d v="1899-12-31T00:08:00"/>
    <s v="Ativo"/>
    <s v="CONSULTOR DE VENDAS"/>
    <x v="9"/>
    <s v="LJSPN"/>
  </r>
  <r>
    <n v="132671"/>
    <s v="EVANDRO MAFI"/>
    <s v="Diretoria Seminovos"/>
    <s v="RSSAO  - Regional Seminovos Varejo São Paulo"/>
    <s v="LJLEP - Vendas Varejo Seminovos Vila Leopoldina"/>
    <s v="RENIVALDO GONCALVES DO NASCIMENTO"/>
    <s v="POSITIVO"/>
    <d v="1899-12-31T05:27:00"/>
    <d v="1899-12-30T00:00:00"/>
    <d v="1899-12-31T05:27:00"/>
    <s v=" "/>
    <s v=" "/>
    <s v=" "/>
    <s v=" "/>
    <s v=" "/>
    <d v="1899-12-30T03:02:00"/>
    <d v="1899-12-30T18:05:00"/>
    <d v="1899-12-30T08:20:00"/>
    <s v=" "/>
    <s v=" "/>
    <s v=" "/>
    <s v=" "/>
    <s v="Contrato de Trabalho Suspenso"/>
    <s v="CONSULTOR DE VENDAS"/>
    <x v="9"/>
    <s v="LJLEP"/>
  </r>
  <r>
    <n v="503428"/>
    <s v="ESTEFANO FERREIRA HENNEBERG"/>
    <s v="Diretoria Seminovos"/>
    <s v="RSSAO  - Regional Seminovos Varejo São Paulo"/>
    <s v="LJRJF - Administração Seminovos Ricardo Jafet"/>
    <s v="MARCELA ATAIDE MUNIZ"/>
    <s v="POSITIVO"/>
    <d v="1899-12-30T00:53:00"/>
    <d v="1899-12-30T00:00:00"/>
    <d v="1899-12-30T00:53:00"/>
    <s v=" "/>
    <s v=" "/>
    <d v="1899-12-30T00:11:00"/>
    <d v="1899-12-30T00:14:00"/>
    <s v=" "/>
    <s v=" "/>
    <s v=" "/>
    <s v=" "/>
    <s v=" "/>
    <s v=" "/>
    <s v=" "/>
    <s v=" "/>
    <s v="Ativo"/>
    <s v="APOIO ADMINISTRATIVO - 6H"/>
    <x v="9"/>
    <s v="LJRJF"/>
  </r>
  <r>
    <n v="130618"/>
    <s v="SERGIO AMERICO DOS SANTOS"/>
    <s v="Diretoria Seminovos"/>
    <s v="RSSAO  - Regional Seminovos Varejo São Paulo"/>
    <s v="LJSAM - Vendas Varejo Seminovos Santo Amaro"/>
    <s v="RENIVALDO GONCALVES DO NASCIMENTO"/>
    <s v="POSITIVO"/>
    <d v="1899-12-31T02:58:00"/>
    <d v="1899-12-30T00:00:00"/>
    <d v="1899-12-31T02:58:00"/>
    <s v=" "/>
    <s v=" "/>
    <s v=" "/>
    <s v=" "/>
    <s v=" "/>
    <s v=" "/>
    <s v=" "/>
    <s v=" "/>
    <s v=" "/>
    <s v=" "/>
    <d v="1899-12-30T05:32:00"/>
    <d v="1899-12-30T13:08:00"/>
    <s v="Ativo"/>
    <s v="CONSULTOR DE VENDAS"/>
    <x v="9"/>
    <s v="LJSAM"/>
  </r>
  <r>
    <n v="131605"/>
    <s v="RENATO VALLADARES HERNANDEZ"/>
    <s v="Diretoria Seminovos"/>
    <s v="RSSAO  - Regional Seminovos Varejo São Paulo"/>
    <s v="LJRJF - Vendas Varejo Seminovos Ricardo Jafet"/>
    <s v="GUILHERME COIMBRA GUIMARAES"/>
    <s v="POSITIVO"/>
    <d v="1899-12-30T14:22:00"/>
    <d v="1899-12-30T00:00:00"/>
    <d v="1899-12-30T14:22:00"/>
    <s v=" "/>
    <s v=" "/>
    <s v=" "/>
    <s v=" "/>
    <s v=" "/>
    <s v=" "/>
    <d v="1899-12-30T00:45:00"/>
    <d v="1899-12-30T08:53:00"/>
    <s v=" "/>
    <s v=" "/>
    <d v="1899-12-30T02:27:00"/>
    <d v="1899-12-30T02:17:00"/>
    <s v="Ativo"/>
    <s v="CONSULTOR DE VENDAS"/>
    <x v="9"/>
    <s v="LJRJF"/>
  </r>
  <r>
    <n v="122800"/>
    <s v="UILIAN SIMOES SANCHES"/>
    <s v="Diretoria Seminovos"/>
    <s v="RSSAO  - Regional Seminovos Varejo São Paulo"/>
    <s v="LJSAO - Vendas Varejo Seminovos São Paulo"/>
    <s v="MARCOS ELISEU JAHRMANN"/>
    <s v="POSITIVO"/>
    <d v="1899-12-30T12:17:00"/>
    <d v="1899-12-30T00:00:00"/>
    <d v="1899-12-30T12:17:00"/>
    <s v=" "/>
    <s v=" "/>
    <s v=" "/>
    <s v=" "/>
    <s v=" "/>
    <s v=" "/>
    <s v=" "/>
    <s v=" "/>
    <s v=" "/>
    <s v=" "/>
    <s v=" "/>
    <d v="1899-12-30T13:58:00"/>
    <s v="Ativo"/>
    <s v="CONSULTOR DE VENDAS"/>
    <x v="9"/>
    <s v="LJSAO"/>
  </r>
  <r>
    <n v="136464"/>
    <s v="VALDERLANDIA MOREIRA MOTA"/>
    <s v="Diretoria Seminovos"/>
    <s v="RSSAO  - Regional Seminovos Varejo São Paulo"/>
    <s v="LJSPN - Vendas Varejo Seminovos Vila Guilherme"/>
    <s v="ALAN GUARNIERI NUNES"/>
    <s v="POSITIVO"/>
    <d v="1899-12-30T09:51:00"/>
    <d v="1899-12-30T00:00:00"/>
    <d v="1899-12-30T09:51:00"/>
    <s v=" "/>
    <s v=" "/>
    <s v=" "/>
    <s v=" "/>
    <s v=" "/>
    <s v=" "/>
    <s v=" "/>
    <s v=" "/>
    <s v=" "/>
    <s v=" "/>
    <d v="1899-12-30T09:40:00"/>
    <d v="1899-12-30T00:11:00"/>
    <s v="Ativo"/>
    <s v="CONSULTOR DE VENDAS"/>
    <x v="9"/>
    <s v="LJSPN"/>
  </r>
  <r>
    <n v="135486"/>
    <s v="RICARDO FERNANDES DA SILVA"/>
    <s v="Diretoria Seminovos"/>
    <s v="RSSAO  - Regional Seminovos Varejo São Paulo"/>
    <s v="LJSPN - Vendas Varejo Seminovos Vila Guilherme"/>
    <s v="ALAN GUARNIERI NUNES"/>
    <s v="POSITIVO"/>
    <d v="1899-12-30T08:49:00"/>
    <d v="1899-12-30T00:00:00"/>
    <d v="1899-12-30T08:49:00"/>
    <s v=" "/>
    <s v=" "/>
    <s v=" "/>
    <s v=" "/>
    <s v=" "/>
    <s v=" "/>
    <s v=" "/>
    <s v=" "/>
    <s v=" "/>
    <s v=" "/>
    <d v="1899-12-30T08:49:00"/>
    <s v=" "/>
    <s v="Contrato de Trabalho Suspenso"/>
    <s v="CONSULTOR DE VENDAS"/>
    <x v="9"/>
    <s v="LJSPN"/>
  </r>
  <r>
    <n v="132823"/>
    <s v="SILVANA ARRUDA GOMES"/>
    <s v="Diretoria Seminovos"/>
    <s v="RSSAO  - Regional Seminovos Varejo São Paulo"/>
    <s v="LJSPN - Vendas Varejo Seminovos Vila Guilherme"/>
    <s v="ALAN GUARNIERI NUNES"/>
    <s v="POSITIVO"/>
    <d v="1899-12-30T18:16:00"/>
    <d v="1899-12-30T00:00:00"/>
    <d v="1899-12-30T18:16:00"/>
    <s v=" "/>
    <s v=" "/>
    <s v=" "/>
    <s v=" "/>
    <s v=" "/>
    <s v=" "/>
    <s v=" "/>
    <s v=" "/>
    <s v=" "/>
    <s v=" "/>
    <s v=" "/>
    <d v="1899-12-30T08:44:00"/>
    <s v="Ativo"/>
    <s v="CONSULTOR DE VENDAS"/>
    <x v="9"/>
    <s v="LJSPN"/>
  </r>
  <r>
    <n v="132452"/>
    <s v="LEILA ALI MAROUF"/>
    <s v="Diretoria Seminovos"/>
    <s v="RSSAO  - Regional Seminovos Varejo São Paulo"/>
    <s v="LJSAM - Vendas Varejo Seminovos Santo Amaro"/>
    <s v="RENIVALDO GONCALVES DO NASCIMENTO"/>
    <s v="POSITIVO"/>
    <d v="1899-12-30T08:17:00"/>
    <d v="1899-12-30T00:00:00"/>
    <d v="1899-12-30T08:17:00"/>
    <s v=" "/>
    <s v=" "/>
    <s v=" "/>
    <s v=" "/>
    <s v=" "/>
    <s v=" "/>
    <s v=" "/>
    <s v=" "/>
    <s v=" "/>
    <s v=" "/>
    <s v=" "/>
    <d v="1899-12-30T08:17:00"/>
    <s v="Ativo"/>
    <s v="CONSULTOR DE VENDAS"/>
    <x v="9"/>
    <s v="LJSAM"/>
  </r>
  <r>
    <n v="502865"/>
    <s v="CLAUDENIR MELO DO NASCIMENTO"/>
    <s v="Diretoria Seminovos"/>
    <s v="RSSAO  - Regional Seminovos Varejo São Paulo"/>
    <s v="LJSAM - Vendas Varejo Seminovos Santo Amaro"/>
    <s v="RENIVALDO GONCALVES DO NASCIMENTO"/>
    <s v="POSITIVO"/>
    <d v="1899-12-30T07:08:00"/>
    <d v="1899-12-30T00:00:00"/>
    <d v="1899-12-30T07:08:00"/>
    <s v=" "/>
    <s v=" "/>
    <s v=" "/>
    <s v=" "/>
    <s v=" "/>
    <s v=" "/>
    <s v=" "/>
    <s v=" "/>
    <s v=" "/>
    <d v="1899-12-30T03:56:00"/>
    <d v="1899-12-30T03:12:00"/>
    <s v=" "/>
    <s v="Contrato de Trabalho Suspenso"/>
    <s v="CONSULTOR DE VENDAS"/>
    <x v="9"/>
    <s v="LJSAM"/>
  </r>
  <r>
    <n v="121494"/>
    <s v="LEONICE SANTOS ALVES DA SILVA"/>
    <s v="Diretoria Seminovos"/>
    <s v="RSSAO  - Regional Seminovos Varejo São Paulo"/>
    <s v="LJSPN - Loja Seminovos Vila Guilherme"/>
    <s v="ALAN GUARNIERI NUNES"/>
    <s v="POSITIVO"/>
    <d v="1899-12-30T08:30:00"/>
    <d v="1899-12-30T00:00:00"/>
    <d v="1899-12-30T08:30:00"/>
    <s v=" "/>
    <s v=" "/>
    <s v=" "/>
    <s v=" "/>
    <s v=" "/>
    <s v=" "/>
    <s v=" "/>
    <d v="1899-12-30T03:39:00"/>
    <d v="1899-12-30T00:20:00"/>
    <s v=" "/>
    <s v=" "/>
    <s v=" "/>
    <s v="Ativo"/>
    <s v="AUX. DE SERVICOS GERAIS - DIRCS"/>
    <x v="9"/>
    <s v="LJSPN"/>
  </r>
  <r>
    <n v="136376"/>
    <s v="BRUNO CRISTIAN CAMPOS BATISTA"/>
    <s v="Diretoria Seminovos"/>
    <s v="RSSAO  - Regional Seminovos Varejo São Paulo"/>
    <s v="LJNAU - Vendas Varejo Seminovos Nações Unidas"/>
    <s v="DANIEL RODRIGUES CARDOZO DOS SANTOS JUNIOR"/>
    <s v="POSITIVO"/>
    <d v="1899-12-30T05:14:00"/>
    <d v="1899-12-30T00:00:00"/>
    <d v="1899-12-30T05:14:00"/>
    <s v=" "/>
    <s v=" "/>
    <s v=" "/>
    <s v=" "/>
    <s v=" "/>
    <s v=" "/>
    <s v=" "/>
    <s v=" "/>
    <s v=" "/>
    <d v="1899-12-30T05:14:00"/>
    <s v=" "/>
    <s v=" "/>
    <s v="Contrato de Trabalho Suspenso"/>
    <s v="CONSULTOR DE VENDAS"/>
    <x v="9"/>
    <s v="LJNAU"/>
  </r>
  <r>
    <n v="503601"/>
    <s v="GILBERTO FERREIRA CONCEICAO"/>
    <s v="Diretoria Seminovos"/>
    <s v="RSSAO  - Regional Seminovos Varejo São Paulo"/>
    <s v="LJSPP - Vendas Varejo Seminovos Penha"/>
    <s v="FERNANDO CARDOSO DA SILVA FILHO"/>
    <s v="POSITIVO"/>
    <d v="1899-12-30T06:23:00"/>
    <d v="1899-12-30T00:00:00"/>
    <d v="1899-12-30T06:23:00"/>
    <s v=" "/>
    <s v=" "/>
    <s v=" "/>
    <s v=" "/>
    <s v=" "/>
    <s v=" "/>
    <s v=" "/>
    <s v=" "/>
    <s v=" "/>
    <s v=" "/>
    <s v=" "/>
    <d v="1899-12-30T01:30:00"/>
    <s v="Ativo"/>
    <s v="CONSULTOR DE VENDAS"/>
    <x v="9"/>
    <s v="LJSPP"/>
  </r>
  <r>
    <n v="131646"/>
    <s v="FELIPE BARBOSA VIEIRA"/>
    <s v="Diretoria Seminovos"/>
    <s v="RSSAO  - Regional Seminovos Varejo São Paulo"/>
    <s v="LJSCM - Vendas Varejo Seminovos Shopping Cidade Morumbi SP"/>
    <s v="JOAO FELIPE DE BARROS BICUDO"/>
    <s v="POSITIVO"/>
    <d v="1899-12-30T01:09:00"/>
    <d v="1899-12-30T00:00:00"/>
    <d v="1899-12-30T01:09:00"/>
    <s v=" "/>
    <s v=" "/>
    <s v=" "/>
    <s v=" "/>
    <s v=" "/>
    <s v=" "/>
    <s v=" "/>
    <d v="1899-12-30T01:09:00"/>
    <s v=" "/>
    <s v=" "/>
    <s v=" "/>
    <s v=" "/>
    <s v="Ativo"/>
    <s v="CONSULTOR DE VENDAS"/>
    <x v="9"/>
    <s v="LJSCM"/>
  </r>
  <r>
    <n v="131905"/>
    <s v="MAZAR MASSAO MINAMIZAWA"/>
    <s v="Diretoria Seminovos"/>
    <s v="RSSAO  - Regional Seminovos Varejo São Paulo"/>
    <s v="LJSPN - Vendas Varejo Seminovos Vila Guilherme"/>
    <s v="ALAN GUARNIERI NUNES"/>
    <s v="POSITIVO"/>
    <d v="1899-12-30T00:58:00"/>
    <d v="1899-12-30T00:00:00"/>
    <d v="1899-12-30T00:58:00"/>
    <s v=" "/>
    <s v=" "/>
    <s v=" "/>
    <s v=" "/>
    <s v=" "/>
    <s v=" "/>
    <s v=" "/>
    <s v=" "/>
    <s v=" "/>
    <d v="1899-12-30T00:58:00"/>
    <s v=" "/>
    <s v=" "/>
    <s v="Af.Ac.Trabalho"/>
    <s v="CONSULTOR DE VENDAS"/>
    <x v="9"/>
    <s v="LJSPN"/>
  </r>
  <r>
    <n v="132546"/>
    <s v="JOSE ALEX DE LIRA LIMA"/>
    <s v="Diretoria Seminovos"/>
    <s v="RSSAO  - Regional Seminovos Varejo São Paulo"/>
    <s v="LJSPN - Vendas Varejo Seminovos Vila Guilherme"/>
    <s v="ALAN GUARNIERI NUNES"/>
    <s v="POSITIVO"/>
    <d v="1899-12-30T11:53:00"/>
    <d v="1899-12-30T00:00:00"/>
    <d v="1899-12-30T11:53:00"/>
    <s v=" "/>
    <s v=" "/>
    <s v=" "/>
    <s v=" "/>
    <s v=" "/>
    <s v=" "/>
    <s v=" "/>
    <s v=" "/>
    <s v=" "/>
    <s v=" "/>
    <s v=" "/>
    <d v="1899-12-30T00:53:00"/>
    <s v="Ativo"/>
    <s v="CONSULTOR DE VENDAS"/>
    <x v="9"/>
    <s v="LJSPN"/>
  </r>
  <r>
    <n v="502916"/>
    <s v="LUCIANO DA SILVA SANTOS"/>
    <s v="Diretoria Seminovos"/>
    <s v="RSSAO  - Regional Seminovos Varejo São Paulo"/>
    <s v="LJNAU - Vendas Varejo Seminovos Nações Unidas"/>
    <s v="DANIEL RODRIGUES CARDOZO DOS SANTOS JUNIOR"/>
    <s v="POSITIVO"/>
    <d v="1899-12-30T00:30:00"/>
    <d v="1899-12-30T00:00:00"/>
    <d v="1899-12-30T00:30:00"/>
    <s v=" "/>
    <s v=" "/>
    <s v=" "/>
    <s v=" "/>
    <s v=" "/>
    <s v=" "/>
    <d v="1899-12-30T00:30:00"/>
    <s v=" "/>
    <s v=" "/>
    <s v=" "/>
    <s v=" "/>
    <s v=" "/>
    <s v="Ativo"/>
    <s v="CONSULTOR DE VENDAS"/>
    <x v="9"/>
    <s v="LJNAU"/>
  </r>
  <r>
    <n v="131903"/>
    <s v="ALMIR EDSON LOPES"/>
    <s v="Diretoria Seminovos"/>
    <s v="RSSAO  - Regional Seminovos Varejo São Paulo"/>
    <s v="LJCTN - Vendas Varejo Seminovos Center Norte"/>
    <s v="MARCOS CAZARIN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9"/>
    <s v="LJCTN"/>
  </r>
  <r>
    <n v="133464"/>
    <s v="AMARILDO VARGAS MORENO"/>
    <s v="Diretoria Seminovos"/>
    <s v="RSSAO  - Regional Seminovos Varejo São Paulo"/>
    <s v="LJSMT - Vendas Varejo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9"/>
    <s v="LJSMT"/>
  </r>
  <r>
    <n v="133465"/>
    <s v="CARLOS EDUARDO SANTOS"/>
    <s v="Diretoria Seminovos"/>
    <s v="RSSAO  - Regional Seminovos Varejo São Paulo"/>
    <s v="LJSMT - Vendas Varejo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9"/>
    <s v="LJSMT"/>
  </r>
  <r>
    <n v="131761"/>
    <s v="ERICO KALADRINO NUNES RIOS"/>
    <s v="Diretoria Seminovos"/>
    <s v="RSSAO  - Regional Seminovos Varejo São Paulo"/>
    <s v="LJRJF - Vendas Varejo Seminovos Ricardo Jafet"/>
    <s v="GUILHERME COIMBRA GUIMARA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9"/>
    <s v="LJRJF"/>
  </r>
  <r>
    <n v="133895"/>
    <s v="FABIO PIRES JACYNTO"/>
    <s v="Diretoria Seminovos"/>
    <s v="RSSAO  - Regional Seminovos Varejo São Paulo"/>
    <s v="LJSMT - Vendas Varejo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9"/>
    <s v="LJSMT"/>
  </r>
  <r>
    <n v="503107"/>
    <s v="FERNANDO MARCELO LOUSAO"/>
    <s v="Diretoria Seminovos"/>
    <s v="RSSAO  - Regional Seminovos Varejo São Paulo"/>
    <s v="LJLPA - Vendas Varejo Seminovos Lapa"/>
    <s v="BRUNO SILVEIRA KAESER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9"/>
    <s v="LJLPA"/>
  </r>
  <r>
    <n v="502655"/>
    <s v="FLAVIO JORGE MOURA"/>
    <s v="Diretoria Seminovos"/>
    <s v="RSSAO  - Regional Seminovos Varejo São Paulo"/>
    <s v="LJSPS - Vendas Varejo Seminovos Francisco Morato"/>
    <s v="JOAO FELIPE DE BARROS BICUD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pos. Invalidez"/>
    <s v="CONSULTOR DE VENDAS"/>
    <x v="9"/>
    <s v="LJSPS"/>
  </r>
  <r>
    <n v="130182"/>
    <s v="MICHELE SUEKO NAGASSAKI"/>
    <s v="Diretoria Seminovos"/>
    <s v="RSSAO  - Regional Seminovos Varejo São Paulo"/>
    <s v="LJLPA - Vendas Varejo Seminovos Lapa"/>
    <s v="BRUNO SILVEIRA KAESER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9"/>
    <s v="LJLPA"/>
  </r>
  <r>
    <n v="132924"/>
    <s v="RODRIGO FERREIRA DE OLIVEIRA"/>
    <s v="Diretoria Seminovos"/>
    <s v="RSSAO  - Regional Seminovos Varejo São Paulo"/>
    <s v="LJSPS - Vendas Varejo Seminovos Francisco Morato"/>
    <s v="SAMUEL SATOSHI SANTOS SUZUK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9"/>
    <s v="LJSPS"/>
  </r>
  <r>
    <n v="503137"/>
    <s v="VILMAR VIANNA"/>
    <s v="Diretoria Seminovos"/>
    <s v="RSSAO  - Regional Seminovos Varejo São Paulo"/>
    <s v="LJRJF - Vendas Varejo Seminovos Ricardo Jafet"/>
    <s v="GUILHERME COIMBRA GUIMARA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9"/>
    <s v="LJRJF"/>
  </r>
  <r>
    <n v="121590"/>
    <s v="ANTONIA ARAUJO PEREIRA"/>
    <s v="Diretoria Seminovos"/>
    <s v="RSSAO  - Regional Seminovos Varejo São Paulo"/>
    <s v="LJLEP - Loja Seminovos Vila Leopoldina"/>
    <s v="RENIVALDO GONCALVES DO NASCIMEN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9"/>
    <s v="LJLEP"/>
  </r>
  <r>
    <n v="118505"/>
    <s v="BRUNO ROSA DA SILVA"/>
    <s v="Diretoria Seminovos"/>
    <s v="RSSAO  - Regional Seminovos Varejo São Paulo"/>
    <s v="LJENC - Loja Seminovos Nova Engenheiro Caetano Alvares"/>
    <s v="LUCIANO ANTONIALLI"/>
    <s v="POSITIVO"/>
    <d v="1899-12-30T15:05:00"/>
    <d v="1899-12-30T00:00:00"/>
    <d v="1899-12-30T15:05:00"/>
    <s v=" "/>
    <s v=" "/>
    <s v=" "/>
    <s v=" "/>
    <s v=" "/>
    <s v=" "/>
    <s v=" "/>
    <s v=" "/>
    <s v=" "/>
    <d v="1899-12-30T03:55:00"/>
    <d v="1899-12-30T06:11:00"/>
    <d v="1899-12-30T03:28:00"/>
    <s v="Ativo"/>
    <s v="HIGIENIZADOR DE CARROS"/>
    <x v="9"/>
    <s v="LJENC"/>
  </r>
  <r>
    <n v="117948"/>
    <s v="ELIANA APARECIDA CAVALCANTE"/>
    <s v="Diretoria Seminovos"/>
    <s v="RSSAO  - Regional Seminovos Varejo São Paulo"/>
    <s v="LJSPS - Loja Seminovos Francisco Morato"/>
    <s v="SAMUEL SATOSHI SANTOS SUZUKI"/>
    <s v="POSITIVO"/>
    <d v="1899-12-30T02:00:00"/>
    <d v="1899-12-30T00:00:00"/>
    <d v="1899-12-30T02:00:00"/>
    <s v=" "/>
    <s v=" "/>
    <s v=" "/>
    <s v=" "/>
    <s v=" "/>
    <s v=" "/>
    <s v=" "/>
    <d v="1899-12-30T02:00:00"/>
    <s v=" "/>
    <s v=" "/>
    <s v=" "/>
    <s v=" "/>
    <s v="Ativo"/>
    <s v="AUX. DE SERVICOS GERAIS - DIRCS"/>
    <x v="9"/>
    <s v="LJSPS"/>
  </r>
  <r>
    <n v="134335"/>
    <s v="EUCLESIO PEREIRA"/>
    <s v="Diretoria Seminovos"/>
    <s v="RSSAO  - Regional Seminovos Varejo São Paulo"/>
    <s v="LJSAM - Loja Seminovos Santo Amaro"/>
    <s v="RENIVALDO GONCALVES DO NASCIMENTO"/>
    <s v="POSITIVO"/>
    <d v="1899-12-30T09:50:00"/>
    <d v="1899-12-30T00:00:00"/>
    <d v="1899-12-30T09:50:00"/>
    <s v=" "/>
    <s v=" "/>
    <s v=" "/>
    <s v=" "/>
    <s v=" "/>
    <s v=" "/>
    <s v=" "/>
    <s v=" "/>
    <s v=" "/>
    <d v="1899-12-30T09:35:00"/>
    <d v="1899-12-30T00:15:00"/>
    <s v=" "/>
    <s v="Contrato de Trabalho Suspenso"/>
    <s v="HIGIENIZADOR DE CARROS"/>
    <x v="9"/>
    <s v="LJSAM"/>
  </r>
  <r>
    <n v="124329"/>
    <s v="EMERSON JUNIOR MEIRA"/>
    <s v="Diretoria Seminovos"/>
    <s v="RSSAO  - Regional Seminovos Varejo São Paulo"/>
    <s v="LJSPN - Vendas Varejo Seminovos Vila Guilherme"/>
    <s v="ALAN GUARNIERI NUNES"/>
    <s v="POSITIVO"/>
    <d v="1899-12-30T02:23:00"/>
    <d v="1899-12-30T00:00:00"/>
    <d v="1899-12-30T02:23:00"/>
    <s v=" "/>
    <s v=" "/>
    <s v=" "/>
    <s v=" "/>
    <s v=" "/>
    <s v=" "/>
    <s v=" "/>
    <s v=" "/>
    <s v=" "/>
    <s v=" "/>
    <s v=" "/>
    <d v="1899-12-30T00:26:00"/>
    <s v="Ativo"/>
    <s v="CONSULTOR DE VENDAS"/>
    <x v="9"/>
    <s v="LJSPN"/>
  </r>
  <r>
    <n v="122378"/>
    <s v="FILIPE BIMBATI"/>
    <s v="Diretoria Seminovos"/>
    <s v="RSSAO  - Regional Seminovos Varejo São Paulo"/>
    <s v="LJRJF - Loja Seminovos Ricardo Jafet"/>
    <s v="GUILHERME COIMBRA GUIMARAES"/>
    <s v="POSITIVO"/>
    <d v="1899-12-30T22:58:00"/>
    <d v="1899-12-30T00:00:00"/>
    <d v="1899-12-30T22:58:00"/>
    <s v=" "/>
    <s v=" "/>
    <s v=" "/>
    <s v=" "/>
    <s v=" "/>
    <s v=" "/>
    <s v=" "/>
    <s v=" "/>
    <s v=" "/>
    <d v="1899-12-30T20:33:00"/>
    <s v=" "/>
    <d v="1899-12-30T01:52:00"/>
    <s v="Ativo"/>
    <s v="HIGIENIZADOR DE CARROS"/>
    <x v="9"/>
    <s v="LJRJF"/>
  </r>
  <r>
    <n v="500336"/>
    <s v="JOSEFA DEUZENEIDE DA SILVA"/>
    <s v="Diretoria Seminovos"/>
    <s v="RSSAO  - Regional Seminovos Varejo São Paulo"/>
    <s v="LJSAO - Loja Seminovos São Paulo"/>
    <s v="MARCOS ELISEU JAHRMANN"/>
    <s v="POSITIVO"/>
    <d v="1899-12-31T16:40:00"/>
    <d v="1899-12-30T00:00:00"/>
    <d v="1899-12-31T16:40:00"/>
    <s v=" "/>
    <s v=" "/>
    <s v=" "/>
    <s v=" "/>
    <s v=" "/>
    <s v=" "/>
    <s v=" "/>
    <s v=" "/>
    <s v=" "/>
    <s v=" "/>
    <s v=" "/>
    <d v="1899-12-31T04:13:00"/>
    <s v="Ativo"/>
    <s v="AUX. DE SERVICOS GERAIS - DIRCS"/>
    <x v="9"/>
    <s v="LJSAO"/>
  </r>
  <r>
    <n v="502223"/>
    <s v="JOSEFA MARIA DA CRUZ SENA"/>
    <s v="Diretoria Seminovos"/>
    <s v="RSSAO  - Regional Seminovos Varejo São Paulo"/>
    <s v="LJSAM - Loja Seminovos Santo Amaro"/>
    <s v="RENIVALDO GONCALVES DO NASCIMENTO"/>
    <s v="POSITIVO"/>
    <d v="1899-12-31T16:41:00"/>
    <d v="1899-12-30T00:00:00"/>
    <d v="1899-12-31T16:41:00"/>
    <s v=" "/>
    <s v=" "/>
    <s v=" "/>
    <s v=" "/>
    <s v=" "/>
    <s v=" "/>
    <s v=" "/>
    <s v=" "/>
    <s v=" "/>
    <s v=" "/>
    <d v="1899-12-30T02:25:00"/>
    <d v="1899-12-31T01:28:00"/>
    <s v="Ativo"/>
    <s v="AUX. DE SERVICOS GERAIS - DIRCS"/>
    <x v="9"/>
    <s v="LJSAM"/>
  </r>
  <r>
    <n v="130743"/>
    <s v="JOSENILDA RIBEIRO VENTURA"/>
    <s v="Diretoria Seminovos"/>
    <s v="RSSAO  - Regional Seminovos Varejo São Paulo"/>
    <s v="LJCTN - Loja Seminovos Center Norte"/>
    <s v="MARCOS CAZARIN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9"/>
    <s v="LJCTN"/>
  </r>
  <r>
    <n v="124123"/>
    <s v="LEANDRO GOMES FERREIRA"/>
    <s v="Diretoria Seminovos"/>
    <s v="RSSAO  - Regional Seminovos Varejo São Paulo"/>
    <s v="LJSPS - Loja Seminovos Francisco Morato"/>
    <s v="SAMUEL SATOSHI SANTOS SUZUKI"/>
    <s v="POSITIVO"/>
    <d v="1899-12-30T01:23:00"/>
    <d v="1899-12-30T00:00:00"/>
    <d v="1899-12-30T01:23:00"/>
    <s v=" "/>
    <s v=" "/>
    <s v=" "/>
    <s v=" "/>
    <s v=" "/>
    <s v=" "/>
    <s v=" "/>
    <d v="1899-12-30T01:23:00"/>
    <s v=" "/>
    <s v=" "/>
    <s v=" "/>
    <s v=" "/>
    <s v="Ativo"/>
    <s v="ADMINISTRATIVO I - FILIAL"/>
    <x v="9"/>
    <s v="LJSPS"/>
  </r>
  <r>
    <n v="503324"/>
    <s v="LUCIANA REIS ALVES"/>
    <s v="Diretoria Seminovos"/>
    <s v="RSSAO  - Regional Seminovos Varejo São Paulo"/>
    <s v="LJLPA - Administração Seminovos Lapa"/>
    <s v="MARCELA ATAIDE MUNIZ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s v="ADMINISTRATIVO I - FILIAL"/>
    <x v="9"/>
    <s v="LJLPA"/>
  </r>
  <r>
    <n v="133248"/>
    <s v="MARCOS ADRIANO CARVALHO DE MOURA"/>
    <s v="Diretoria Seminovos"/>
    <s v="RSSAO  - Regional Seminovos Varejo São Paulo"/>
    <s v="LJSMT - Loja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9"/>
    <s v="LJSMT"/>
  </r>
  <r>
    <n v="501042"/>
    <s v="MARIA DALVA PEREIRA SANTOS DA SILVA"/>
    <s v="Diretoria Seminovos"/>
    <s v="RSSAO  - Regional Seminovos Varejo São Paulo"/>
    <s v="LJSMT - Loja Seminovos São Mateus"/>
    <s v="EDERSON TRAM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9"/>
    <s v="LJSMT"/>
  </r>
  <r>
    <n v="501125"/>
    <s v="MARIA DO ROSARIO FARIAS DA SILVA OLIVEIRA"/>
    <s v="Diretoria Seminovos"/>
    <s v="RSSAO  - Regional Seminovos Varejo São Paulo"/>
    <s v="LJSPP - Administração Seminovos Penha"/>
    <s v="JOAO FELIPE DE BARROS BICUD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s v="AUX. DE SERVICOS GERAIS - DIRCS"/>
    <x v="9"/>
    <s v="LJSPP"/>
  </r>
  <r>
    <n v="135365"/>
    <s v="MARIA JOSE DE JESUS ALVES"/>
    <s v="Diretoria Seminovos"/>
    <s v="RSSAO  - Regional Seminovos Varejo São Paulo"/>
    <s v="LJCTN - Loja Seminovos Center Norte"/>
    <s v="MARCOS CAZARIN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9"/>
    <s v="LJCTN"/>
  </r>
  <r>
    <n v="500335"/>
    <s v="RAIMUNDA NONATA DE MIRANDA CARVALHO"/>
    <s v="Diretoria Seminovos"/>
    <s v="RSSAO  - Regional Seminovos Varejo São Paulo"/>
    <s v="LJSAO - Loja Seminovos São Paulo"/>
    <s v="MARCOS ELISEU JAHRMANN"/>
    <s v="POSITIVO"/>
    <d v="1899-12-30T02:05:00"/>
    <d v="1899-12-30T00:00:00"/>
    <d v="1899-12-30T02:05:00"/>
    <s v=" "/>
    <s v=" "/>
    <s v=" "/>
    <s v=" "/>
    <s v=" "/>
    <s v=" "/>
    <s v=" "/>
    <s v=" "/>
    <s v=" "/>
    <s v=" "/>
    <d v="1899-12-30T00:04:00"/>
    <d v="1899-12-30T01:30:00"/>
    <s v="Ativo"/>
    <s v="AUX. DE SERVICOS GERAIS - DIRCS"/>
    <x v="9"/>
    <s v="LJSAO"/>
  </r>
  <r>
    <n v="132266"/>
    <s v="RICARDO MASSAO DOJO"/>
    <s v="Diretoria Seminovos"/>
    <s v="RSSAO  - Regional Seminovos Varejo São Paulo"/>
    <s v="LJRJF - Loja Seminovos Ricardo Jafet"/>
    <s v="GUILHERME COIMBRA GUIMARAES"/>
    <s v="POSITIVO"/>
    <d v="1899-12-30T10:59:00"/>
    <d v="1899-12-30T00:00:00"/>
    <d v="1899-12-30T10:59:00"/>
    <s v=" "/>
    <s v=" "/>
    <s v=" "/>
    <s v=" "/>
    <s v=" "/>
    <s v=" "/>
    <s v=" "/>
    <s v=" "/>
    <s v=" "/>
    <s v=" "/>
    <s v=" "/>
    <d v="1899-12-30T09:09:00"/>
    <s v="Ativo"/>
    <s v="HIGIENIZADOR DE CARROS"/>
    <x v="9"/>
    <s v="LJRJF"/>
  </r>
  <r>
    <n v="131606"/>
    <s v="SANDRA RIBEIRO DE SOUZA"/>
    <s v="Diretoria Seminovos"/>
    <s v="RSSAO  - Regional Seminovos Varejo São Paulo"/>
    <s v="LJRJF - Loja Seminovos Ricardo Jafet"/>
    <s v="GUILHERME COIMBRA GUIMARAES"/>
    <s v="POSITIVO"/>
    <d v="1899-12-30T13:39:00"/>
    <d v="1899-12-30T00:00:00"/>
    <d v="1899-12-30T13:39:00"/>
    <s v=" "/>
    <s v=" "/>
    <s v=" "/>
    <s v=" "/>
    <s v=" "/>
    <s v=" "/>
    <s v=" "/>
    <s v=" "/>
    <s v=" "/>
    <s v=" "/>
    <s v=" "/>
    <d v="1899-12-30T12:29:00"/>
    <s v="Ativo"/>
    <s v="AUX. DE SERVICOS GERAIS - DIRCS"/>
    <x v="9"/>
    <s v="LJRJF"/>
  </r>
  <r>
    <n v="132965"/>
    <s v="WILLIAN RODRIGUES SILVA MEIRA"/>
    <s v="Diretoria Seminovos"/>
    <s v="RSSAO  - Regional Seminovos Varejo São Paulo"/>
    <s v="LJSPN - Loja Seminovos Vila Guilherme"/>
    <s v="ALAN GUARNIERI NUN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9"/>
    <s v="LJSPN"/>
  </r>
  <r>
    <n v="134146"/>
    <s v="ANDERSON FREIRE BARBERO"/>
    <s v="Diretoria Seminovos"/>
    <s v="RSSPI  - Regional Seminovos Varejo São Paulo Interior"/>
    <s v="LJSJP - Vendas Varejo Seminovos São José do Rio Preto"/>
    <s v="FABIANO GOMES DE CAMPOS"/>
    <s v="POSITIVO"/>
    <d v="1900-01-08T00:16:00"/>
    <d v="1899-12-30T00:00:00"/>
    <d v="1900-01-08T00:16:00"/>
    <s v=" "/>
    <s v=" "/>
    <s v=" "/>
    <d v="1899-12-30T00:19:00"/>
    <d v="1900-01-01T12:44:00"/>
    <d v="1900-01-01T18:20:00"/>
    <d v="1900-01-01T10:12:00"/>
    <s v=" "/>
    <s v=" "/>
    <d v="1899-12-30T07:36:00"/>
    <d v="1899-12-30T10:31:00"/>
    <d v="1899-12-30T10:29:00"/>
    <s v="Ativo"/>
    <s v="CONSULTOR DE VENDAS"/>
    <x v="10"/>
    <s v="LJSJP"/>
  </r>
  <r>
    <n v="135711"/>
    <s v="GEIZA APARECIDA DA SILVA PIGNATARI"/>
    <s v="Diretoria Seminovos"/>
    <s v="RSSPI  - Regional Seminovos Varejo São Paulo Interior"/>
    <s v="LJSJP - Vendas Varejo Seminovos São José do Rio Preto"/>
    <s v="FABIANO GOMES DE CAMPOS"/>
    <s v="POSITIVO"/>
    <d v="1900-01-03T13:30:00"/>
    <d v="1899-12-30T00:00:00"/>
    <d v="1900-01-03T13:30:00"/>
    <s v=" "/>
    <s v=" "/>
    <s v=" "/>
    <s v=" "/>
    <s v=" "/>
    <d v="1899-12-31T09:31:00"/>
    <d v="1900-01-01T21:12:00"/>
    <d v="1899-12-30T01:02:00"/>
    <s v=" "/>
    <d v="1899-12-30T05:00:00"/>
    <d v="1899-12-30T00:45:00"/>
    <s v=" "/>
    <s v="Ativo"/>
    <s v="CONSULTOR DE VENDAS"/>
    <x v="10"/>
    <s v="LJSJP"/>
  </r>
  <r>
    <n v="134626"/>
    <s v="EDER LEANDRO CASAQUE"/>
    <s v="Diretoria Seminovos"/>
    <s v="RSSPI  - Regional Seminovos Varejo São Paulo Interior"/>
    <s v="LJPRC - Vendas Varejo Seminovos Piracicaba"/>
    <s v="LEANDRO LUCIANO BIASINI"/>
    <s v="POSITIVO"/>
    <d v="1900-01-02T10:58:00"/>
    <d v="1899-12-30T00:00:00"/>
    <d v="1900-01-02T10:58:00"/>
    <s v=" "/>
    <s v=" "/>
    <s v=" "/>
    <s v=" "/>
    <s v=" "/>
    <s v=" "/>
    <s v=" "/>
    <s v=" "/>
    <s v=" "/>
    <d v="1900-01-01T18:47:00"/>
    <d v="1899-12-30T16:11:00"/>
    <s v=" "/>
    <s v="Ativo"/>
    <s v="CONSULTOR DE VENDAS"/>
    <x v="10"/>
    <s v="LJPRC"/>
  </r>
  <r>
    <n v="132797"/>
    <s v="ALEX SANDRO DA SILVA"/>
    <s v="Diretoria Seminovos"/>
    <s v="RSSPI  - Regional Seminovos Varejo São Paulo Interior"/>
    <s v="LJIND - Vendas Varejo Seminovos Indaiatuba"/>
    <s v="EDELCIO DE SOUZA SILVA"/>
    <s v="POSITIVO"/>
    <d v="1900-01-02T02:06:00"/>
    <d v="1899-12-30T00:00:00"/>
    <d v="1900-01-02T02:06:00"/>
    <s v=" "/>
    <s v=" "/>
    <s v=" "/>
    <d v="1899-12-30T16:41:00"/>
    <d v="1899-12-30T17:32:00"/>
    <d v="1899-12-30T14:33:00"/>
    <d v="1899-12-31T00:02:00"/>
    <d v="1899-12-30T01:18:00"/>
    <s v=" "/>
    <s v=" "/>
    <s v=" "/>
    <s v=" "/>
    <s v="Ativo"/>
    <s v="CONSULTOR DE VENDAS"/>
    <x v="10"/>
    <s v="LJIND"/>
  </r>
  <r>
    <n v="132766"/>
    <s v="JONAS HORNE PEREIRA"/>
    <s v="Diretoria Seminovos"/>
    <s v="RSSPI  - Regional Seminovos Varejo São Paulo Interior"/>
    <s v="LJBAU - Vendas Varejo Seminovos Bauru"/>
    <s v="EDUARDO HARUTOSHI HORIKAWA"/>
    <s v="POSITIVO"/>
    <d v="1900-01-01T02:54:00"/>
    <d v="1899-12-30T00:00:00"/>
    <d v="1900-01-01T02:54:00"/>
    <s v=" "/>
    <s v=" "/>
    <s v=" "/>
    <s v=" "/>
    <d v="1899-12-30T15:43:00"/>
    <d v="1899-12-30T17:32:00"/>
    <d v="1899-12-30T14:53:00"/>
    <d v="1899-12-30T02:46:00"/>
    <s v=" "/>
    <s v=" "/>
    <s v=" "/>
    <s v=" "/>
    <s v="Ativo"/>
    <s v="CONSULTOR DE VENDAS"/>
    <x v="10"/>
    <s v="LJBAU"/>
  </r>
  <r>
    <n v="131116"/>
    <s v="CARLOS HENRIQUE AMARAL"/>
    <s v="Diretoria Seminovos"/>
    <s v="RSSPI  - Regional Seminovos Varejo São Paulo Interior"/>
    <s v="LJJUN - Vendas Varejo Seminovos Jundiaí"/>
    <s v="EDUARDO DE MELO JAGOBUCCI"/>
    <s v="POSITIVO"/>
    <d v="1899-12-31T23:50:00"/>
    <d v="1899-12-30T00:00:00"/>
    <d v="1899-12-31T23:50:00"/>
    <s v=" "/>
    <s v=" "/>
    <s v=" "/>
    <s v=" "/>
    <s v=" "/>
    <s v=" "/>
    <d v="1899-12-30T03:37:00"/>
    <d v="1899-12-30T11:25:00"/>
    <s v=" "/>
    <s v=" "/>
    <d v="1899-12-31T08:48:00"/>
    <s v=" "/>
    <s v="Ativo"/>
    <s v="CONSULTOR DE VENDAS"/>
    <x v="10"/>
    <s v="LJJUN"/>
  </r>
  <r>
    <n v="136211"/>
    <s v="WILLIAN CLEISON FERREIRA DE MELO"/>
    <s v="Diretoria Seminovos"/>
    <s v="RSSPI  - Regional Seminovos Varejo São Paulo Interior"/>
    <s v="LJAMC - Vendas Varejo Seminovos Americana"/>
    <s v="ENIO GRECHI NETO"/>
    <s v="POSITIVO"/>
    <d v="1899-12-31T17:44:00"/>
    <d v="1899-12-30T00:00:00"/>
    <d v="1899-12-31T17:44:00"/>
    <s v=" "/>
    <s v=" "/>
    <s v=" "/>
    <s v=" "/>
    <s v=" "/>
    <s v=" "/>
    <s v=" "/>
    <s v=" "/>
    <s v=" "/>
    <d v="1899-12-30T02:25:00"/>
    <d v="1899-12-31T02:59:00"/>
    <d v="1899-12-30T06:46:00"/>
    <s v="Ativo"/>
    <s v="CONSULTOR DE VENDAS"/>
    <x v="10"/>
    <s v="LJAMC"/>
  </r>
  <r>
    <n v="135838"/>
    <s v="FLAVIO CAMPOS CERQUEIRA"/>
    <s v="Diretoria Seminovos"/>
    <s v="RSSPI  - Regional Seminovos Varejo São Paulo Interior"/>
    <s v="LJCPN - Vendas Varejo Seminovos Campinas Jardim do Lago"/>
    <s v="JULIO CESAR SEVERINO SOUZA"/>
    <s v="POSITIVO"/>
    <d v="1899-12-31T11:06:00"/>
    <d v="1899-12-30T00:00:00"/>
    <d v="1899-12-31T11:06:00"/>
    <s v=" "/>
    <s v=" "/>
    <s v=" "/>
    <s v=" "/>
    <s v=" "/>
    <s v=" "/>
    <d v="1899-12-30T11:44:00"/>
    <d v="1899-12-30T07:11:00"/>
    <d v="1899-12-30T00:45:00"/>
    <s v=" "/>
    <d v="1899-12-30T15:26:00"/>
    <s v=" "/>
    <s v="Ativo"/>
    <s v="CONSULTOR DE VENDAS"/>
    <x v="10"/>
    <s v="LJCPN"/>
  </r>
  <r>
    <n v="130040"/>
    <s v="FABIO EDUARDO MANOEL"/>
    <s v="Diretoria Seminovos"/>
    <s v="RSSPI  - Regional Seminovos Varejo São Paulo Interior"/>
    <s v="LJAMC - Vendas Varejo Seminovos Americana"/>
    <s v="ENIO GRECHI NETO"/>
    <s v="POSITIVO"/>
    <d v="1900-01-01T06:24:00"/>
    <d v="1899-12-30T00:00:00"/>
    <d v="1900-01-01T06:24:00"/>
    <s v=" "/>
    <s v=" "/>
    <s v=" "/>
    <s v=" "/>
    <s v=" "/>
    <s v=" "/>
    <s v=" "/>
    <s v=" "/>
    <s v=" "/>
    <d v="1899-12-30T04:21:00"/>
    <d v="1899-12-30T17:07:00"/>
    <d v="1899-12-30T10:36:00"/>
    <s v="Ativo"/>
    <s v="CONSULTOR DE VENDAS"/>
    <x v="10"/>
    <s v="LJAMC"/>
  </r>
  <r>
    <n v="133896"/>
    <s v="THIAGO AUGUSTO DE OLIVEIRA"/>
    <s v="Diretoria Seminovos"/>
    <s v="RSSPI  - Regional Seminovos Varejo São Paulo Interior"/>
    <s v="LJAMC - Vendas Varejo Seminovos Americana"/>
    <s v="ENIO GRECHI NETO"/>
    <s v="POSITIVO"/>
    <d v="1899-12-31T07:28:00"/>
    <d v="1899-12-30T00:00:00"/>
    <d v="1899-12-31T07:28:00"/>
    <s v=" "/>
    <s v=" "/>
    <s v=" "/>
    <s v=" "/>
    <s v=" "/>
    <s v=" "/>
    <s v=" "/>
    <s v=" "/>
    <s v=" "/>
    <s v=" "/>
    <d v="1899-12-30T14:55:00"/>
    <d v="1899-12-30T16:27:00"/>
    <s v="Ativo"/>
    <s v="CONSULTOR DE VENDAS"/>
    <x v="10"/>
    <s v="LJAMC"/>
  </r>
  <r>
    <n v="134533"/>
    <s v="EDERSON GARCIA DA SILVA"/>
    <s v="Diretoria Seminovos"/>
    <s v="RSSPI  - Regional Seminovos Varejo São Paulo Interior"/>
    <s v="LJJUN - Vendas Varejo Seminovos Jundiaí"/>
    <s v="EDUARDO DE MELO JAGOBUCCI"/>
    <s v="POSITIVO"/>
    <d v="1899-12-31T03:22:00"/>
    <d v="1899-12-30T00:00:00"/>
    <d v="1899-12-31T03:22:00"/>
    <s v=" "/>
    <s v=" "/>
    <s v=" "/>
    <s v=" "/>
    <s v=" "/>
    <s v=" "/>
    <s v=" "/>
    <s v=" "/>
    <s v=" "/>
    <s v=" "/>
    <d v="1899-12-31T03:22:00"/>
    <s v=" "/>
    <s v="Ativo"/>
    <s v="CONSULTOR DE VENDAS"/>
    <x v="10"/>
    <s v="LJJUN"/>
  </r>
  <r>
    <n v="134141"/>
    <s v="ROBSON DOS SANTOS FREGNAN"/>
    <s v="Diretoria Seminovos"/>
    <s v="RSSPI  - Regional Seminovos Varejo São Paulo Interior"/>
    <s v="LJRBP - Vendas Varejo Seminovos Ribeirão Preto"/>
    <s v="EVARISTO ALVES MATOS"/>
    <s v="POSITIVO"/>
    <d v="1899-12-30T12:09:00"/>
    <d v="1899-12-30T00:00:00"/>
    <d v="1899-12-30T12:09:00"/>
    <s v=" "/>
    <s v=" "/>
    <s v=" "/>
    <s v=" "/>
    <s v=" "/>
    <s v=" "/>
    <s v=" "/>
    <s v=" "/>
    <s v=" "/>
    <s v=" "/>
    <d v="1899-12-30T17:21:00"/>
    <d v="1899-12-30T02:36:00"/>
    <s v="Ativo"/>
    <s v="CONSULTOR DE VENDAS"/>
    <x v="10"/>
    <s v="LJRBP"/>
  </r>
  <r>
    <n v="136411"/>
    <s v="MULLER NASCIMENTO DE SOUSA"/>
    <s v="Diretoria Seminovos"/>
    <s v="RSSPI  - Regional Seminovos Varejo São Paulo Interior"/>
    <s v="LJLDB - Vendas Varejo Seminovos Londrina"/>
    <s v="ANA RITA NEVES MOREIRA"/>
    <s v="POSITIVO"/>
    <d v="1899-12-30T19:28:00"/>
    <d v="1899-12-30T00:00:00"/>
    <d v="1899-12-30T19:28:00"/>
    <s v=" "/>
    <s v=" "/>
    <s v=" "/>
    <s v=" "/>
    <s v=" "/>
    <s v=" "/>
    <s v=" "/>
    <s v=" "/>
    <s v=" "/>
    <s v=" "/>
    <d v="1899-12-30T19:28:00"/>
    <s v=" "/>
    <s v="Contrato de Trabalho Suspenso"/>
    <s v="CONSULTOR DE VENDAS"/>
    <x v="10"/>
    <s v="LJLDB"/>
  </r>
  <r>
    <n v="133267"/>
    <s v="RICARDO MARTINS DE CAMPOS"/>
    <s v="Diretoria Seminovos"/>
    <s v="RSSPI  - Regional Seminovos Varejo São Paulo Interior"/>
    <s v="LJAMC - Vendas Varejo Seminovos Americana"/>
    <s v="ENIO GRECHI NETO"/>
    <s v="POSITIVO"/>
    <d v="1899-12-30T19:06:00"/>
    <d v="1899-12-30T00:00:00"/>
    <d v="1899-12-30T19:06:00"/>
    <s v=" "/>
    <s v=" "/>
    <s v=" "/>
    <s v=" "/>
    <s v=" "/>
    <s v=" "/>
    <s v=" "/>
    <s v=" "/>
    <s v=" "/>
    <s v=" "/>
    <d v="1899-12-30T19:06:00"/>
    <s v=" "/>
    <s v="Ativo"/>
    <s v="CONSULTOR DE VENDAS"/>
    <x v="10"/>
    <s v="LJAMC"/>
  </r>
  <r>
    <n v="135419"/>
    <s v="CAIO VINICIUS DE ALMEIDA DA SILVA"/>
    <s v="Diretoria Seminovos"/>
    <s v="RSSPI  - Regional Seminovos Varejo São Paulo Interior"/>
    <s v="LJRBP - Vendas Varejo Seminovos Ribeirão Preto"/>
    <s v="EVARISTO ALVES MATOS"/>
    <s v="POSITIVO"/>
    <d v="1899-12-30T10:25:00"/>
    <d v="1899-12-30T00:00:00"/>
    <d v="1899-12-30T10:25:00"/>
    <s v=" "/>
    <s v=" "/>
    <s v=" "/>
    <s v=" "/>
    <s v=" "/>
    <s v=" "/>
    <s v=" "/>
    <s v=" "/>
    <s v=" "/>
    <s v=" "/>
    <d v="1899-12-30T14:41:00"/>
    <d v="1899-12-30T00:20:00"/>
    <s v="Ativo"/>
    <s v="CONSULTOR DE VENDAS"/>
    <x v="10"/>
    <s v="LJRBP"/>
  </r>
  <r>
    <n v="131169"/>
    <s v="LEANDRO MORAES PAULINO"/>
    <s v="Diretoria Seminovos"/>
    <s v="RSSPI  - Regional Seminovos Varejo São Paulo Interior"/>
    <s v="LJBAU - Vendas Varejo Seminovos Bauru"/>
    <s v="EDUARDO HARUTOSHI HORIKAWA"/>
    <s v="POSITIVO"/>
    <d v="1899-12-30T03:37:00"/>
    <d v="1899-12-30T00:00:00"/>
    <d v="1899-12-30T03:37:00"/>
    <s v=" "/>
    <s v=" "/>
    <s v=" "/>
    <s v=" "/>
    <s v=" "/>
    <s v=" "/>
    <s v=" "/>
    <s v=" "/>
    <s v=" "/>
    <d v="1899-12-30T08:33:00"/>
    <d v="1899-12-30T01:33:00"/>
    <d v="1899-12-30T01:16:00"/>
    <s v="Ativo"/>
    <s v="CONSULTOR DE VENDAS"/>
    <x v="10"/>
    <s v="LJBAU"/>
  </r>
  <r>
    <n v="125539"/>
    <s v="FERNANDO ANTONIO ERNESTO PANSERA"/>
    <s v="Diretoria Seminovos"/>
    <s v="RSSPI  - Regional Seminovos Varejo São Paulo Interior"/>
    <s v="LJPRC - Vendas Varejo Seminovos Piracicaba"/>
    <s v="LEANDRO LUCIANO BIASINI"/>
    <s v="POSITIVO"/>
    <d v="1899-12-30T09:50:00"/>
    <d v="1899-12-30T00:00:00"/>
    <d v="1899-12-30T09:50:00"/>
    <s v=" "/>
    <s v=" "/>
    <s v=" "/>
    <s v=" "/>
    <s v=" "/>
    <d v="1899-12-30T06:12:00"/>
    <d v="1899-12-30T03:14:00"/>
    <d v="1899-12-30T00:24:00"/>
    <s v=" "/>
    <s v=" "/>
    <s v=" "/>
    <s v=" "/>
    <s v="Ativo"/>
    <s v="CONSULTOR DE VENDAS"/>
    <x v="10"/>
    <s v="LJPRC"/>
  </r>
  <r>
    <n v="136084"/>
    <s v="JULIANO RIBAS SANCHES DE OLIVEIRA"/>
    <s v="Diretoria Seminovos"/>
    <s v="RSSPI  - Regional Seminovos Varejo São Paulo Interior"/>
    <s v="LJSJP - Vendas Varejo Seminovos São José do Rio Preto"/>
    <s v="FABIANO GOMES DE CAMPOS"/>
    <s v="POSITIVO"/>
    <d v="1899-12-30T09:24:00"/>
    <d v="1899-12-30T00:00:00"/>
    <d v="1899-12-30T09:24:00"/>
    <s v=" "/>
    <s v=" "/>
    <s v=" "/>
    <s v=" "/>
    <s v=" "/>
    <s v=" "/>
    <d v="1899-12-30T04:24:00"/>
    <s v=" "/>
    <s v=" "/>
    <d v="1899-12-30T05:00:00"/>
    <s v=" "/>
    <s v=" "/>
    <s v="Ativo"/>
    <s v="CONSULTOR DE VENDAS"/>
    <x v="10"/>
    <s v="LJSJP"/>
  </r>
  <r>
    <n v="131009"/>
    <s v="WELBERT ALVES BATISTA"/>
    <s v="Diretoria Seminovos"/>
    <s v="RSSPI  - Regional Seminovos Varejo São Paulo Interior"/>
    <s v="LJARA - Vendas Varejo Seminovos Araraquara"/>
    <s v="PETERSON CRAVEIRO FERNANDES"/>
    <s v="POSITIVO"/>
    <d v="1899-12-30T08:07:00"/>
    <d v="1899-12-30T00:00:00"/>
    <d v="1899-12-30T08:07:00"/>
    <s v=" "/>
    <s v=" "/>
    <s v=" "/>
    <s v=" "/>
    <s v=" "/>
    <s v=" "/>
    <s v=" "/>
    <s v=" "/>
    <s v=" "/>
    <s v=" "/>
    <d v="1899-12-30T05:43:00"/>
    <d v="1899-12-30T02:24:00"/>
    <s v="Ativo"/>
    <s v="CONSULTOR DE VENDAS"/>
    <x v="10"/>
    <s v="LJARA"/>
  </r>
  <r>
    <n v="135710"/>
    <s v="MATHEUS CUNHA SALIANO"/>
    <s v="Diretoria Seminovos"/>
    <s v="RSSPI  - Regional Seminovos Varejo São Paulo Interior"/>
    <s v="LJPRC - Vendas Varejo Seminovos Piracicaba"/>
    <s v="LEANDRO LUCIANO BIASINI"/>
    <s v="POSITIVO"/>
    <d v="1899-12-30T07:24:00"/>
    <d v="1899-12-30T00:00:00"/>
    <d v="1899-12-30T07:24:00"/>
    <s v=" "/>
    <s v=" "/>
    <s v=" "/>
    <s v=" "/>
    <s v=" "/>
    <s v=" "/>
    <s v=" "/>
    <s v=" "/>
    <s v=" "/>
    <d v="1899-12-30T07:24:00"/>
    <s v=" "/>
    <s v=" "/>
    <s v="Ativo"/>
    <s v="CONSULTOR DE VENDAS"/>
    <x v="10"/>
    <s v="LJPRC"/>
  </r>
  <r>
    <n v="133559"/>
    <s v="LEURI LUCIANO DA COSTA SILVA"/>
    <s v="Diretoria Seminovos"/>
    <s v="RSSPI  - Regional Seminovos Varejo São Paulo Interior"/>
    <s v="LJBAU - Loja Seminovos Bauru"/>
    <s v="EDUARDO HARUTOSHI HORIKAWA"/>
    <s v="POSITIVO"/>
    <d v="1899-12-30T00:08:00"/>
    <d v="1899-12-30T00:00:00"/>
    <d v="1899-12-30T00:08:00"/>
    <s v=" "/>
    <s v=" "/>
    <s v=" "/>
    <s v=" "/>
    <s v=" "/>
    <s v=" "/>
    <s v=" "/>
    <s v=" "/>
    <s v=" "/>
    <s v=" "/>
    <s v=" "/>
    <d v="1899-12-30T01:43:00"/>
    <s v="Ativo"/>
    <s v="HIGIENIZADOR DE CARROS"/>
    <x v="10"/>
    <s v="LJBAU"/>
  </r>
  <r>
    <n v="503407"/>
    <s v="WILLIAM JUNIOR VIEIRA DA SILVA"/>
    <s v="Diretoria Seminovos"/>
    <s v="RSSPI  - Regional Seminovos Varejo São Paulo Interior"/>
    <s v="LJMGF - Vendas Varejo Seminovos Maringá"/>
    <s v="JOHN LESLIE ROSSONI"/>
    <s v="POSITIVO"/>
    <d v="1899-12-30T07:42:00"/>
    <d v="1899-12-30T00:00:00"/>
    <d v="1899-12-30T07:42:00"/>
    <s v=" "/>
    <s v=" "/>
    <s v=" "/>
    <s v=" "/>
    <s v=" "/>
    <s v=" "/>
    <s v=" "/>
    <s v=" "/>
    <s v=" "/>
    <s v=" "/>
    <s v=" "/>
    <d v="1899-12-30T04:30:00"/>
    <s v="Ativo"/>
    <s v="CONSULTOR DE VENDAS"/>
    <x v="10"/>
    <s v="LJMGF"/>
  </r>
  <r>
    <n v="136626"/>
    <s v="LINIKER MATHEUS CIARELI ARAUJO"/>
    <s v="Diretoria Seminovos"/>
    <s v="RSSPI  - Regional Seminovos Varejo São Paulo Interior"/>
    <s v="LJCPN - Vendas Varejo Seminovos Campinas Jardim do Lago"/>
    <s v="JULIO CESAR SEVERINO SOUZA"/>
    <s v="POSITIVO"/>
    <d v="1899-12-30T04:01:00"/>
    <d v="1899-12-30T00:00:00"/>
    <d v="1899-12-30T04:01:00"/>
    <s v=" "/>
    <s v=" "/>
    <s v=" "/>
    <s v=" "/>
    <s v=" "/>
    <s v=" "/>
    <d v="1899-12-30T02:49:00"/>
    <d v="1899-12-30T01:12:00"/>
    <s v=" "/>
    <s v=" "/>
    <s v=" "/>
    <s v=" "/>
    <s v="Ativo"/>
    <s v="CONSULTOR DE VENDAS"/>
    <x v="10"/>
    <s v="LJCPN"/>
  </r>
  <r>
    <n v="134143"/>
    <s v="JOSIANE SILVESTRE DE LIMA"/>
    <s v="Diretoria Seminovos"/>
    <s v="RSSPI  - Regional Seminovos Varejo São Paulo Interior"/>
    <s v="LJRBP - Vendas Varejo Seminovos Ribeirão Preto"/>
    <s v="EVARISTO ALVES MATOS"/>
    <s v="POSITIVO"/>
    <d v="1899-12-30T01:24:00"/>
    <d v="1899-12-30T00:00:00"/>
    <d v="1899-12-30T01:24:00"/>
    <s v=" "/>
    <s v=" "/>
    <s v=" "/>
    <s v=" "/>
    <s v=" "/>
    <s v=" "/>
    <s v=" "/>
    <s v=" "/>
    <s v=" "/>
    <s v=" "/>
    <d v="1899-12-30T01:08:00"/>
    <d v="1899-12-30T01:28:00"/>
    <s v="Ativo"/>
    <s v="CONSULTOR DE VENDAS"/>
    <x v="10"/>
    <s v="LJRBP"/>
  </r>
  <r>
    <n v="129447"/>
    <s v="RODRIGO APARECIDO GARCIA"/>
    <s v="Diretoria Seminovos"/>
    <s v="RSSPI  - Regional Seminovos Varejo São Paulo Interior"/>
    <s v="LJJUN - Vendas Varejo Seminovos Jundiaí"/>
    <s v="EDUARDO DE MELO JAGOBUCCI"/>
    <s v="POSITIVO"/>
    <d v="1899-12-30T01:36:00"/>
    <d v="1899-12-30T00:00:00"/>
    <d v="1899-12-30T01:36:00"/>
    <s v=" "/>
    <s v=" "/>
    <s v=" "/>
    <s v=" "/>
    <s v=" "/>
    <s v=" "/>
    <s v=" "/>
    <s v=" "/>
    <s v=" "/>
    <s v=" "/>
    <d v="1899-12-30T00:48:00"/>
    <d v="1899-12-30T00:48:00"/>
    <s v="Ativo"/>
    <s v="CONSULTOR DE VENDAS"/>
    <x v="10"/>
    <s v="LJJUN"/>
  </r>
  <r>
    <n v="129813"/>
    <s v="RODRIGO RUFINO DE CASTRO"/>
    <s v="Diretoria Seminovos"/>
    <s v="RSSPI  - Regional Seminovos Varejo São Paulo Interior"/>
    <s v="LJMAR - Vendas Varejo Seminovos Marília"/>
    <s v="FABIO DAISUKE DANDOKO"/>
    <s v="POSITIVO"/>
    <d v="1899-12-30T00:31:00"/>
    <d v="1899-12-30T00:00:00"/>
    <d v="1899-12-30T00:31:00"/>
    <s v=" "/>
    <s v=" "/>
    <s v=" "/>
    <s v=" "/>
    <s v=" "/>
    <s v=" "/>
    <s v=" "/>
    <d v="1899-12-30T00:31:00"/>
    <s v=" "/>
    <s v=" "/>
    <s v=" "/>
    <s v=" "/>
    <s v="Ativo"/>
    <s v="CONSULTOR DE VENDAS"/>
    <x v="10"/>
    <s v="LJMAR"/>
  </r>
  <r>
    <n v="134713"/>
    <s v="ADELITA MARQUES ULIANI BERTINI"/>
    <s v="Diretoria Seminovos"/>
    <s v="RSSPI  - Regional Seminovos Varejo São Paulo Interior"/>
    <s v="LJAMC - Vendas Varejo Seminovos Americana"/>
    <s v="ENIO GRECHI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AMC"/>
  </r>
  <r>
    <n v="132818"/>
    <s v="ADRIANO SILVA RAJO"/>
    <s v="Diretoria Seminovos"/>
    <s v="RSSPI  - Regional Seminovos Varejo São Paulo Interior"/>
    <s v="LJIND - Vendas Varejo Seminovos Indaiatuba"/>
    <s v="EDELCIO DE SOUZA SILV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IND"/>
  </r>
  <r>
    <n v="135839"/>
    <s v="ANDRE LUIS OLIVEIRA BAPTISTA"/>
    <s v="Diretoria Seminovos"/>
    <s v="RSSPI  - Regional Seminovos Varejo São Paulo Interior"/>
    <s v="LJCPN - Vendas Varejo Seminovos Campinas Jardim do Lago"/>
    <s v="JULIO CESAR SEVERINO SOUZ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CPN"/>
  </r>
  <r>
    <n v="135844"/>
    <s v="BRUNO DEL COL DE SOUZA"/>
    <s v="Diretoria Seminovos"/>
    <s v="RSSPI  - Regional Seminovos Varejo São Paulo Interior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10"/>
    <s v="LJTAQ"/>
  </r>
  <r>
    <n v="129847"/>
    <s v="CESAR AUGUSTO VIEIRA"/>
    <s v="Diretoria Seminovos"/>
    <s v="RSSPI  - Regional Seminovos Varejo São Paulo Interior"/>
    <s v="LJPRC - Vendas Varejo Seminovos Piracicaba"/>
    <s v="LEANDRO LUCIANO BIASIN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PRC"/>
  </r>
  <r>
    <n v="125622"/>
    <s v="EDERSON RODRIGO PAES DE TOLEDO"/>
    <s v="Diretoria Seminovos"/>
    <s v="RSSPI  - Regional Seminovos Varejo São Paulo Interior"/>
    <s v="LJARA - Vendas Varejo Seminovos Araraquara"/>
    <s v="PETERSON CRAVEIRO FERNAND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ARA"/>
  </r>
  <r>
    <n v="133634"/>
    <s v="GLAUBER ROCHA DE CARVALHO"/>
    <s v="Diretoria Seminovos"/>
    <s v="RSSPI  - Regional Seminovos Varejo São Paulo Interior"/>
    <s v="LJCPK - Vendas Varejo Seminovos Campinas"/>
    <s v="MARCELO RIBEIRO ANTON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10"/>
    <s v="LJCPK"/>
  </r>
  <r>
    <n v="131223"/>
    <s v="GUILHERME MARSICO ROMERO"/>
    <s v="Diretoria Seminovos"/>
    <s v="RSSPI  - Regional Seminovos Varejo São Paulo Interior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Férias"/>
    <s v="CONSULTOR DE VENDAS"/>
    <x v="10"/>
    <s v="LJTAQ"/>
  </r>
  <r>
    <n v="125392"/>
    <s v="HENRIQUE DA SILVA COSTA"/>
    <s v="Diretoria Seminovos"/>
    <s v="RSSPI  - Regional Seminovos Varejo São Paulo Interior"/>
    <s v="LJJUN - Vendas Varejo Seminovos Jundiaí"/>
    <s v="EDUARDO DE MELO JAGOBUCCI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JUN"/>
  </r>
  <r>
    <n v="134739"/>
    <s v="IGOR KAIQUE TOMAZ COUTO"/>
    <s v="Diretoria Seminovos"/>
    <s v="RSSPI  - Regional Seminovos Varejo São Paulo Interior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TAQ"/>
  </r>
  <r>
    <n v="130277"/>
    <s v="JOAO MARCOS GUERINO DE PAULA"/>
    <s v="Diretoria Seminovos"/>
    <s v="RSSPI  - Regional Seminovos Varejo São Paulo Interior"/>
    <s v="LJMAR - Vendas Varejo Seminovos Marília"/>
    <s v="FABIO DAISUKE DANDOK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MAR"/>
  </r>
  <r>
    <n v="125679"/>
    <s v="MARCIO VITOR BUENO TEIXEIRA JUNIOR"/>
    <s v="Diretoria Seminovos"/>
    <s v="RSSPI  - Regional Seminovos Varejo São Paulo Interior"/>
    <s v="LJCPK - Vendas Varejo Seminovos Campinas"/>
    <s v="MARCELO RIBEIRO ANTON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CPK"/>
  </r>
  <r>
    <n v="131776"/>
    <s v="NAIRANE NUNES DA SILVA"/>
    <s v="Diretoria Seminovos"/>
    <s v="RSSPI  - Regional Seminovos Varejo São Paulo Interior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10"/>
    <s v="LJTAQ"/>
  </r>
  <r>
    <n v="132842"/>
    <s v="ROBSON DOS SANTOS"/>
    <s v="Diretoria Seminovos"/>
    <s v="RSSPI  - Regional Seminovos Varejo São Paulo Interior"/>
    <s v="LJTAQ - Vendas Varejo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TAQ"/>
  </r>
  <r>
    <n v="135432"/>
    <s v="RODRIGO BEZERRA DE ARAUJO"/>
    <s v="Diretoria Seminovos"/>
    <s v="RSSPI  - Regional Seminovos Varejo São Paulo Interior"/>
    <s v="LJSTB - Vendas Varejo Seminovos Santa Bárbara do Oeste"/>
    <s v="PABLO HENRIQUE CAMPOS MIGUEL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0"/>
    <s v="LJSTB"/>
  </r>
  <r>
    <n v="119156"/>
    <s v="CLEBER MARCIO DA SILVA"/>
    <s v="Diretoria Seminovos"/>
    <s v="RSSPI  - Regional Seminovos Varejo São Paulo Interior"/>
    <s v="LJLDB - Loja Seminovos Londrina"/>
    <s v="ANA RITA NEVES MOREIRA"/>
    <s v="POSITIVO"/>
    <d v="1899-12-30T11:51:00"/>
    <d v="1899-12-30T00:00:00"/>
    <d v="1899-12-30T11:51:00"/>
    <s v=" "/>
    <s v=" "/>
    <s v=" "/>
    <s v=" "/>
    <s v=" "/>
    <s v=" "/>
    <s v=" "/>
    <s v=" "/>
    <s v=" "/>
    <s v=" "/>
    <d v="1899-12-30T02:35:00"/>
    <d v="1899-12-30T08:43:00"/>
    <s v="Ativo"/>
    <s v="HIGIENIZADOR DE CARROS"/>
    <x v="10"/>
    <s v="LJLDB"/>
  </r>
  <r>
    <n v="118097"/>
    <s v="EDMAR ALVES DOS SANTOS"/>
    <s v="Diretoria Seminovos"/>
    <s v="RSSPI  - Regional Seminovos Varejo São Paulo Interior"/>
    <s v="LJPRC - Loja Seminovos Piracicaba"/>
    <s v="LEANDRO LUCIANO BIASINI"/>
    <s v="POSITIVO"/>
    <d v="1899-12-30T07:59:00"/>
    <d v="1899-12-30T00:00:00"/>
    <d v="1899-12-30T07:59:00"/>
    <s v=" "/>
    <s v=" "/>
    <s v=" "/>
    <s v=" "/>
    <s v=" "/>
    <s v=" "/>
    <s v=" "/>
    <s v=" "/>
    <s v=" "/>
    <d v="1899-12-30T07:59:00"/>
    <s v=" "/>
    <s v=" "/>
    <s v="Ativo"/>
    <s v="HIGIENIZADOR DE CARROS"/>
    <x v="10"/>
    <s v="LJPRC"/>
  </r>
  <r>
    <n v="129385"/>
    <s v="GUSTAVO SOUZA BERTI"/>
    <s v="Diretoria Seminovos"/>
    <s v="RSSPI  - Regional Seminovos Varejo São Paulo Interior"/>
    <s v="LJTAQ - Loja Seminovos Taquaral Campinas"/>
    <s v="ANDRE LUIZ LOPES"/>
    <s v="POSITIVO"/>
    <d v="1899-12-30T07:33:00"/>
    <d v="1899-12-30T00:00:00"/>
    <d v="1899-12-30T07:33:00"/>
    <s v=" "/>
    <s v=" "/>
    <s v=" "/>
    <s v=" "/>
    <s v=" "/>
    <s v=" "/>
    <s v=" "/>
    <s v=" "/>
    <s v=" "/>
    <s v=" "/>
    <d v="1899-12-30T05:55:00"/>
    <d v="1899-12-30T02:05:00"/>
    <s v="Ativo"/>
    <s v="HIGIENIZADOR DE CARROS"/>
    <x v="10"/>
    <s v="LJTAQ"/>
  </r>
  <r>
    <n v="137217"/>
    <s v="LUCAS DE SIQUEIRA"/>
    <s v="Diretoria Seminovos"/>
    <s v="RSSPI  - Regional Seminovos Varejo São Paulo Interior"/>
    <s v="LJLIM - Loja Seminovos Limeira"/>
    <s v="ENIO GRECHI NET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10"/>
    <s v="LJLIM"/>
  </r>
  <r>
    <n v="137211"/>
    <s v="LUCELIA WETTERICH"/>
    <s v="Diretoria Seminovos"/>
    <s v="RSSPI  - Regional Seminovos Varejo São Paulo Interior"/>
    <s v="LJARA - Loja Seminovos Araraquara"/>
    <s v="PETERSON CRAVEIRO FERNAND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10"/>
    <s v="LJARA"/>
  </r>
  <r>
    <n v="134165"/>
    <s v="LUIS EDUARDO ALVES"/>
    <s v="Diretoria Seminovos"/>
    <s v="RSSPI  - Regional Seminovos Varejo São Paulo Interior"/>
    <s v="LJSJP - Loja Seminovos São José do Rio Preto"/>
    <s v="FABIANO GOMES DE CAMPOS"/>
    <s v="POSITIVO"/>
    <d v="1899-12-30T05:43:00"/>
    <d v="1899-12-30T00:00:00"/>
    <d v="1899-12-30T05:43:00"/>
    <s v=" "/>
    <s v=" "/>
    <s v=" "/>
    <s v=" "/>
    <s v=" "/>
    <s v=" "/>
    <s v=" "/>
    <s v=" "/>
    <s v=" "/>
    <d v="1899-12-30T05:09:00"/>
    <d v="1899-12-30T00:12:00"/>
    <d v="1899-12-30T00:22:00"/>
    <s v="Ativo"/>
    <s v="HIGIENIZADOR DE CARROS"/>
    <x v="10"/>
    <s v="LJSJP"/>
  </r>
  <r>
    <n v="136788"/>
    <s v="MARIA APARECIDA DONISETI DE OLIVEIRA"/>
    <s v="Diretoria Seminovos"/>
    <s v="RSSPI  - Regional Seminovos Varejo São Paulo Interior"/>
    <s v="LJCPK - Loja Seminovos Campinas"/>
    <s v="MARCELO RIBEIRO ANTON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10"/>
    <s v="LJCPK"/>
  </r>
  <r>
    <n v="117966"/>
    <s v="MARIA EUDA MACHADO DE SOUZA"/>
    <s v="Diretoria Seminovos"/>
    <s v="RSSPI  - Regional Seminovos Varejo São Paulo Interior"/>
    <s v="LJTAQ - Loja Seminovos Taquaral Campinas"/>
    <s v="ANDRE LUIZ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10"/>
    <s v="LJTAQ"/>
  </r>
  <r>
    <n v="119325"/>
    <s v="MARIA FRANCILDA OLIVEIRA SILVA"/>
    <s v="Diretoria Seminovos"/>
    <s v="RSSPI  - Regional Seminovos Varejo São Paulo Interior"/>
    <s v="LJBAU - Loja Seminovos Bauru"/>
    <s v="EDUARDO HARUTOSHI HORIKAWA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s v="AUX. DE SERVICOS GERAIS - DIRCS"/>
    <x v="10"/>
    <s v="LJBAU"/>
  </r>
  <r>
    <n v="502825"/>
    <s v="VANIA DE FATIMA DA CRUZ JANUARIO"/>
    <s v="Diretoria Seminovos"/>
    <s v="RSSPI  - Regional Seminovos Varejo São Paulo Interior"/>
    <s v="LJLDB - Loja Seminovos Londrina"/>
    <s v="ANA RITA NEVES MOREIRA"/>
    <s v="POSITIVO"/>
    <d v="1899-12-30T00:30:00"/>
    <d v="1899-12-30T00:00:00"/>
    <d v="1899-12-30T00:30:00"/>
    <s v=" "/>
    <s v=" "/>
    <s v=" "/>
    <s v=" "/>
    <s v=" "/>
    <s v=" "/>
    <s v=" "/>
    <s v=" "/>
    <s v=" "/>
    <s v=" "/>
    <s v=" "/>
    <d v="1899-12-30T00:27:00"/>
    <s v="Ativo"/>
    <s v="AUX. DE SERVICOS GERAIS - DIRCS"/>
    <x v="10"/>
    <s v="LJLDB"/>
  </r>
  <r>
    <n v="134142"/>
    <s v="VICTOR APARECIDO NOGUEIRA BORGHINI"/>
    <s v="Diretoria Seminovos"/>
    <s v="RSSPI  - Regional Seminovos Varejo São Paulo Interior"/>
    <s v="LJRBP - Loja Seminovos  Ribeirão Preto"/>
    <s v="EVARISTO ALVES MATOS"/>
    <s v="POSITIVO"/>
    <d v="1900-01-01T21:47:00"/>
    <d v="1899-12-30T00:00:00"/>
    <d v="1900-01-01T21:47:00"/>
    <s v=" "/>
    <s v=" "/>
    <s v=" "/>
    <s v=" "/>
    <s v=" "/>
    <s v=" "/>
    <s v=" "/>
    <s v=" "/>
    <s v=" "/>
    <d v="1899-12-31T08:59:00"/>
    <d v="1899-12-31T00:48:00"/>
    <d v="1899-12-30T04:00:00"/>
    <s v="Ativo"/>
    <s v="HIGIENIZADOR DE CARROS"/>
    <x v="10"/>
    <s v="LJRBP"/>
  </r>
  <r>
    <n v="136401"/>
    <s v="VITOR HUGO GALVAO"/>
    <s v="Diretoria Seminovos"/>
    <s v="RSSPI  - Regional Seminovos Varejo São Paulo Interior"/>
    <s v="LJRBP - Loja Seminovos  Ribeirão Preto"/>
    <s v="EVARISTO ALVES MATOS"/>
    <s v="POSITIVO"/>
    <d v="1900-01-01T16:49:00"/>
    <d v="1899-12-30T00:00:00"/>
    <d v="1900-01-01T16:49:00"/>
    <s v=" "/>
    <s v=" "/>
    <s v=" "/>
    <s v=" "/>
    <s v=" "/>
    <s v=" "/>
    <s v=" "/>
    <s v=" "/>
    <s v=" "/>
    <d v="1899-12-31T04:01:00"/>
    <d v="1899-12-31T00:48:00"/>
    <d v="1899-12-30T04:00:00"/>
    <s v="Ativo"/>
    <s v="HIGIENIZADOR DE CARROS"/>
    <x v="10"/>
    <s v="LJRBP"/>
  </r>
  <r>
    <n v="136862"/>
    <s v="WILLIAN EDUARDO DE TOLEDO"/>
    <s v="Diretoria Seminovos"/>
    <s v="RSSPI  - Regional Seminovos Varejo São Paulo Interior"/>
    <s v="LJCPK - Loja Seminovos Campinas"/>
    <s v="MARCELO RIBEIRO ANTONI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10"/>
    <s v="LJCPK"/>
  </r>
  <r>
    <n v="125764"/>
    <s v="LISANGELO TONIAL"/>
    <s v="Diretoria Seminovos"/>
    <s v="RSSUL -  Regional Seminovos Varejo Sul"/>
    <s v="LJGUI - Vendas Varejo Seminovos Barigui"/>
    <s v="FABIO VLADIMIR JARDIM MADRUGA"/>
    <s v="POSITIVO"/>
    <d v="1900-01-01T16:21:00"/>
    <d v="1899-12-30T00:00:00"/>
    <d v="1900-01-01T16:21:00"/>
    <s v=" "/>
    <s v=" "/>
    <s v=" "/>
    <s v=" "/>
    <s v=" "/>
    <s v=" "/>
    <s v=" "/>
    <s v=" "/>
    <s v=" "/>
    <d v="1899-12-30T15:31:00"/>
    <d v="1899-12-31T04:18:00"/>
    <d v="1899-12-30T12:12:00"/>
    <s v="Ativo"/>
    <s v="CONSULTOR DE VENDAS"/>
    <x v="11"/>
    <s v="LJGUI"/>
  </r>
  <r>
    <n v="136207"/>
    <s v="MATHEUS REETZ MARCHESE"/>
    <s v="Diretoria Seminovos"/>
    <s v="RSSUL -  Regional Seminovos Varejo Sul"/>
    <s v="LJCNO - Vendas Varejo Seminovos Canoas"/>
    <s v="MARCIO SILVA DOS SANTOS"/>
    <s v="POSITIVO"/>
    <d v="1899-12-31T05:02:00"/>
    <d v="1899-12-30T00:00:00"/>
    <d v="1899-12-31T05:02:00"/>
    <s v=" "/>
    <s v=" "/>
    <s v=" "/>
    <s v=" "/>
    <d v="1899-12-31T02:32:00"/>
    <d v="1899-12-30T21:26:00"/>
    <s v=" "/>
    <s v=" "/>
    <s v=" "/>
    <s v=" "/>
    <s v=" "/>
    <s v=" "/>
    <s v="Ativo"/>
    <s v="CONSULTOR DE VENDAS"/>
    <x v="11"/>
    <s v="LJCNO"/>
  </r>
  <r>
    <n v="135491"/>
    <s v="LUCIANE DE OLIVEIRA DA COSTA"/>
    <s v="Diretoria Seminovos"/>
    <s v="RSSUL -  Regional Seminovos Varejo Sul"/>
    <s v="LJFLI - Vendas Varejo Seminovos Florianópolis Ilha"/>
    <s v="DORLI DAVID MACHADO"/>
    <s v="POSITIVO"/>
    <d v="1899-12-31T18:29:00"/>
    <d v="1899-12-30T00:00:00"/>
    <d v="1899-12-31T18:29:00"/>
    <s v=" "/>
    <s v=" "/>
    <s v=" "/>
    <s v=" "/>
    <d v="1899-12-30T06:10:00"/>
    <d v="1899-12-31T12:19:00"/>
    <s v=" "/>
    <s v=" "/>
    <s v=" "/>
    <s v=" "/>
    <s v=" "/>
    <s v=" "/>
    <s v="Ativo"/>
    <s v="CONSULTOR DE VENDAS"/>
    <x v="11"/>
    <s v="LJFLI"/>
  </r>
  <r>
    <n v="135528"/>
    <s v="FRANCYNEIDE RAMOS DE ASSIS"/>
    <s v="Diretoria Seminovos"/>
    <s v="RSSUL -  Regional Seminovos Varejo Sul"/>
    <s v="LJFLN - Vendas Varejo Seminovos Florianópolis"/>
    <s v="JOAO MARCELO VARGAS"/>
    <s v="POSITIVO"/>
    <d v="1899-12-31T17:38:00"/>
    <d v="1899-12-30T00:00:00"/>
    <d v="1899-12-31T17:38:00"/>
    <s v=" "/>
    <s v=" "/>
    <s v=" "/>
    <s v=" "/>
    <d v="1899-12-30T13:29:00"/>
    <d v="1899-12-31T03:19:00"/>
    <d v="1899-12-30T00:50:00"/>
    <s v=" "/>
    <s v=" "/>
    <s v=" "/>
    <s v=" "/>
    <s v=" "/>
    <s v="Contrato de Trabalho Suspenso"/>
    <s v="CONSULTOR DE VENDAS"/>
    <x v="11"/>
    <s v="LJFLN"/>
  </r>
  <r>
    <n v="125154"/>
    <s v="WAGNER ROBERTO FONSECA BORGES"/>
    <s v="Diretoria Seminovos"/>
    <s v="RSSUL -  Regional Seminovos Varejo Sul"/>
    <s v="LJFLN - Vendas Varejo Seminovos Florianópolis"/>
    <s v="JOAO MARCELO VARGAS"/>
    <s v="POSITIVO"/>
    <d v="1899-12-31T15:47:00"/>
    <d v="1899-12-30T00:00:00"/>
    <d v="1899-12-31T15:47:00"/>
    <s v=" "/>
    <s v=" "/>
    <s v=" "/>
    <s v=" "/>
    <d v="1899-12-30T22:04:00"/>
    <d v="1899-12-30T17:43:00"/>
    <s v=" "/>
    <s v=" "/>
    <s v=" "/>
    <s v=" "/>
    <s v=" "/>
    <s v=" "/>
    <s v="Contrato de Trabalho Suspenso"/>
    <s v="CONSULTOR DE VENDAS"/>
    <x v="11"/>
    <s v="LJFLN"/>
  </r>
  <r>
    <n v="503638"/>
    <s v="ALEXSANDRO SEVERO FERREIRA"/>
    <s v="Diretoria Seminovos"/>
    <s v="RSSUL -  Regional Seminovos Varejo Sul"/>
    <s v="LJITJ - Vendas Varejo Seminovos Itajaí"/>
    <s v="PAULO SERGIO APARECIDO DE CARVALHO"/>
    <s v="POSITIVO"/>
    <d v="1899-12-30T19:09:00"/>
    <d v="1899-12-30T00:00:00"/>
    <d v="1899-12-30T19:09:00"/>
    <d v="1899-12-30T17:48:00"/>
    <d v="1899-12-30T01:21:00"/>
    <s v=" "/>
    <s v=" "/>
    <s v=" "/>
    <s v=" "/>
    <s v=" "/>
    <s v=" "/>
    <s v=" "/>
    <s v=" "/>
    <s v=" "/>
    <s v=" "/>
    <s v="Af.Previdência"/>
    <s v="CONSULTOR DE VENDAS"/>
    <x v="11"/>
    <s v="LJITJ"/>
  </r>
  <r>
    <n v="133436"/>
    <s v="WENDELL BASTOS ALENCAR"/>
    <s v="Diretoria Seminovos"/>
    <s v="RSSUL -  Regional Seminovos Varejo Sul"/>
    <s v="LJCNO - Vendas Varejo Seminovos Canoas"/>
    <s v="MARCIO SILVA DOS SANTOS"/>
    <s v="POSITIVO"/>
    <d v="1899-12-30T17:17:00"/>
    <d v="1899-12-30T00:00:00"/>
    <d v="1899-12-30T17:17:00"/>
    <s v=" "/>
    <s v=" "/>
    <s v=" "/>
    <s v=" "/>
    <s v=" "/>
    <d v="1899-12-30T17:17:00"/>
    <s v=" "/>
    <s v=" "/>
    <s v=" "/>
    <s v=" "/>
    <s v=" "/>
    <s v=" "/>
    <s v="Férias"/>
    <s v="CONSULTOR DE VENDAS"/>
    <x v="11"/>
    <s v="LJCNO"/>
  </r>
  <r>
    <n v="135490"/>
    <s v="LUCIANO DE SOUZA TRINDADE"/>
    <s v="Diretoria Seminovos"/>
    <s v="RSSUL -  Regional Seminovos Varejo Sul"/>
    <s v="LJPOA - Vendas Varejo Seminovos Porto Alegre"/>
    <s v="FABIO MACHADO PAIXAO"/>
    <s v="POSITIVO"/>
    <d v="1899-12-30T18:25:00"/>
    <d v="1899-12-30T00:00:00"/>
    <d v="1899-12-30T18:25:00"/>
    <s v=" "/>
    <d v="1899-12-30T04:34:00"/>
    <d v="1899-12-30T07:42:00"/>
    <s v=" "/>
    <s v=" "/>
    <s v=" "/>
    <d v="1899-12-30T04:15:00"/>
    <s v=" "/>
    <s v=" "/>
    <s v=" "/>
    <s v=" "/>
    <s v=" "/>
    <s v="Ativo"/>
    <s v="CONSULTOR DE VENDAS"/>
    <x v="11"/>
    <s v="LJPOA"/>
  </r>
  <r>
    <n v="136042"/>
    <s v="SABRINA FABRO SONSALA"/>
    <s v="Diretoria Seminovos"/>
    <s v="RSSUL -  Regional Seminovos Varejo Sul"/>
    <s v="LJGUI - Vendas Varejo Seminovos Barigui"/>
    <s v="FABIO VLADIMIR JARDIM MADRUGA"/>
    <s v="POSITIVO"/>
    <d v="1899-12-30T02:15:00"/>
    <d v="1899-12-30T00:00:00"/>
    <d v="1899-12-30T02:15:00"/>
    <s v=" "/>
    <s v=" "/>
    <s v=" "/>
    <s v=" "/>
    <s v=" "/>
    <s v=" "/>
    <s v=" "/>
    <s v=" "/>
    <s v=" "/>
    <s v=" "/>
    <d v="1899-12-30T13:45:00"/>
    <d v="1899-12-30T02:08:00"/>
    <s v="Ativo"/>
    <s v="CONSULTOR DE VENDAS"/>
    <x v="11"/>
    <s v="LJGUI"/>
  </r>
  <r>
    <n v="123207"/>
    <s v="MICHAEL RODRIGO SILVEIRA CEZAR"/>
    <s v="Diretoria Seminovos"/>
    <s v="RSSUL -  Regional Seminovos Varejo Sul"/>
    <s v="LJCNO - Vendas Varejo Seminovos Canoas"/>
    <s v="MARCIO SILVA DOS SANTOS"/>
    <s v="POSITIVO"/>
    <d v="1899-12-30T09:58:00"/>
    <d v="1899-12-30T00:00:00"/>
    <d v="1899-12-30T09:58:00"/>
    <s v=" "/>
    <s v=" "/>
    <s v=" "/>
    <s v=" "/>
    <s v=" "/>
    <d v="1899-12-30T15:27:00"/>
    <s v=" "/>
    <s v=" "/>
    <s v=" "/>
    <s v=" "/>
    <s v=" "/>
    <s v=" "/>
    <s v="Ativo"/>
    <s v="CONSULTOR DE VENDAS"/>
    <x v="11"/>
    <s v="LJCNO"/>
  </r>
  <r>
    <n v="123219"/>
    <s v="GISELLE LOPES BARROS"/>
    <s v="Diretoria Seminovos"/>
    <s v="RSSUL -  Regional Seminovos Varejo Sul"/>
    <s v="LJCNO - Vendas Varejo Seminovos Canoas"/>
    <s v="MARCIO SILVA DOS SANTOS"/>
    <s v="POSITIVO"/>
    <d v="1899-12-30T20:47:00"/>
    <d v="1899-12-30T00:00:00"/>
    <d v="1899-12-30T20:47:00"/>
    <s v=" "/>
    <s v=" "/>
    <s v=" "/>
    <s v=" "/>
    <d v="1899-12-30T11:36:00"/>
    <s v=" "/>
    <d v="1899-12-30T02:54:00"/>
    <s v=" "/>
    <s v=" "/>
    <s v=" "/>
    <s v=" "/>
    <s v=" "/>
    <s v="Ativo"/>
    <s v="CONSULTOR DE VENDAS"/>
    <x v="11"/>
    <s v="LJCNO"/>
  </r>
  <r>
    <n v="125547"/>
    <s v="JOHN CARLOS CECHET MACHADO"/>
    <s v="Diretoria Seminovos"/>
    <s v="RSSUL -  Regional Seminovos Varejo Sul"/>
    <s v="LJBNU - Vendas Varejo Seminovos Blumenau"/>
    <s v="JOAO MARCELO VARGAS"/>
    <s v="POSITIVO"/>
    <d v="1899-12-30T14:24:00"/>
    <d v="1899-12-30T00:00:00"/>
    <d v="1899-12-30T14:24:00"/>
    <s v=" "/>
    <s v=" "/>
    <s v=" "/>
    <s v=" "/>
    <d v="1899-12-30T06:36:00"/>
    <d v="1899-12-30T07:48:00"/>
    <s v=" "/>
    <s v=" "/>
    <s v=" "/>
    <s v=" "/>
    <s v=" "/>
    <s v=" "/>
    <s v="Ativo"/>
    <s v="CONSULTOR DE VENDAS"/>
    <x v="11"/>
    <s v="LJBNU"/>
  </r>
  <r>
    <n v="134530"/>
    <s v="RENATO DE MORAES BETIM"/>
    <s v="Diretoria Seminovos"/>
    <s v="RSSUL -  Regional Seminovos Varejo Sul"/>
    <s v="LJGUI - Vendas Varejo Seminovos Barigui"/>
    <s v="FABIO VLADIMIR JARDIM MADRUGA"/>
    <s v="POSITIVO"/>
    <d v="1899-12-30T11:14:00"/>
    <d v="1899-12-30T00:00:00"/>
    <d v="1899-12-30T11:14:00"/>
    <s v=" "/>
    <s v=" "/>
    <s v=" "/>
    <s v=" "/>
    <s v=" "/>
    <s v=" "/>
    <s v=" "/>
    <s v=" "/>
    <s v=" "/>
    <s v=" "/>
    <d v="1899-12-30T11:14:00"/>
    <s v=" "/>
    <s v="Contrato de Trabalho Suspenso"/>
    <s v="CONSULTOR DE VENDAS"/>
    <x v="11"/>
    <s v="LJGUI"/>
  </r>
  <r>
    <n v="132411"/>
    <s v="TAINA DE MORAES ROSA"/>
    <s v="Diretoria Seminovos"/>
    <s v="RSSUL -  Regional Seminovos Varejo Sul"/>
    <s v="LJCNO - Vendas Varejo Seminovos Canoas"/>
    <s v="MARCIO SILVA DOS SANTOS"/>
    <s v="POSITIVO"/>
    <d v="1899-12-30T11:06:00"/>
    <d v="1899-12-30T00:00:00"/>
    <d v="1899-12-30T11:06:00"/>
    <s v=" "/>
    <s v=" "/>
    <s v=" "/>
    <s v=" "/>
    <d v="1899-12-30T11:06:00"/>
    <s v=" "/>
    <s v=" "/>
    <s v=" "/>
    <s v=" "/>
    <s v=" "/>
    <s v=" "/>
    <s v=" "/>
    <s v="Contrato de Trabalho Suspenso"/>
    <s v="CONSULTOR DE VENDAS"/>
    <x v="11"/>
    <s v="LJCNO"/>
  </r>
  <r>
    <n v="130403"/>
    <s v="JOSSIMARIO ALVES MARTINS"/>
    <s v="Diretoria Seminovos"/>
    <s v="RSSUL -  Regional Seminovos Varejo Sul"/>
    <s v="LJCWB - Vendas Varejo Seminovos Curitiba"/>
    <s v="ADRIANO LINS"/>
    <s v="POSITIVO"/>
    <d v="1899-12-30T10:09:00"/>
    <d v="1899-12-30T00:00:00"/>
    <d v="1899-12-30T10:09:00"/>
    <s v=" "/>
    <s v=" "/>
    <s v=" "/>
    <s v=" "/>
    <s v=" "/>
    <s v=" "/>
    <s v=" "/>
    <s v=" "/>
    <s v=" "/>
    <s v=" "/>
    <d v="1899-12-30T10:09:00"/>
    <s v=" "/>
    <s v="Contrato de Trabalho Suspenso"/>
    <s v="CONSULTOR DE VENDAS"/>
    <x v="11"/>
    <s v="LJCWB"/>
  </r>
  <r>
    <n v="123356"/>
    <s v="MICHELE LAUTERBACH DUARTE ETHES"/>
    <s v="Diretoria Seminovos"/>
    <s v="RSSUL -  Regional Seminovos Varejo Sul"/>
    <s v="LJSET - Vendas Varejo Seminovos Sertório"/>
    <s v="LEONARDO HENRIQUE TREMEA MANCIO"/>
    <s v="POSITIVO"/>
    <d v="1899-12-30T09:16:00"/>
    <d v="1899-12-30T00:00:00"/>
    <d v="1899-12-30T09:16:00"/>
    <s v=" "/>
    <s v=" "/>
    <s v=" "/>
    <s v=" "/>
    <d v="1899-12-30T03:16:00"/>
    <d v="1899-12-30T06:00:00"/>
    <s v=" "/>
    <s v=" "/>
    <s v=" "/>
    <s v=" "/>
    <s v=" "/>
    <s v=" "/>
    <s v="Contrato de Trabalho Suspenso"/>
    <s v="CONSULTOR DE VENDAS"/>
    <x v="11"/>
    <s v="LJSET"/>
  </r>
  <r>
    <n v="503488"/>
    <s v="ANDRE FELIPE RAMOS SCHULZ"/>
    <s v="Diretoria Seminovos"/>
    <s v="RSSUL -  Regional Seminovos Varejo Sul"/>
    <s v="LJITJ - Vendas Varejo Seminovos Itajaí"/>
    <s v="PAULO SERGIO APARECIDO DE CARVALHO"/>
    <s v="POSITIVO"/>
    <d v="1899-12-30T07:48:00"/>
    <d v="1899-12-30T00:00:00"/>
    <d v="1899-12-30T07:48:00"/>
    <s v=" "/>
    <s v=" "/>
    <s v=" "/>
    <s v=" "/>
    <s v=" "/>
    <d v="1899-12-30T07:48:00"/>
    <s v=" "/>
    <s v=" "/>
    <s v=" "/>
    <s v=" "/>
    <s v=" "/>
    <s v=" "/>
    <s v="Ativo"/>
    <s v="CONSULTOR DE VENDAS"/>
    <x v="11"/>
    <s v="LJITJ"/>
  </r>
  <r>
    <n v="123959"/>
    <s v="PAULO APARECIDO PEREIRA"/>
    <s v="Diretoria Seminovos"/>
    <s v="RSSUL -  Regional Seminovos Varejo Sul"/>
    <s v="LJCWB - Vendas Varejo Seminovos Curitiba"/>
    <s v="ADRIANO LINS"/>
    <s v="POSITIVO"/>
    <d v="1899-12-30T07:32:00"/>
    <d v="1899-12-30T00:00:00"/>
    <d v="1899-12-30T07:32:00"/>
    <s v=" "/>
    <s v=" "/>
    <s v=" "/>
    <s v=" "/>
    <s v=" "/>
    <s v=" "/>
    <s v=" "/>
    <s v=" "/>
    <s v=" "/>
    <s v=" "/>
    <d v="1899-12-30T01:35:00"/>
    <d v="1899-12-30T04:38:00"/>
    <s v="Ativo"/>
    <s v="CONSULTOR DE VENDAS"/>
    <x v="11"/>
    <s v="LJCWB"/>
  </r>
  <r>
    <n v="133380"/>
    <s v="FERNANDA FERREIRA"/>
    <s v="Diretoria Seminovos"/>
    <s v="RSSUL -  Regional Seminovos Varejo Sul"/>
    <s v="LJGUI - Vendas Varejo Seminovos Barigui"/>
    <s v="FABIO VLADIMIR JARDIM MADRUGA"/>
    <s v="POSITIVO"/>
    <d v="1899-12-30T09:27:00"/>
    <d v="1899-12-30T00:00:00"/>
    <d v="1899-12-30T09:27:00"/>
    <s v=" "/>
    <s v=" "/>
    <s v=" "/>
    <s v=" "/>
    <s v=" "/>
    <s v=" "/>
    <s v=" "/>
    <s v=" "/>
    <s v=" "/>
    <s v=" "/>
    <d v="1899-12-30T00:14:00"/>
    <d v="1899-12-30T05:53:00"/>
    <s v="Ativo"/>
    <s v="CONSULTOR DE VENDAS"/>
    <x v="11"/>
    <s v="LJGUI"/>
  </r>
  <r>
    <n v="503231"/>
    <s v="EDILSON SAMIR DA SILVA"/>
    <s v="Diretoria Seminovos"/>
    <s v="RSSUL -  Regional Seminovos Varejo Sul"/>
    <s v="LJBNU - Vendas Varejo Seminovos Blumenau"/>
    <s v="JOAO MARCELO VARGAS"/>
    <s v="POSITIVO"/>
    <d v="1899-12-30T05:48:00"/>
    <d v="1899-12-30T00:00:00"/>
    <d v="1899-12-30T05:48:00"/>
    <s v=" "/>
    <s v=" "/>
    <s v=" "/>
    <s v=" "/>
    <s v=" "/>
    <d v="1899-12-30T05:48:00"/>
    <s v=" "/>
    <s v=" "/>
    <s v=" "/>
    <s v=" "/>
    <s v=" "/>
    <s v=" "/>
    <s v="Ativo"/>
    <s v="CONSULTOR DE VENDAS"/>
    <x v="11"/>
    <s v="LJBNU"/>
  </r>
  <r>
    <n v="134328"/>
    <s v="MARCIO VALADAO XAVIER"/>
    <s v="Diretoria Seminovos"/>
    <s v="RSSUL -  Regional Seminovos Varejo Sul"/>
    <s v="LJPET - Vendas Varejo Seminovos Pelotas"/>
    <s v="ANDERSON SILVEIRA LOPES"/>
    <s v="POSITIVO"/>
    <d v="1899-12-30T05:36:00"/>
    <d v="1899-12-30T00:00:00"/>
    <d v="1899-12-30T05:36:00"/>
    <s v=" "/>
    <s v=" "/>
    <s v=" "/>
    <s v=" "/>
    <s v=" "/>
    <d v="1899-12-30T05:36:00"/>
    <s v=" "/>
    <s v=" "/>
    <s v=" "/>
    <s v=" "/>
    <s v=" "/>
    <s v=" "/>
    <s v="Contrato de Trabalho Suspenso"/>
    <s v="CONSULTOR DE VENDAS"/>
    <x v="11"/>
    <s v="LJPET"/>
  </r>
  <r>
    <n v="135499"/>
    <s v="CLAUDIA DE OLIVEIRA COSTA"/>
    <s v="Diretoria Seminovos"/>
    <s v="RSSUL -  Regional Seminovos Varejo Sul"/>
    <s v="LJCWB - Vendas Varejo Seminovos Curitiba"/>
    <s v="ADRIANO LINS"/>
    <s v="POSITIVO"/>
    <d v="1899-12-30T06:25:00"/>
    <d v="1899-12-30T00:00:00"/>
    <d v="1899-12-30T06:25:00"/>
    <s v=" "/>
    <s v=" "/>
    <s v=" "/>
    <s v=" "/>
    <s v=" "/>
    <s v=" "/>
    <s v=" "/>
    <s v=" "/>
    <s v=" "/>
    <s v=" "/>
    <d v="1899-12-30T00:10:00"/>
    <d v="1899-12-30T04:24:00"/>
    <s v="Ativo"/>
    <s v="CONSULTOR DE VENDAS"/>
    <x v="11"/>
    <s v="LJCWB"/>
  </r>
  <r>
    <n v="136484"/>
    <s v="PATRICIA GRAHL"/>
    <s v="Diretoria Seminovos"/>
    <s v="RSSUL -  Regional Seminovos Varejo Sul"/>
    <s v="LJCXS - Vendas Varejo Seminovos Caxias do Sul"/>
    <s v="JOAO MARCELO VARGAS"/>
    <s v="POSITIVO"/>
    <d v="1899-12-30T03:55:00"/>
    <d v="1899-12-30T00:00:00"/>
    <d v="1899-12-30T03:55:00"/>
    <s v=" "/>
    <s v=" "/>
    <s v=" "/>
    <s v=" "/>
    <s v=" "/>
    <s v=" "/>
    <d v="1899-12-30T03:55:00"/>
    <s v=" "/>
    <s v=" "/>
    <s v=" "/>
    <s v=" "/>
    <s v=" "/>
    <s v="Ativo"/>
    <s v="CONSULTOR DE VENDAS"/>
    <x v="11"/>
    <s v="LJCXS"/>
  </r>
  <r>
    <n v="131420"/>
    <s v="HELEN CRISTINA MORAES EVANGELISTA DE MELO"/>
    <s v="Diretoria Seminovos"/>
    <s v="RSSUL -  Regional Seminovos Varejo Sul"/>
    <s v="LJSJE - Vendas Varejo Seminovos São José"/>
    <s v="EDISON RAPHAEL ESAIER SETTIN"/>
    <s v="POSITIVO"/>
    <d v="1899-12-30T03:01:00"/>
    <d v="1899-12-30T00:00:00"/>
    <d v="1899-12-30T03:01:00"/>
    <s v=" "/>
    <d v="1899-12-30T00:39:00"/>
    <d v="1899-12-30T02:22:00"/>
    <s v=" "/>
    <s v=" "/>
    <s v=" "/>
    <s v=" "/>
    <s v=" "/>
    <s v=" "/>
    <s v=" "/>
    <s v=" "/>
    <s v=" "/>
    <s v="Licença Mater."/>
    <s v="CONSULTOR DE VENDAS"/>
    <x v="11"/>
    <s v="LJSJE"/>
  </r>
  <r>
    <n v="501292"/>
    <s v="JOAO OSNI GONCALVES RIBEIRO"/>
    <s v="Diretoria Seminovos"/>
    <s v="RSSUL -  Regional Seminovos Varejo Sul"/>
    <s v="LJFLN - Vendas Varejo Seminovos Florianópolis"/>
    <s v="JOAO MARCELO VARGAS"/>
    <s v="POSITIVO"/>
    <d v="1899-12-30T02:32:00"/>
    <d v="1899-12-30T00:00:00"/>
    <d v="1899-12-30T02:32:00"/>
    <s v=" "/>
    <s v=" "/>
    <d v="1899-12-30T02:32:00"/>
    <s v=" "/>
    <s v=" "/>
    <s v=" "/>
    <s v=" "/>
    <s v=" "/>
    <s v=" "/>
    <s v=" "/>
    <s v=" "/>
    <s v=" "/>
    <s v="Ativo"/>
    <s v="CONSULTOR DE VENDAS"/>
    <x v="11"/>
    <s v="LJFLN"/>
  </r>
  <r>
    <n v="129745"/>
    <s v="BRUNO RAMON KLAUCK"/>
    <s v="Diretoria Seminovos"/>
    <s v="RSSUL -  Regional Seminovos Varejo Sul"/>
    <s v="LJSLP - Vendas Varejo Seminovos São Leopoldo"/>
    <s v="MARCONCINE DE MATOS"/>
    <s v="POSITIVO"/>
    <d v="1899-12-30T01:47:00"/>
    <d v="1899-12-30T00:00:00"/>
    <d v="1899-12-30T01:47:00"/>
    <s v=" "/>
    <s v=" "/>
    <d v="1899-12-30T01:47:00"/>
    <s v=" "/>
    <s v=" "/>
    <s v=" "/>
    <s v=" "/>
    <s v=" "/>
    <s v=" "/>
    <s v=" "/>
    <s v=" "/>
    <s v=" "/>
    <s v="Contrato de Trabalho Suspenso"/>
    <s v="CONSULTOR DE VENDAS"/>
    <x v="11"/>
    <s v="LJSLP"/>
  </r>
  <r>
    <n v="132506"/>
    <s v="GIOVANNI SANTANA"/>
    <s v="Diretoria Seminovos"/>
    <s v="RSSUL -  Regional Seminovos Varejo Sul"/>
    <s v="LJCWB - Vendas Varejo Seminovos Curitiba"/>
    <s v="ADRIANO LINS"/>
    <s v="POSITIVO"/>
    <d v="1899-12-30T01:22:00"/>
    <d v="1899-12-30T00:00:00"/>
    <d v="1899-12-30T01:22:00"/>
    <s v=" "/>
    <s v=" "/>
    <s v=" "/>
    <s v=" "/>
    <s v=" "/>
    <d v="1899-12-30T00:01:00"/>
    <d v="1899-12-30T01:21:00"/>
    <s v=" "/>
    <s v=" "/>
    <s v=" "/>
    <s v=" "/>
    <s v=" "/>
    <s v="Ativo"/>
    <s v="CONSULTOR DE VENDAS"/>
    <x v="11"/>
    <s v="LJCWB"/>
  </r>
  <r>
    <n v="125196"/>
    <s v="VINICIUS DE ARRUDA"/>
    <s v="Diretoria Seminovos"/>
    <s v="RSSUL -  Regional Seminovos Varejo Sul"/>
    <s v="LJITJ - Vendas Varejo Seminovos Itajaí"/>
    <s v="PAULO SERGIO APARECIDO DE CARVALHO"/>
    <s v="POSITIVO"/>
    <d v="1899-12-30T01:06:00"/>
    <d v="1899-12-30T00:00:00"/>
    <d v="1899-12-30T01:06:00"/>
    <s v=" "/>
    <s v=" "/>
    <s v=" "/>
    <s v=" "/>
    <s v=" "/>
    <d v="1899-12-30T01:06:00"/>
    <s v=" "/>
    <s v=" "/>
    <s v=" "/>
    <s v=" "/>
    <s v=" "/>
    <s v=" "/>
    <s v="Ativo"/>
    <s v="CONSULTOR DE VENDAS"/>
    <x v="11"/>
    <s v="LJITJ"/>
  </r>
  <r>
    <n v="125494"/>
    <s v="BARBARA GREHS"/>
    <s v="Diretoria Seminovos"/>
    <s v="RSSUL -  Regional Seminovos Varejo Sul"/>
    <s v="LJSET - Vendas Varejo Seminovos Sertório"/>
    <s v="LEONARDO HENRIQUE TREMEA MANCIO"/>
    <s v="POSITIVO"/>
    <d v="1899-12-30T00:06:00"/>
    <d v="1899-12-30T00:00:00"/>
    <d v="1899-12-30T00:06:00"/>
    <s v=" "/>
    <s v=" "/>
    <s v=" "/>
    <d v="1899-12-30T00:06:00"/>
    <s v=" "/>
    <s v=" "/>
    <s v=" "/>
    <s v=" "/>
    <s v=" "/>
    <s v=" "/>
    <s v=" "/>
    <s v=" "/>
    <s v="Ativo"/>
    <s v="CONSULTOR DE VENDAS"/>
    <x v="11"/>
    <s v="LJSET"/>
  </r>
  <r>
    <n v="133635"/>
    <s v="ALEXANDRE DA SILVA AMARAL"/>
    <s v="Diretoria Seminovos"/>
    <s v="RSSUL -  Regional Seminovos Varejo Sul"/>
    <s v="LJPET - Vendas Varejo Seminovos Pelotas"/>
    <s v="ANDERSON SILVEIRA LOPE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1"/>
    <s v="LJPET"/>
  </r>
  <r>
    <n v="135178"/>
    <s v="CARLOS ADOLFO VOSS SCHMOLLER"/>
    <s v="Diretoria Seminovos"/>
    <s v="RSSUL -  Regional Seminovos Varejo Sul"/>
    <s v="LJBNU - Vendas Varejo Seminovos Blumenau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1"/>
    <s v="LJBNU"/>
  </r>
  <r>
    <n v="134743"/>
    <s v="EDUARDO MANUEL DA SILVA"/>
    <s v="Diretoria Seminovos"/>
    <s v="RSSUL -  Regional Seminovos Varejo Sul"/>
    <s v="LJCXS - Vendas Varejo Seminovos Caxias do Sul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1"/>
    <s v="LJCXS"/>
  </r>
  <r>
    <n v="136246"/>
    <s v="FELIPE GOLDANI"/>
    <s v="Diretoria Seminovos"/>
    <s v="RSSUL -  Regional Seminovos Varejo Sul"/>
    <s v="LJPOA - Vendas Varejo Seminovos Porto Alegre"/>
    <s v="FABIO MACHADO PAIXA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Contrato de Trabalho Suspenso"/>
    <s v="CONSULTOR DE VENDAS"/>
    <x v="11"/>
    <s v="LJPOA"/>
  </r>
  <r>
    <n v="135366"/>
    <s v="GABRIEL DIAS RIBAS"/>
    <s v="Diretoria Seminovos"/>
    <s v="RSSUL -  Regional Seminovos Varejo Sul"/>
    <s v="LJSJE - Vendas Varejo Seminovos São José"/>
    <s v="EDISON RAPHAEL ESAIER SETTIN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1"/>
    <s v="LJSJE"/>
  </r>
  <r>
    <n v="137163"/>
    <s v="VALTER ANTONIO PEREIRA CLARINDA"/>
    <s v="Diretoria Seminovos"/>
    <s v="RSSUL -  Regional Seminovos Varejo Sul"/>
    <s v="LJCCM - Loja Seminovos Criciúma"/>
    <s v="RICARDO ROSA PACHECO"/>
    <s v="POSITIVO"/>
    <d v="1899-12-30T00:17:00"/>
    <d v="1899-12-30T00:00:00"/>
    <d v="1899-12-30T00:17:00"/>
    <s v=" "/>
    <s v=" "/>
    <s v=" "/>
    <s v=" "/>
    <s v=" "/>
    <s v=" "/>
    <d v="1899-12-30T00:11:00"/>
    <s v=" "/>
    <s v=" "/>
    <s v=" "/>
    <s v=" "/>
    <s v=" "/>
    <s v="Ativo"/>
    <s v="HIGIENIZADOR DE CARROS"/>
    <x v="11"/>
    <s v="LJCCM"/>
  </r>
  <r>
    <n v="131797"/>
    <s v="LUCIANO DA ROSA GIL"/>
    <s v="Diretoria Seminovos"/>
    <s v="RSSUL -  Regional Seminovos Varejo Sul"/>
    <s v="LJCXS - Vendas Varejo Seminovos Caxias do Sul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1"/>
    <s v="LJCXS"/>
  </r>
  <r>
    <n v="136248"/>
    <s v="MARCELO FRITZEN"/>
    <s v="Diretoria Seminovos"/>
    <s v="RSSUL -  Regional Seminovos Varejo Sul"/>
    <s v="LJSMR - Vendas Varejo Seminovos Santa Maria"/>
    <s v="CHARLES FRIEDHEIN MARCHESAN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1"/>
    <s v="LJSMR"/>
  </r>
  <r>
    <n v="134262"/>
    <s v="MILENA CECHELERO VASILAKIS"/>
    <s v="Diretoria Seminovos"/>
    <s v="RSSUL -  Regional Seminovos Varejo Sul"/>
    <s v="LJITJ - Vendas Varejo Seminovos Itajaí"/>
    <s v="PAULO SERGIO APARECIDO DE CARVALHO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CONSULTOR DE VENDAS"/>
    <x v="11"/>
    <s v="LJITJ"/>
  </r>
  <r>
    <n v="131568"/>
    <s v="OSWALDO AUGUSTO HOSTERT SOBRINHO"/>
    <s v="Diretoria Seminovos"/>
    <s v="RSSUL -  Regional Seminovos Varejo Sul"/>
    <s v="LJBNU - Vendas Varejo Seminovos Blumenau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f.Previdência"/>
    <s v="CONSULTOR DE VENDAS"/>
    <x v="11"/>
    <s v="LJBNU"/>
  </r>
  <r>
    <n v="129924"/>
    <s v="ANAIR NUNES DE JESUS DA SILVA"/>
    <s v="Diretoria Seminovos"/>
    <s v="RSSUL -  Regional Seminovos Varejo Sul"/>
    <s v="LJSLP - Loja Seminovos São Leopoldo"/>
    <s v="MARCONCINE DE MATO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11"/>
    <s v="LJSLP"/>
  </r>
  <r>
    <n v="135471"/>
    <s v="ANDRIELLI SOUZA"/>
    <s v="Diretoria Seminovos"/>
    <s v="RSSUL -  Regional Seminovos Varejo Sul"/>
    <s v="LJFLI - Loja Seminovos Florianópolis Ilha"/>
    <s v="DORLI DAVID MACHADO"/>
    <s v="POSITIVO"/>
    <d v="1899-12-31T01:01:00"/>
    <d v="1899-12-30T00:00:00"/>
    <d v="1899-12-31T01:01:00"/>
    <s v=" "/>
    <s v=" "/>
    <s v=" "/>
    <s v=" "/>
    <d v="1899-12-30T03:00:00"/>
    <d v="1899-12-31T01:01:00"/>
    <s v=" "/>
    <s v=" "/>
    <s v=" "/>
    <s v=" "/>
    <s v=" "/>
    <s v=" "/>
    <s v="Ativo"/>
    <s v="AUX. DE SERVICOS GERAIS - DIRCS"/>
    <x v="11"/>
    <s v="LJFLI"/>
  </r>
  <r>
    <n v="132036"/>
    <s v="ARLETE SCHARSKI IACHINSKI"/>
    <s v="Diretoria Seminovos"/>
    <s v="RSSUL -  Regional Seminovos Varejo Sul"/>
    <s v="LJGUI - Loja Seminovos Barigui"/>
    <s v="FABIO VLADIMIR JARDIM MADRUGA"/>
    <s v="POSITIVO"/>
    <d v="1899-12-30T23:16:00"/>
    <d v="1899-12-30T00:00:00"/>
    <d v="1899-12-30T23:16:00"/>
    <s v=" "/>
    <s v=" "/>
    <s v=" "/>
    <s v=" "/>
    <s v=" "/>
    <s v=" "/>
    <s v=" "/>
    <s v=" "/>
    <s v=" "/>
    <s v=" "/>
    <s v=" "/>
    <d v="1899-12-30T07:59:00"/>
    <s v="Ativo"/>
    <s v="AUX. DE SERVICOS GERAIS - DIRCS"/>
    <x v="11"/>
    <s v="LJGUI"/>
  </r>
  <r>
    <n v="123364"/>
    <s v="CARLOS HELENO VARGAS FAGUNDES"/>
    <s v="Diretoria Seminovos"/>
    <s v="RSSUL -  Regional Seminovos Varejo Sul"/>
    <s v="LJCNO - Loja Seminovos Canoas"/>
    <s v="MARCIO SILVA DOS SANTOS"/>
    <s v="POSITIVO"/>
    <d v="1899-12-30T03:17:00"/>
    <d v="1899-12-30T00:00:00"/>
    <d v="1899-12-30T03:17:00"/>
    <s v=" "/>
    <s v=" "/>
    <s v=" "/>
    <s v=" "/>
    <s v=" "/>
    <s v=" "/>
    <d v="1899-12-30T06:01:00"/>
    <s v=" "/>
    <s v=" "/>
    <s v=" "/>
    <s v=" "/>
    <s v=" "/>
    <s v="Ativo"/>
    <s v="HIGIENIZADOR DE CARROS"/>
    <x v="11"/>
    <s v="LJCNO"/>
  </r>
  <r>
    <n v="137157"/>
    <s v="CESAR PIRES RIBEIRO"/>
    <s v="Diretoria Seminovos"/>
    <s v="RSSUL -  Regional Seminovos Varejo Sul"/>
    <s v="LJJOI - Loja Seminovos Joinville"/>
    <s v="ALEXANDRE PORTO DE CAMARGO"/>
    <s v="POSITIVO"/>
    <d v="1899-12-30T05:25:00"/>
    <d v="1899-12-30T00:00:00"/>
    <d v="1899-12-30T05:25:00"/>
    <s v=" "/>
    <s v=" "/>
    <s v=" "/>
    <s v=" "/>
    <s v=" "/>
    <s v=" "/>
    <d v="1899-12-30T04:20:00"/>
    <s v=" "/>
    <s v=" "/>
    <s v=" "/>
    <s v=" "/>
    <s v=" "/>
    <s v="Ativo"/>
    <s v="HIGIENIZADOR DE CARROS"/>
    <x v="11"/>
    <s v="LJJOI"/>
  </r>
  <r>
    <n v="125892"/>
    <s v="DIEGO OURIQUES"/>
    <s v="Diretoria Seminovos"/>
    <s v="RSSUL -  Regional Seminovos Varejo Sul"/>
    <s v="LJJOI - Loja Seminovos Joinville"/>
    <s v="ALEXANDRE PORTO DE CAMARGO"/>
    <s v="POSITIVO"/>
    <d v="1899-12-30T09:43:00"/>
    <d v="1899-12-30T00:00:00"/>
    <d v="1899-12-30T09:43:00"/>
    <s v=" "/>
    <s v=" "/>
    <s v=" "/>
    <s v=" "/>
    <s v=" "/>
    <s v=" "/>
    <d v="1899-12-30T09:04:00"/>
    <s v=" "/>
    <s v=" "/>
    <s v=" "/>
    <s v=" "/>
    <s v=" "/>
    <s v="Ativo"/>
    <s v="HIGIENIZADOR DE CARROS"/>
    <x v="11"/>
    <s v="LJJOI"/>
  </r>
  <r>
    <n v="121647"/>
    <s v="ELAINE LICKER COFFI"/>
    <s v="Diretoria Seminovos"/>
    <s v="RSSUL -  Regional Seminovos Varejo Sul"/>
    <s v="LJPOA - Loja Seminovos Porto Alegre"/>
    <s v="FABIO MACHADO PAIXAO"/>
    <s v="POSITIVO"/>
    <d v="1899-12-30T03:18:00"/>
    <d v="1899-12-30T00:00:00"/>
    <d v="1899-12-30T03:18:00"/>
    <s v=" "/>
    <s v=" "/>
    <s v=" "/>
    <s v=" "/>
    <d v="1899-12-30T00:58:00"/>
    <d v="1899-12-30T02:20:00"/>
    <s v=" "/>
    <s v=" "/>
    <s v=" "/>
    <s v=" "/>
    <s v=" "/>
    <s v=" "/>
    <s v="Af.Previdência"/>
    <s v="AUX. DE SERVICOS GERAIS - DIRCS"/>
    <x v="11"/>
    <s v="LJPOA"/>
  </r>
  <r>
    <n v="134270"/>
    <s v="ELENISE MATHIAS OLIVEIRA"/>
    <s v="Diretoria Seminovos"/>
    <s v="RSSUL -  Regional Seminovos Varejo Sul"/>
    <s v="LJGRA - Loja Seminovos Gravataí"/>
    <s v="DANIEL DA SILVA CARDOSO"/>
    <s v="POSITIVO"/>
    <d v="1899-12-30T06:29:00"/>
    <d v="1899-12-30T00:00:00"/>
    <d v="1899-12-30T06:29:00"/>
    <s v=" "/>
    <s v=" "/>
    <s v=" "/>
    <s v=" "/>
    <s v=" "/>
    <s v=" "/>
    <d v="1899-12-30T03:23:00"/>
    <s v=" "/>
    <s v=" "/>
    <s v=" "/>
    <s v=" "/>
    <s v=" "/>
    <s v="Ativo"/>
    <s v="AUX. DE SERVICOS GERAIS - DIRCS"/>
    <x v="11"/>
    <s v="LJGRA"/>
  </r>
  <r>
    <n v="125122"/>
    <s v="ELISANGELA DA SILVA FRAGA"/>
    <s v="Diretoria Seminovos"/>
    <s v="RSSUL -  Regional Seminovos Varejo Sul"/>
    <s v="LJCCM - Loja Seminovos Criciúma"/>
    <s v="RICARDO ROSA PACHECO"/>
    <s v="POSITIVO"/>
    <d v="1899-12-30T03:16:00"/>
    <d v="1899-12-30T00:00:00"/>
    <d v="1899-12-30T03:16:00"/>
    <s v=" "/>
    <s v=" "/>
    <s v=" "/>
    <s v=" "/>
    <d v="1899-12-30T01:11:00"/>
    <d v="1899-12-30T01:02:00"/>
    <d v="1899-12-30T00:40:00"/>
    <s v=" "/>
    <s v=" "/>
    <s v=" "/>
    <s v=" "/>
    <s v=" "/>
    <s v="Ativo"/>
    <s v="AUX. DE SERVICOS GERAIS"/>
    <x v="11"/>
    <s v="LJCCM"/>
  </r>
  <r>
    <n v="135966"/>
    <s v="FRANCIELI DEZULINSKI DOS SANTOS"/>
    <s v="Diretoria Seminovos"/>
    <s v="RSSUL -  Regional Seminovos Varejo Sul"/>
    <s v="LJPGS - Loja Seminovos Ponta Grossa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11"/>
    <s v="LJPGS"/>
  </r>
  <r>
    <n v="129844"/>
    <s v="GABRIELA BORGES BIANCHI"/>
    <s v="Diretoria Seminovos"/>
    <s v="RSSUL -  Regional Seminovos Varejo Sul"/>
    <s v="LJCXS - Loja Seminovos Caxias do Sul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AUX. DE SERVICOS GERAIS - DIRCS"/>
    <x v="11"/>
    <s v="LJCXS"/>
  </r>
  <r>
    <n v="136316"/>
    <s v="GABRIELLE MARCHETO SIQUEIRA"/>
    <s v="Diretoria Seminovos"/>
    <s v="RSSUL -  Regional Seminovos Varejo Sul"/>
    <s v="LJGRA - Vendas Varejo Seminovos Gravataí"/>
    <s v="DANIEL DA SILVA CARDOSO"/>
    <s v="POSITIVO"/>
    <d v="1899-12-30T01:26:00"/>
    <d v="1899-12-30T00:00:00"/>
    <d v="1899-12-30T01:26:00"/>
    <s v=" "/>
    <s v=" "/>
    <s v=" "/>
    <s v=" "/>
    <s v=" "/>
    <s v=" "/>
    <d v="1899-12-30T02:45:00"/>
    <s v=" "/>
    <s v=" "/>
    <s v=" "/>
    <s v=" "/>
    <s v=" "/>
    <s v="Ativo"/>
    <s v="CONSULTOR DE VENDAS"/>
    <x v="11"/>
    <s v="LJGRA"/>
  </r>
  <r>
    <n v="133576"/>
    <s v="LEANDRO DE ALBUQUERQUE DUARTE DA SILVA"/>
    <s v="Diretoria Seminovos"/>
    <s v="RSSUL -  Regional Seminovos Varejo Sul"/>
    <s v="LJFLN - Loja Seminovos Florianopolis"/>
    <s v="JOAO MARCELO VARGAS"/>
    <s v="POSITIVO"/>
    <d v="1899-12-30T02:22:00"/>
    <d v="1899-12-30T00:00:00"/>
    <d v="1899-12-30T02:22:00"/>
    <s v=" "/>
    <s v=" "/>
    <s v=" "/>
    <s v=" "/>
    <s v=" "/>
    <d v="1899-12-30T02:22:00"/>
    <s v=" "/>
    <s v=" "/>
    <s v=" "/>
    <s v=" "/>
    <s v=" "/>
    <s v=" "/>
    <s v="Contrato de Trabalho Suspenso"/>
    <s v="HIGIENIZADOR DE CARROS"/>
    <x v="11"/>
    <s v="LJFLN"/>
  </r>
  <r>
    <n v="137191"/>
    <s v="LUCIANA DAUTINA DA COSTA WOLFF"/>
    <s v="Diretoria Seminovos"/>
    <s v="RSSUL -  Regional Seminovos Varejo Sul"/>
    <s v="LJLGS -  Loja Seminovos Lages"/>
    <s v="JOAO MARCELO VARGAS"/>
    <s v="POSITIVO"/>
    <d v="1899-12-30T06:45:00"/>
    <d v="1899-12-30T00:00:00"/>
    <d v="1899-12-30T06:45:00"/>
    <s v=" "/>
    <s v=" "/>
    <s v=" "/>
    <s v=" "/>
    <s v=" "/>
    <s v=" "/>
    <s v=" "/>
    <s v=" "/>
    <s v=" "/>
    <s v=" "/>
    <s v=" "/>
    <s v=" "/>
    <s v="Ativo"/>
    <s v="AUX. DE SERVICOS GERAIS - DIRCS"/>
    <x v="11"/>
    <s v="LJLGS"/>
  </r>
  <r>
    <n v="501004"/>
    <s v="MARIA JOSE PIRES DE MORAIS FERREIRA"/>
    <s v="Diretoria Seminovos"/>
    <s v="RSSUL -  Regional Seminovos Varejo Sul"/>
    <s v="LJCWB - Loja Seminovos Curitiba"/>
    <s v="ADRIANO LINS"/>
    <s v="POSITIVO"/>
    <d v="1899-12-30T19:19:00"/>
    <d v="1899-12-30T00:00:00"/>
    <d v="1899-12-30T19:19:00"/>
    <s v=" "/>
    <s v=" "/>
    <s v=" "/>
    <s v=" "/>
    <s v=" "/>
    <s v=" "/>
    <s v=" "/>
    <s v=" "/>
    <s v=" "/>
    <s v=" "/>
    <d v="1899-12-30T04:05:00"/>
    <d v="1899-12-30T08:00:00"/>
    <s v="Ativo"/>
    <s v="AUX. DE SERVICOS GERAIS - DIRCS"/>
    <x v="11"/>
    <s v="LJCWB"/>
  </r>
  <r>
    <n v="137031"/>
    <s v="PATRICIA FERREIRA"/>
    <s v="Diretoria Seminovos"/>
    <s v="RSSUL -  Regional Seminovos Varejo Sul"/>
    <s v="LJCXS - Loja Seminovos Caxias do Sul"/>
    <s v="JOAO MARCELO VARGAS"/>
    <s v="POSITIVO"/>
    <d v="1899-12-30T00:32:00"/>
    <d v="1899-12-30T00:00:00"/>
    <d v="1899-12-30T00:32:00"/>
    <s v=" "/>
    <s v=" "/>
    <s v=" "/>
    <d v="1899-12-30T00:32:00"/>
    <s v=" "/>
    <s v=" "/>
    <s v=" "/>
    <s v=" "/>
    <s v=" "/>
    <s v=" "/>
    <s v=" "/>
    <s v=" "/>
    <s v="Ativo"/>
    <s v="AUX. DE SERVICOS GERAIS - DIRCS"/>
    <x v="11"/>
    <s v="LJCXS"/>
  </r>
  <r>
    <n v="131545"/>
    <s v="REINALDO PADILHA DE OLIVEIRA"/>
    <s v="Diretoria Seminovos"/>
    <s v="RSSUL -  Regional Seminovos Varejo Sul"/>
    <s v="LJCXS - Loja Seminovos Caxias do Sul"/>
    <s v="JOAO MARCELO VARGAS"/>
    <s v="POSITIVO"/>
    <d v="1899-12-30T00:00:00"/>
    <d v="1899-12-30T00:00:00"/>
    <d v="1899-12-30T00:00:00"/>
    <s v=" "/>
    <s v=" "/>
    <s v=" "/>
    <s v=" "/>
    <s v=" "/>
    <s v=" "/>
    <s v=" "/>
    <s v=" "/>
    <s v=" "/>
    <s v=" "/>
    <s v=" "/>
    <s v=" "/>
    <s v="Ativo"/>
    <s v="HIGIENIZADOR DE CARROS"/>
    <x v="11"/>
    <s v="LJCXS"/>
  </r>
  <r>
    <n v="125266"/>
    <s v="RONALDO LUZ SEVERO"/>
    <s v="Diretoria Seminovos"/>
    <s v="RSSUL -  Regional Seminovos Varejo Sul"/>
    <s v="LJFLN - Loja Seminovos Florianopolis"/>
    <s v="JOAO MARCELO VARGAS"/>
    <s v="POSITIVO"/>
    <d v="1899-12-30T07:49:00"/>
    <d v="1899-12-30T00:00:00"/>
    <d v="1899-12-30T07:49:00"/>
    <s v=" "/>
    <s v=" "/>
    <s v=" "/>
    <s v=" "/>
    <d v="1899-12-30T00:48:00"/>
    <d v="1899-12-30T05:35:00"/>
    <d v="1899-12-30T01:06:00"/>
    <s v=" "/>
    <s v=" "/>
    <s v=" "/>
    <s v=" "/>
    <s v=" "/>
    <s v="Ativo"/>
    <s v="HIGIENIZADOR DE CARROS"/>
    <x v="11"/>
    <s v="LJFLN"/>
  </r>
  <r>
    <n v="137161"/>
    <s v="TAIZA MIRANDA DA SILVA LOPES"/>
    <s v="Diretoria Seminovos"/>
    <s v="RSSUL -  Regional Seminovos Varejo Sul"/>
    <s v="LJJOI - Loja Seminovos Joinville"/>
    <s v="ALEXANDRE PORTO DE CAMARGO"/>
    <s v="POSITIVO"/>
    <d v="1899-12-30T02:01:00"/>
    <d v="1899-12-30T00:00:00"/>
    <d v="1899-12-30T02:01:00"/>
    <s v=" "/>
    <s v=" "/>
    <s v=" "/>
    <s v=" "/>
    <s v=" "/>
    <s v=" "/>
    <d v="1899-12-30T01:59:00"/>
    <s v=" "/>
    <s v=" "/>
    <s v=" "/>
    <s v=" "/>
    <s v=" "/>
    <s v="Ativo"/>
    <s v="AUX. DE SERVICOS GERAIS - DIRCS"/>
    <x v="11"/>
    <s v="LJJOI"/>
  </r>
  <r>
    <n v="124556"/>
    <s v="VANDERLEI COUTO DE OLIVEIRA"/>
    <s v="Diretoria Seminovos"/>
    <s v="RSSUL -  Regional Seminovos Varejo Sul"/>
    <s v="LJSET - Vendas Varejo Seminovos Sertório"/>
    <s v="LEONARDO HENRIQUE TREMEA MANCIO"/>
    <s v="POSITIVO"/>
    <d v="1899-12-30T08:43:00"/>
    <d v="1899-12-30T00:00:00"/>
    <d v="1899-12-30T08:43:00"/>
    <s v=" "/>
    <s v=" "/>
    <s v=" "/>
    <s v=" "/>
    <s v=" "/>
    <s v=" "/>
    <d v="1899-12-30T02:19:00"/>
    <s v=" "/>
    <s v=" "/>
    <s v=" "/>
    <s v=" "/>
    <s v=" "/>
    <s v="Ativo"/>
    <s v="CONSULTOR DE VENDAS"/>
    <x v="11"/>
    <s v="LJSET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2">
  <r>
    <n v="236524"/>
    <s v="People1"/>
    <s v="department"/>
    <s v="REGION1"/>
    <s v="STORE1"/>
    <s v="MANAGER1"/>
    <s v="NEGATIVO"/>
    <d v="1899-12-30T02:25:00"/>
    <d v="1899-12-30T02:25:00"/>
    <m/>
    <s v="POSITION1"/>
    <x v="0"/>
    <s v="STORE1"/>
  </r>
  <r>
    <n v="236673"/>
    <s v="People2"/>
    <s v="department"/>
    <s v="REGION1"/>
    <s v="STORE2"/>
    <s v="MANAGER2"/>
    <s v="NEGATIVO"/>
    <d v="1899-12-30T21:16:00"/>
    <d v="1899-12-30T21:16:00"/>
    <m/>
    <s v="POSITION2"/>
    <x v="0"/>
    <s v="STORE2"/>
  </r>
  <r>
    <n v="238192"/>
    <s v="People3"/>
    <s v="department"/>
    <s v="REGION1"/>
    <s v="STORE3"/>
    <s v="MANAGER3"/>
    <s v="NEGATIVO"/>
    <d v="1899-12-30T02:29:00"/>
    <d v="1899-12-30T02:29:00"/>
    <m/>
    <s v="POSITION1"/>
    <x v="0"/>
    <s v="STORE3"/>
  </r>
  <r>
    <n v="235242"/>
    <s v="People4"/>
    <s v="department"/>
    <s v="REGION1"/>
    <s v="STORE1"/>
    <s v="MANAGER1"/>
    <s v="NEGATIVO"/>
    <d v="1899-12-30T00:24:00"/>
    <d v="1899-12-30T00:24:00"/>
    <m/>
    <s v="POSITION1"/>
    <x v="0"/>
    <s v="STORE1"/>
  </r>
  <r>
    <n v="236245"/>
    <s v="People5"/>
    <s v="department"/>
    <s v="REGION1"/>
    <s v="STORE1"/>
    <s v="MANAGER1"/>
    <s v="NEGATIVO"/>
    <d v="1899-12-30T01:35:00"/>
    <d v="1899-12-30T01:35:00"/>
    <m/>
    <s v="POSITION1"/>
    <x v="0"/>
    <s v="STORE1"/>
  </r>
  <r>
    <n v="229679"/>
    <s v="People6"/>
    <s v="department"/>
    <s v="REGION1"/>
    <s v="STORE4"/>
    <s v="MANAGER4"/>
    <s v="NEGATIVO"/>
    <d v="1900-01-02T03:05:00"/>
    <d v="1900-01-02T03:05:00"/>
    <m/>
    <s v="POSITION1"/>
    <x v="0"/>
    <s v="STORE4"/>
  </r>
  <r>
    <n v="224455"/>
    <s v="People7"/>
    <s v="department"/>
    <s v="REGION1"/>
    <s v="STORE5"/>
    <s v="MANAGER5"/>
    <s v="NEGATIVO"/>
    <d v="1899-12-30T08:21:00"/>
    <d v="1899-12-30T08:21:00"/>
    <m/>
    <s v="POSITION1"/>
    <x v="0"/>
    <s v="STORE5"/>
  </r>
  <r>
    <n v="233202"/>
    <s v="People8"/>
    <s v="department"/>
    <s v="REGION1"/>
    <s v="STORE6"/>
    <s v="MANAGER6"/>
    <s v="NEGATIVO"/>
    <d v="1899-12-30T20:26:00"/>
    <d v="1899-12-30T20:26:00"/>
    <m/>
    <s v="POSITION1"/>
    <x v="0"/>
    <s v="STORE6"/>
  </r>
  <r>
    <n v="232421"/>
    <s v="People9"/>
    <s v="department"/>
    <s v="REGION1"/>
    <s v="STORE3"/>
    <s v="MANAGER3"/>
    <s v="NEGATIVO"/>
    <d v="1899-12-31T01:13:00"/>
    <d v="1899-12-31T01:13:00"/>
    <m/>
    <s v="POSITION1"/>
    <x v="0"/>
    <s v="STORE3"/>
  </r>
  <r>
    <n v="236351"/>
    <s v="People10"/>
    <s v="department"/>
    <s v="REGION1"/>
    <s v="STORE7"/>
    <s v="MANAGER3"/>
    <s v="NEGATIVO"/>
    <d v="1900-01-01T09:52:00"/>
    <d v="1900-01-01T09:52:00"/>
    <m/>
    <s v="POSITION3"/>
    <x v="0"/>
    <s v="STORE7"/>
  </r>
  <r>
    <n v="237208"/>
    <s v="People11"/>
    <s v="department"/>
    <s v="REGION1"/>
    <s v="STORE8"/>
    <s v="MANAGER1"/>
    <s v="NEGATIVO"/>
    <d v="1899-12-30T01:30:00"/>
    <d v="1899-12-30T01:30:00"/>
    <m/>
    <s v="POSITION4"/>
    <x v="0"/>
    <s v="STORE8"/>
  </r>
  <r>
    <n v="234179"/>
    <s v="People12"/>
    <s v="department"/>
    <s v="REGION1"/>
    <s v="STORE9"/>
    <s v="MANAGER7"/>
    <s v="NEGATIVO"/>
    <d v="1899-12-30T06:03:00"/>
    <d v="1899-12-30T06:03:00"/>
    <m/>
    <s v="POSITION5"/>
    <x v="0"/>
    <s v="STORE9"/>
  </r>
  <r>
    <n v="219753"/>
    <s v="People13"/>
    <s v="department"/>
    <s v="REGION1"/>
    <s v="STORE10"/>
    <s v="MANAGER8"/>
    <s v="NEGATIVO"/>
    <d v="1899-12-30T12:23:00"/>
    <d v="1899-12-30T12:23:00"/>
    <m/>
    <s v="POSITION3"/>
    <x v="0"/>
    <s v="STORE10"/>
  </r>
  <r>
    <n v="232821"/>
    <s v="People14"/>
    <s v="department"/>
    <s v="REGION1"/>
    <s v="STORE9"/>
    <s v="MANAGER7"/>
    <s v="NEGATIVO"/>
    <d v="1900-01-03T06:00:00"/>
    <d v="1900-01-03T06:00:00"/>
    <m/>
    <s v="POSITION4"/>
    <x v="0"/>
    <s v="STORE9"/>
  </r>
  <r>
    <n v="235678"/>
    <s v="People15"/>
    <s v="department"/>
    <s v="REGION1"/>
    <s v="STORE11"/>
    <s v="MANAGER9"/>
    <s v="NEGATIVO"/>
    <d v="1899-12-30T13:27:00"/>
    <d v="1899-12-30T13:27:00"/>
    <m/>
    <s v="POSITION1"/>
    <x v="0"/>
    <s v="STORE11"/>
  </r>
  <r>
    <n v="229504"/>
    <s v="People16"/>
    <s v="department"/>
    <s v="REGION1"/>
    <s v="STORE12"/>
    <s v="MANAGER2"/>
    <s v="NEGATIVO"/>
    <d v="1899-12-31T15:54:00"/>
    <d v="1899-12-31T15:54:00"/>
    <m/>
    <s v="POSITION2"/>
    <x v="0"/>
    <s v="STORE12"/>
  </r>
  <r>
    <n v="220259"/>
    <s v="People17"/>
    <s v="department"/>
    <s v="REGION1"/>
    <s v="STORE13"/>
    <s v="MANAGER9"/>
    <s v="NEGATIVO"/>
    <d v="1900-01-20T14:00:00"/>
    <d v="1900-01-20T14:00:00"/>
    <m/>
    <s v="POSITION4"/>
    <x v="0"/>
    <s v="STORE13"/>
  </r>
  <r>
    <n v="201734"/>
    <s v="People18"/>
    <s v="department"/>
    <s v="REGION1"/>
    <s v="STORE14"/>
    <s v="MANAGER6"/>
    <s v="NEGATIVO"/>
    <d v="1900-01-16T02:00:00"/>
    <d v="1900-01-16T02:00:00"/>
    <m/>
    <s v="POSITION4"/>
    <x v="0"/>
    <s v="STORE14"/>
  </r>
  <r>
    <n v="234407"/>
    <s v="People19"/>
    <s v="department"/>
    <s v="REGION1"/>
    <s v="STORE15"/>
    <s v="MANAGER10"/>
    <s v="NEGATIVO"/>
    <d v="1900-01-06T16:11:00"/>
    <d v="1900-01-06T16:11:00"/>
    <m/>
    <s v="POSITION1"/>
    <x v="0"/>
    <s v="STORE15"/>
  </r>
  <r>
    <n v="220870"/>
    <s v="People20"/>
    <s v="department"/>
    <s v="REGION1"/>
    <s v="STORE16"/>
    <s v="MANAGER10"/>
    <s v="NEGATIVO"/>
    <d v="1900-01-03T13:08:00"/>
    <d v="1900-01-03T13:08:00"/>
    <m/>
    <s v="POSITION3"/>
    <x v="0"/>
    <s v="STORE16"/>
  </r>
  <r>
    <n v="237838"/>
    <s v="People21"/>
    <s v="department"/>
    <s v="REGION1"/>
    <s v="STORE17"/>
    <s v="MANAGER7"/>
    <s v="NEGATIVO"/>
    <d v="1899-12-30T02:24:00"/>
    <d v="1899-12-30T02:24:00"/>
    <m/>
    <s v="POSITION1"/>
    <x v="0"/>
    <s v="STORE17"/>
  </r>
  <r>
    <n v="235502"/>
    <s v="People22"/>
    <s v="department"/>
    <s v="REGION1"/>
    <s v="STORE18"/>
    <s v="MANAGER8"/>
    <s v="NEGATIVO"/>
    <d v="1899-12-30T21:37:00"/>
    <d v="1899-12-30T21:37:00"/>
    <m/>
    <s v="POSITION1"/>
    <x v="0"/>
    <s v="STORE18"/>
  </r>
  <r>
    <n v="237562"/>
    <s v="People23"/>
    <s v="department"/>
    <s v="REGION1"/>
    <s v="STORE19"/>
    <s v="MANAGER11"/>
    <s v="NEGATIVO"/>
    <d v="1900-01-08T04:00:00"/>
    <d v="1900-01-08T04:00:00"/>
    <m/>
    <s v="POSITION4"/>
    <x v="0"/>
    <s v="STORE19"/>
  </r>
  <r>
    <n v="221010"/>
    <s v="People24"/>
    <s v="department"/>
    <s v="REGION1"/>
    <s v="STORE9"/>
    <s v="MANAGER7"/>
    <s v="NEGATIVO"/>
    <d v="1900-01-05T12:00:00"/>
    <d v="1900-01-05T12:00:00"/>
    <m/>
    <s v="POSITION3"/>
    <x v="0"/>
    <s v="STORE9"/>
  </r>
  <r>
    <n v="222657"/>
    <s v="People25"/>
    <s v="department"/>
    <s v="REGION1"/>
    <s v="STORE18"/>
    <s v="MANAGER8"/>
    <s v="NEGATIVO"/>
    <d v="1900-01-01T11:12:00"/>
    <d v="1900-01-01T11:12:00"/>
    <m/>
    <s v="POSITION1"/>
    <x v="0"/>
    <s v="STORE18"/>
  </r>
  <r>
    <n v="236884"/>
    <s v="People26"/>
    <s v="department"/>
    <s v="REGION1"/>
    <s v="STORE18"/>
    <s v="MANAGER8"/>
    <s v="NEGATIVO"/>
    <d v="1900-01-05T00:15:00"/>
    <d v="1900-01-05T00:15:00"/>
    <m/>
    <s v="POSITION1"/>
    <x v="0"/>
    <s v="STORE18"/>
  </r>
  <r>
    <n v="235001"/>
    <s v="People27"/>
    <s v="department"/>
    <s v="REGION1"/>
    <s v="STORE11"/>
    <s v="MANAGER9"/>
    <s v="NEGATIVO"/>
    <d v="1900-01-02T02:15:00"/>
    <d v="1900-01-02T02:15:00"/>
    <m/>
    <s v="POSITION1"/>
    <x v="0"/>
    <s v="STORE11"/>
  </r>
  <r>
    <n v="234802"/>
    <s v="People28"/>
    <s v="department"/>
    <s v="REGION1"/>
    <s v="STORE17"/>
    <s v="MANAGER7"/>
    <s v="NEGATIVO"/>
    <d v="1900-01-04T20:25:00"/>
    <d v="1900-01-04T20:25:00"/>
    <m/>
    <s v="POSITION1"/>
    <x v="0"/>
    <s v="STORE17"/>
  </r>
  <r>
    <n v="236263"/>
    <s v="People29"/>
    <s v="department"/>
    <s v="REGION1"/>
    <s v="STORE13"/>
    <s v="MANAGER9"/>
    <s v="NEGATIVO"/>
    <d v="1899-12-30T13:38:00"/>
    <d v="1899-12-30T13:38:00"/>
    <m/>
    <s v="POSITION3"/>
    <x v="0"/>
    <s v="STORE13"/>
  </r>
  <r>
    <n v="237179"/>
    <s v="People30"/>
    <s v="department"/>
    <s v="REGION1"/>
    <s v="STORE8"/>
    <s v="MANAGER1"/>
    <s v="NEGATIVO"/>
    <d v="1899-12-30T02:36:00"/>
    <d v="1899-12-30T02:36:00"/>
    <m/>
    <s v="POSITION3"/>
    <x v="0"/>
    <s v="STORE8"/>
  </r>
  <r>
    <n v="237396"/>
    <s v="People31"/>
    <s v="department"/>
    <s v="REGION1"/>
    <s v="STORE18"/>
    <s v="MANAGER8"/>
    <s v="NEGATIVO"/>
    <d v="1899-12-31T12:02:00"/>
    <d v="1899-12-31T12:02:00"/>
    <m/>
    <s v="POSITION1"/>
    <x v="0"/>
    <s v="STORE18"/>
  </r>
  <r>
    <n v="232518"/>
    <s v="People32"/>
    <s v="department"/>
    <s v="REGION1"/>
    <s v="STORE5"/>
    <s v="MANAGER5"/>
    <s v="NEGATIVO"/>
    <d v="1899-12-30T12:45:00"/>
    <d v="1899-12-30T12:45:00"/>
    <m/>
    <s v="POSITION1"/>
    <x v="0"/>
    <s v="STORE5"/>
  </r>
  <r>
    <n v="229823"/>
    <s v="People33"/>
    <s v="department"/>
    <s v="REGION1"/>
    <s v="STORE7"/>
    <s v="MANAGER3"/>
    <s v="NEGATIVO"/>
    <d v="1899-12-30T23:50:00"/>
    <d v="1899-12-30T23:50:00"/>
    <m/>
    <s v="POSITION3"/>
    <x v="0"/>
    <s v="STORE7"/>
  </r>
  <r>
    <n v="231067"/>
    <s v="People34"/>
    <s v="department"/>
    <s v="REGION1"/>
    <s v="STORE20"/>
    <s v="MANAGER2"/>
    <s v="NEGATIVO"/>
    <d v="1900-01-01T14:10:00"/>
    <d v="1900-01-01T14:10:00"/>
    <m/>
    <s v="POSITION2"/>
    <x v="0"/>
    <s v="STORE20"/>
  </r>
  <r>
    <n v="236087"/>
    <s v="People35"/>
    <s v="department"/>
    <s v="REGION1"/>
    <s v="STORE3"/>
    <s v="MANAGER3"/>
    <s v="NEGATIVO"/>
    <d v="1899-12-31T01:01:00"/>
    <d v="1899-12-31T01:01:00"/>
    <m/>
    <s v="POSITION6"/>
    <x v="0"/>
    <s v="STORE3"/>
  </r>
  <r>
    <n v="231811"/>
    <s v="People36"/>
    <s v="department"/>
    <s v="REGION1"/>
    <s v="STORE21"/>
    <s v="MANAGER2"/>
    <s v="NEGATIVO"/>
    <d v="1900-01-09T21:04:00"/>
    <d v="1900-01-09T21:04:00"/>
    <m/>
    <s v="POSITION7"/>
    <x v="0"/>
    <s v="STORE21"/>
  </r>
  <r>
    <n v="233304"/>
    <s v="People37"/>
    <s v="department"/>
    <s v="REGION1"/>
    <s v="STORE22"/>
    <s v="MANAGER11"/>
    <s v="NEGATIVO"/>
    <d v="1900-01-04T13:12:00"/>
    <d v="1900-01-04T13:12:00"/>
    <m/>
    <s v="POSITION1"/>
    <x v="0"/>
    <s v="STORE22"/>
  </r>
  <r>
    <n v="234574"/>
    <s v="People38"/>
    <s v="department"/>
    <s v="REGION1"/>
    <s v="STORE23"/>
    <s v="MANAGER5"/>
    <s v="NEGATIVO"/>
    <d v="1899-12-30T01:42:00"/>
    <d v="1899-12-30T01:42:00"/>
    <m/>
    <s v="POSITION3"/>
    <x v="0"/>
    <s v="STORE23"/>
  </r>
  <r>
    <n v="229753"/>
    <s v="People39"/>
    <s v="department"/>
    <s v="REGION1"/>
    <s v="STORE15"/>
    <s v="MANAGER10"/>
    <s v="NEGATIVO"/>
    <d v="1900-01-08T06:34:00"/>
    <d v="1900-01-08T06:34:00"/>
    <m/>
    <s v="POSITION1"/>
    <x v="0"/>
    <s v="STORE15"/>
  </r>
  <r>
    <n v="232065"/>
    <s v="People40"/>
    <s v="department"/>
    <s v="REGION1"/>
    <s v="STORE9"/>
    <s v="MANAGER7"/>
    <s v="NEGATIVO"/>
    <d v="1899-12-30T07:00:00"/>
    <d v="1899-12-30T07:00:00"/>
    <m/>
    <s v="POSITION4"/>
    <x v="0"/>
    <s v="STORE9"/>
  </r>
  <r>
    <n v="202296"/>
    <s v="People41"/>
    <s v="department"/>
    <s v="REGION1"/>
    <s v="STORE16"/>
    <s v="MANAGER10"/>
    <s v="NEGATIVO"/>
    <d v="1900-01-15T03:12:00"/>
    <d v="1900-01-15T03:12:00"/>
    <m/>
    <s v="POSITION4"/>
    <x v="0"/>
    <s v="STORE16"/>
  </r>
  <r>
    <n v="211623"/>
    <s v="People42"/>
    <s v="department"/>
    <s v="REGION1"/>
    <s v="STORE3"/>
    <s v="MANAGER3"/>
    <s v="NEGATIVO"/>
    <d v="1900-01-07T01:12:00"/>
    <d v="1900-01-07T01:12:00"/>
    <m/>
    <s v="POSITION1"/>
    <x v="0"/>
    <s v="STORE3"/>
  </r>
  <r>
    <n v="232039"/>
    <s v="People43"/>
    <s v="department"/>
    <s v="REGION1"/>
    <s v="STORE23"/>
    <s v="MANAGER5"/>
    <s v="NEGATIVO"/>
    <d v="1899-12-30T14:55:00"/>
    <d v="1899-12-30T14:55:00"/>
    <m/>
    <s v="POSITION3"/>
    <x v="0"/>
    <s v="STORE23"/>
  </r>
  <r>
    <n v="229441"/>
    <s v="People44"/>
    <s v="department"/>
    <s v="REGION1"/>
    <s v="STORE3"/>
    <s v="MANAGER3"/>
    <s v="NEGATIVO"/>
    <d v="1899-12-30T07:59:00"/>
    <d v="1899-12-30T07:59:00"/>
    <m/>
    <s v="POSITION1"/>
    <x v="0"/>
    <s v="STORE3"/>
  </r>
  <r>
    <n v="203298"/>
    <s v="People45"/>
    <s v="department"/>
    <s v="REGION1"/>
    <s v="STORE10"/>
    <s v="MANAGER8"/>
    <s v="NEGATIVO"/>
    <d v="1899-12-30T01:08:00"/>
    <d v="1899-12-30T01:08:00"/>
    <m/>
    <s v="POSITION8"/>
    <x v="0"/>
    <s v="STORE10"/>
  </r>
  <r>
    <n v="234813"/>
    <s v="People46"/>
    <s v="department"/>
    <s v="REGION1"/>
    <s v="STORE22"/>
    <s v="MANAGER11"/>
    <s v="NEGATIVO"/>
    <d v="1900-01-05T03:44:00"/>
    <d v="1900-01-05T03:44:00"/>
    <m/>
    <s v="POSITION1"/>
    <x v="0"/>
    <s v="STORE22"/>
  </r>
  <r>
    <n v="231057"/>
    <s v="People47"/>
    <s v="department"/>
    <s v="REGION1"/>
    <s v="STORE24"/>
    <s v="MANAGER2"/>
    <s v="NEGATIVO"/>
    <d v="1899-12-31T07:01:00"/>
    <d v="1899-12-31T07:01:00"/>
    <m/>
    <s v="POSITION2"/>
    <x v="0"/>
    <s v="STORE24"/>
  </r>
  <r>
    <n v="231507"/>
    <s v="People48"/>
    <s v="department"/>
    <s v="REGION1"/>
    <s v="STORE10"/>
    <s v="MANAGER8"/>
    <s v="NEGATIVO"/>
    <d v="1899-12-30T13:45:00"/>
    <d v="1899-12-30T13:45:00"/>
    <m/>
    <s v="POSITION3"/>
    <x v="0"/>
    <s v="STORE10"/>
  </r>
  <r>
    <n v="235882"/>
    <s v="People49"/>
    <s v="department"/>
    <s v="REGION1"/>
    <s v="STORE11"/>
    <s v="MANAGER9"/>
    <s v="NEGATIVO"/>
    <d v="1899-12-30T12:17:00"/>
    <d v="1899-12-30T12:17:00"/>
    <m/>
    <s v="POSITION1"/>
    <x v="0"/>
    <s v="STORE11"/>
  </r>
  <r>
    <n v="236405"/>
    <s v="People50"/>
    <s v="department"/>
    <s v="REGION1"/>
    <s v="STORE25"/>
    <s v="MANAGER12"/>
    <s v="NEGATIVO"/>
    <d v="1899-12-31T00:49:00"/>
    <d v="1899-12-31T00:49:00"/>
    <m/>
    <s v="POSITION1"/>
    <x v="0"/>
    <s v="STORE25"/>
  </r>
  <r>
    <n v="237193"/>
    <s v="People51"/>
    <s v="department"/>
    <s v="REGION1"/>
    <s v="STORE8"/>
    <s v="MANAGER1"/>
    <s v="NEGATIVO"/>
    <d v="1899-12-30T01:39:00"/>
    <d v="1899-12-30T01:39:00"/>
    <m/>
    <s v="POSITION3"/>
    <x v="0"/>
    <s v="STORE8"/>
  </r>
  <r>
    <n v="238086"/>
    <s v="People52"/>
    <s v="department"/>
    <s v="REGION1"/>
    <s v="STORE26"/>
    <s v="MANAGER11"/>
    <s v="NEGATIVO"/>
    <d v="1899-12-30T08:48:00"/>
    <d v="1899-12-30T08:48:00"/>
    <m/>
    <s v="POSITION1"/>
    <x v="0"/>
    <s v="STORE26"/>
  </r>
  <r>
    <n v="222968"/>
    <s v="People53"/>
    <s v="department"/>
    <s v="REGION1"/>
    <s v="STORE11"/>
    <s v="MANAGER9"/>
    <s v="NEGATIVO"/>
    <d v="1899-12-31T08:03:00"/>
    <d v="1899-12-31T08:03:00"/>
    <m/>
    <s v="POSITION1"/>
    <x v="0"/>
    <s v="STORE11"/>
  </r>
  <r>
    <n v="229450"/>
    <s v="People54"/>
    <s v="department"/>
    <s v="REGION1"/>
    <s v="STORE3"/>
    <s v="MANAGER3"/>
    <s v="NEGATIVO"/>
    <d v="1899-12-30T13:33:00"/>
    <d v="1899-12-30T13:33:00"/>
    <m/>
    <s v="POSITION1"/>
    <x v="0"/>
    <s v="STORE3"/>
  </r>
  <r>
    <n v="217725"/>
    <s v="People55"/>
    <s v="department"/>
    <s v="REGION1"/>
    <s v="STORE7"/>
    <s v="MANAGER3"/>
    <s v="NEGATIVO"/>
    <d v="1900-02-05T08:00:00"/>
    <d v="1900-02-05T08:00:00"/>
    <m/>
    <s v="POSITION4"/>
    <x v="0"/>
    <s v="STORE7"/>
  </r>
  <r>
    <n v="237317"/>
    <s v="People56"/>
    <s v="department"/>
    <s v="REGION1"/>
    <s v="STORE19"/>
    <s v="MANAGER11"/>
    <s v="NEGATIVO"/>
    <d v="1900-01-14T00:48:00"/>
    <d v="1900-01-14T00:48:00"/>
    <m/>
    <s v="POSITION3"/>
    <x v="0"/>
    <s v="STORE19"/>
  </r>
  <r>
    <n v="225046"/>
    <s v="People57"/>
    <s v="department"/>
    <s v="REGION1"/>
    <s v="STORE5"/>
    <s v="MANAGER5"/>
    <s v="NEGATIVO"/>
    <d v="1899-12-30T00:03:00"/>
    <d v="1899-12-30T00:03:00"/>
    <m/>
    <s v="POSITION1"/>
    <x v="0"/>
    <s v="STORE5"/>
  </r>
  <r>
    <n v="220826"/>
    <s v="People58"/>
    <s v="department"/>
    <s v="REGION1"/>
    <s v="STORE10"/>
    <s v="MANAGER8"/>
    <s v="NEGATIVO"/>
    <d v="1899-12-30T22:34:00"/>
    <d v="1899-12-30T22:34:00"/>
    <m/>
    <s v="POSITION4"/>
    <x v="0"/>
    <s v="STORE10"/>
  </r>
  <r>
    <n v="232983"/>
    <s v="People59"/>
    <s v="department"/>
    <s v="REGION1"/>
    <s v="STORE3"/>
    <s v="MANAGER3"/>
    <s v="NEGATIVO"/>
    <d v="1899-12-30T00:32:00"/>
    <d v="1899-12-30T00:32:00"/>
    <m/>
    <s v="POSITION1"/>
    <x v="0"/>
    <s v="STORE3"/>
  </r>
  <r>
    <n v="217788"/>
    <s v="People60"/>
    <s v="department"/>
    <s v="REGION1"/>
    <s v="STORE27"/>
    <s v="MANAGER4"/>
    <s v="NEGATIVO"/>
    <d v="1900-01-28T00:00:00"/>
    <d v="1900-01-28T00:00:00"/>
    <m/>
    <s v="POSITION4"/>
    <x v="0"/>
    <s v="STORE27"/>
  </r>
  <r>
    <n v="203534"/>
    <s v="People61"/>
    <s v="department"/>
    <s v="REGION1"/>
    <s v="STORE18"/>
    <s v="MANAGER8"/>
    <s v="NEGATIVO"/>
    <d v="1899-12-30T17:14:00"/>
    <d v="1899-12-30T17:14:00"/>
    <m/>
    <s v="POSITION1"/>
    <x v="0"/>
    <s v="STORE18"/>
  </r>
  <r>
    <n v="237382"/>
    <s v="People62"/>
    <s v="department"/>
    <s v="REGION1"/>
    <s v="STORE18"/>
    <s v="MANAGER8"/>
    <s v="NEGATIVO"/>
    <d v="1899-12-30T10:42:00"/>
    <d v="1899-12-30T10:42:00"/>
    <m/>
    <s v="POSITION1"/>
    <x v="0"/>
    <s v="STORE18"/>
  </r>
  <r>
    <n v="222848"/>
    <s v="People63"/>
    <s v="department"/>
    <s v="REGION1"/>
    <s v="STORE4"/>
    <s v="MANAGER4"/>
    <s v="NEGATIVO"/>
    <d v="1899-12-30T09:44:00"/>
    <d v="1899-12-30T09:44:00"/>
    <m/>
    <s v="POSITION1"/>
    <x v="0"/>
    <s v="STORE4"/>
  </r>
  <r>
    <n v="234862"/>
    <s v="People64"/>
    <s v="department"/>
    <s v="REGION1"/>
    <s v="STORE4"/>
    <s v="MANAGER4"/>
    <s v="NEGATIVO"/>
    <d v="1899-12-30T01:31:00"/>
    <d v="1899-12-30T01:31:00"/>
    <m/>
    <s v="POSITION1"/>
    <x v="0"/>
    <s v="STORE4"/>
  </r>
  <r>
    <n v="237158"/>
    <s v="People65"/>
    <s v="department"/>
    <s v="REGION1"/>
    <s v="STORE4"/>
    <s v="MANAGER4"/>
    <s v="NEGATIVO"/>
    <d v="1900-01-01T09:47:00"/>
    <d v="1900-01-01T09:47:00"/>
    <m/>
    <s v="POSITION1"/>
    <x v="0"/>
    <s v="STORE4"/>
  </r>
  <r>
    <n v="232699"/>
    <s v="People66"/>
    <s v="department"/>
    <s v="REGION1"/>
    <s v="STORE25"/>
    <s v="MANAGER12"/>
    <s v="NEGATIVO"/>
    <d v="1899-12-30T22:19:00"/>
    <d v="1899-12-30T22:19:00"/>
    <m/>
    <s v="POSITION1"/>
    <x v="0"/>
    <s v="STORE25"/>
  </r>
  <r>
    <n v="232949"/>
    <s v="People67"/>
    <s v="department"/>
    <s v="REGION1"/>
    <s v="STORE9"/>
    <s v="MANAGER7"/>
    <s v="NEGATIVO"/>
    <d v="1900-01-03T02:06:00"/>
    <d v="1900-01-03T02:06:00"/>
    <m/>
    <s v="POSITION3"/>
    <x v="0"/>
    <s v="STORE9"/>
  </r>
  <r>
    <n v="223302"/>
    <s v="People68"/>
    <s v="department"/>
    <s v="REGION1"/>
    <s v="STORE22"/>
    <s v="MANAGER11"/>
    <s v="NEGATIVO"/>
    <d v="1900-01-10T18:17:00"/>
    <d v="1900-01-10T18:17:00"/>
    <m/>
    <s v="POSITION1"/>
    <x v="0"/>
    <s v="STORE22"/>
  </r>
  <r>
    <n v="234411"/>
    <s v="People69"/>
    <s v="department"/>
    <s v="REGION1"/>
    <s v="STORE6"/>
    <s v="MANAGER6"/>
    <s v="POSITIVO"/>
    <d v="1900-01-01T06:59:00"/>
    <m/>
    <d v="1900-01-01T06:59:00"/>
    <s v="POSITION1"/>
    <x v="0"/>
    <s v="STORE6"/>
  </r>
  <r>
    <n v="225681"/>
    <s v="People70"/>
    <s v="department"/>
    <s v="REGION1"/>
    <s v="STORE15"/>
    <s v="MANAGER10"/>
    <s v="POSITIVO"/>
    <d v="1900-01-01T01:36:00"/>
    <m/>
    <d v="1900-01-01T01:36:00"/>
    <s v="POSITION1"/>
    <x v="0"/>
    <s v="STORE15"/>
  </r>
  <r>
    <n v="203521"/>
    <s v="People71"/>
    <s v="department"/>
    <s v="REGION1"/>
    <s v="STORE6"/>
    <s v="MANAGER6"/>
    <s v="POSITIVO"/>
    <d v="1899-12-31T20:59:00"/>
    <m/>
    <d v="1899-12-31T20:59:00"/>
    <s v="POSITION1"/>
    <x v="0"/>
    <s v="STORE6"/>
  </r>
  <r>
    <n v="235748"/>
    <s v="People72"/>
    <s v="department"/>
    <s v="REGION1"/>
    <s v="STORE17"/>
    <s v="MANAGER7"/>
    <s v="POSITIVO"/>
    <d v="1899-12-31T20:46:00"/>
    <m/>
    <d v="1899-12-31T20:46:00"/>
    <s v="POSITION1"/>
    <x v="0"/>
    <s v="STORE17"/>
  </r>
  <r>
    <n v="232701"/>
    <s v="People73"/>
    <s v="department"/>
    <s v="REGION1"/>
    <s v="STORE17"/>
    <s v="MANAGER7"/>
    <s v="POSITIVO"/>
    <d v="1899-12-31T09:26:00"/>
    <m/>
    <d v="1899-12-31T09:26:00"/>
    <s v="POSITION1"/>
    <x v="0"/>
    <s v="STORE17"/>
  </r>
  <r>
    <n v="237672"/>
    <s v="People74"/>
    <s v="department"/>
    <s v="REGION1"/>
    <s v="STORE15"/>
    <s v="MANAGER10"/>
    <s v="POSITIVO"/>
    <d v="1899-12-31T09:08:00"/>
    <m/>
    <d v="1899-12-31T09:08:00"/>
    <s v="POSITION1"/>
    <x v="0"/>
    <s v="STORE15"/>
  </r>
  <r>
    <n v="223424"/>
    <s v="People75"/>
    <s v="department"/>
    <s v="REGION1"/>
    <s v="STORE6"/>
    <s v="MANAGER6"/>
    <s v="POSITIVO"/>
    <d v="1899-12-31T04:28:00"/>
    <m/>
    <d v="1899-12-31T04:28:00"/>
    <s v="POSITION1"/>
    <x v="0"/>
    <s v="STORE6"/>
  </r>
  <r>
    <n v="231800"/>
    <s v="People76"/>
    <s v="department"/>
    <s v="REGION1"/>
    <s v="STORE6"/>
    <s v="MANAGER6"/>
    <s v="POSITIVO"/>
    <d v="1899-12-31T04:26:00"/>
    <m/>
    <d v="1899-12-31T04:26:00"/>
    <s v="POSITION1"/>
    <x v="0"/>
    <s v="STORE6"/>
  </r>
  <r>
    <n v="201018"/>
    <s v="People77"/>
    <s v="department"/>
    <s v="REGION1"/>
    <s v="STORE28"/>
    <s v="MANAGER2"/>
    <s v="POSITIVO"/>
    <d v="1899-12-30T21:05:00"/>
    <m/>
    <d v="1899-12-30T21:05:00"/>
    <s v="POSITION7"/>
    <x v="0"/>
    <s v="STORE28"/>
  </r>
  <r>
    <n v="235511"/>
    <s v="People78"/>
    <s v="department"/>
    <s v="REGION1"/>
    <s v="STORE18"/>
    <s v="MANAGER8"/>
    <s v="POSITIVO"/>
    <d v="1899-12-30T19:07:00"/>
    <m/>
    <d v="1899-12-30T19:07:00"/>
    <s v="POSITION1"/>
    <x v="0"/>
    <s v="STORE18"/>
  </r>
  <r>
    <n v="232043"/>
    <s v="People79"/>
    <s v="department"/>
    <s v="REGION1"/>
    <s v="STORE5"/>
    <s v="MANAGER5"/>
    <s v="POSITIVO"/>
    <d v="1899-12-30T18:16:00"/>
    <m/>
    <d v="1899-12-30T18:16:00"/>
    <s v="POSITION1"/>
    <x v="0"/>
    <s v="STORE5"/>
  </r>
  <r>
    <n v="235894"/>
    <s v="People80"/>
    <s v="department"/>
    <s v="REGION1"/>
    <s v="STORE4"/>
    <s v="MANAGER4"/>
    <s v="POSITIVO"/>
    <d v="1899-12-30T17:26:00"/>
    <m/>
    <d v="1899-12-30T17:26:00"/>
    <s v="POSITION1"/>
    <x v="0"/>
    <s v="STORE4"/>
  </r>
  <r>
    <n v="202727"/>
    <s v="People81"/>
    <s v="department"/>
    <s v="REGION1"/>
    <s v="STORE14"/>
    <s v="MANAGER6"/>
    <s v="POSITIVO"/>
    <d v="1899-12-30T17:06:00"/>
    <m/>
    <d v="1899-12-30T17:06:00"/>
    <s v="POSITION3"/>
    <x v="0"/>
    <s v="STORE14"/>
  </r>
  <r>
    <n v="232410"/>
    <s v="People82"/>
    <s v="department"/>
    <s v="REGION1"/>
    <s v="STORE29"/>
    <s v="MANAGER2"/>
    <s v="POSITIVO"/>
    <d v="1899-12-30T16:52:00"/>
    <m/>
    <d v="1899-12-30T16:52:00"/>
    <s v="POSITION2"/>
    <x v="0"/>
    <s v="STORE29"/>
  </r>
  <r>
    <n v="220759"/>
    <s v="People83"/>
    <s v="department"/>
    <s v="REGION1"/>
    <s v="STORE27"/>
    <s v="MANAGER4"/>
    <s v="POSITIVO"/>
    <d v="1899-12-30T15:29:00"/>
    <m/>
    <d v="1899-12-30T15:29:00"/>
    <s v="POSITION3"/>
    <x v="0"/>
    <s v="STORE27"/>
  </r>
  <r>
    <n v="231651"/>
    <s v="People84"/>
    <s v="department"/>
    <s v="REGION1"/>
    <s v="STORE7"/>
    <s v="MANAGER3"/>
    <s v="POSITIVO"/>
    <d v="1899-12-30T13:58:00"/>
    <m/>
    <d v="1899-12-30T13:58:00"/>
    <s v="POSITION3"/>
    <x v="0"/>
    <s v="STORE7"/>
  </r>
  <r>
    <n v="219739"/>
    <s v="People85"/>
    <s v="department"/>
    <s v="REGION1"/>
    <s v="STORE14"/>
    <s v="MANAGER6"/>
    <s v="POSITIVO"/>
    <d v="1899-12-30T11:57:00"/>
    <m/>
    <d v="1899-12-30T11:57:00"/>
    <s v="POSITION3"/>
    <x v="0"/>
    <s v="STORE14"/>
  </r>
  <r>
    <n v="231029"/>
    <s v="People86"/>
    <s v="department"/>
    <s v="REGION1"/>
    <s v="STORE4"/>
    <s v="MANAGER4"/>
    <s v="POSITIVO"/>
    <d v="1899-12-30T06:27:00"/>
    <m/>
    <d v="1899-12-30T06:27:00"/>
    <s v="POSITION1"/>
    <x v="0"/>
    <s v="STORE4"/>
  </r>
  <r>
    <n v="231924"/>
    <s v="People87"/>
    <s v="department"/>
    <s v="REGION1"/>
    <s v="STORE17"/>
    <s v="MANAGER7"/>
    <s v="POSITIVO"/>
    <d v="1899-12-30T04:51:00"/>
    <m/>
    <d v="1899-12-30T04:51:00"/>
    <s v="POSITION1"/>
    <x v="0"/>
    <s v="STORE17"/>
  </r>
  <r>
    <n v="220345"/>
    <s v="People88"/>
    <s v="department"/>
    <s v="REGION1"/>
    <s v="STORE1"/>
    <s v="MANAGER1"/>
    <s v="POSITIVO"/>
    <d v="1899-12-30T04:50:00"/>
    <m/>
    <d v="1899-12-30T04:50:00"/>
    <s v="POSITION1"/>
    <x v="0"/>
    <s v="STORE1"/>
  </r>
  <r>
    <n v="237832"/>
    <s v="People89"/>
    <s v="department"/>
    <s v="REGION1"/>
    <s v="STORE25"/>
    <s v="MANAGER12"/>
    <s v="POSITIVO"/>
    <d v="1899-12-30T04:35:00"/>
    <m/>
    <d v="1899-12-30T04:35:00"/>
    <s v="POSITION1"/>
    <x v="0"/>
    <s v="STORE25"/>
  </r>
  <r>
    <n v="216584"/>
    <s v="People90"/>
    <s v="department"/>
    <s v="REGION1"/>
    <s v="STORE21"/>
    <s v="MANAGER2"/>
    <s v="POSITIVO"/>
    <d v="1899-12-30T04:22:00"/>
    <m/>
    <d v="1899-12-30T04:22:00"/>
    <s v="POSITION7"/>
    <x v="0"/>
    <s v="STORE21"/>
  </r>
  <r>
    <n v="220936"/>
    <s v="People91"/>
    <s v="department"/>
    <s v="REGION1"/>
    <s v="STORE10"/>
    <s v="MANAGER8"/>
    <s v="POSITIVO"/>
    <d v="1899-12-30T04:16:00"/>
    <m/>
    <d v="1899-12-30T04:16:00"/>
    <s v="POSITION3"/>
    <x v="0"/>
    <s v="STORE10"/>
  </r>
  <r>
    <n v="223261"/>
    <s v="People92"/>
    <s v="department"/>
    <s v="REGION1"/>
    <s v="STORE3"/>
    <s v="MANAGER3"/>
    <s v="POSITIVO"/>
    <d v="1899-12-30T04:16:00"/>
    <m/>
    <d v="1899-12-30T04:16:00"/>
    <s v="POSITION1"/>
    <x v="0"/>
    <s v="STORE3"/>
  </r>
  <r>
    <n v="222715"/>
    <s v="People93"/>
    <s v="department"/>
    <s v="REGION1"/>
    <s v="STORE23"/>
    <s v="MANAGER5"/>
    <s v="POSITIVO"/>
    <d v="1899-12-30T02:17:00"/>
    <m/>
    <d v="1899-12-30T02:17:00"/>
    <s v="POSITION4"/>
    <x v="0"/>
    <s v="STORE23"/>
  </r>
  <r>
    <n v="222408"/>
    <s v="People94"/>
    <s v="department"/>
    <s v="REGION1"/>
    <s v="STORE30"/>
    <s v="MANAGER12"/>
    <s v="POSITIVO"/>
    <d v="1899-12-30T02:07:00"/>
    <m/>
    <d v="1899-12-30T02:07:00"/>
    <s v="POSITION3"/>
    <x v="0"/>
    <s v="STORE30"/>
  </r>
  <r>
    <n v="230437"/>
    <s v="People95"/>
    <s v="department"/>
    <s v="REGION1"/>
    <s v="STORE3"/>
    <s v="MANAGER3"/>
    <s v="POSITIVO"/>
    <d v="1899-12-30T01:43:00"/>
    <m/>
    <d v="1899-12-30T01:43:00"/>
    <s v="POSITION1"/>
    <x v="0"/>
    <s v="STORE3"/>
  </r>
  <r>
    <n v="237886"/>
    <s v="People96"/>
    <s v="department"/>
    <s v="REGION1"/>
    <s v="STORE3"/>
    <s v="MANAGER3"/>
    <s v="POSITIVO"/>
    <d v="1899-12-30T01:19:00"/>
    <m/>
    <d v="1899-12-30T01:19:00"/>
    <s v="POSITION1"/>
    <x v="0"/>
    <s v="STORE3"/>
  </r>
  <r>
    <n v="237422"/>
    <s v="People97"/>
    <s v="department"/>
    <s v="REGION1"/>
    <s v="STORE9"/>
    <s v="MANAGER7"/>
    <s v="POSITIVO"/>
    <d v="1899-12-30T01:12:00"/>
    <m/>
    <d v="1899-12-30T01:12:00"/>
    <s v="POSITION3"/>
    <x v="0"/>
    <s v="STORE9"/>
  </r>
  <r>
    <n v="234931"/>
    <s v="People98"/>
    <s v="department"/>
    <s v="REGION1"/>
    <s v="STORE6"/>
    <s v="MANAGER6"/>
    <s v="POSITIVO"/>
    <d v="1899-12-30T01:08:00"/>
    <m/>
    <d v="1899-12-30T01:08:00"/>
    <s v="POSITION1"/>
    <x v="0"/>
    <s v="STORE6"/>
  </r>
  <r>
    <n v="232961"/>
    <s v="People99"/>
    <s v="department"/>
    <s v="REGION1"/>
    <s v="STORE17"/>
    <s v="MANAGER7"/>
    <s v="POSITIVO"/>
    <d v="1899-12-30T00:36:00"/>
    <m/>
    <d v="1899-12-30T00:36:00"/>
    <s v="POSITION1"/>
    <x v="0"/>
    <s v="STORE17"/>
  </r>
  <r>
    <n v="235978"/>
    <s v="People100"/>
    <s v="department"/>
    <s v="REGION1"/>
    <s v="STORE25"/>
    <s v="MANAGER12"/>
    <s v="POSITIVO"/>
    <d v="1899-12-30T00:35:00"/>
    <m/>
    <d v="1899-12-30T00:35:00"/>
    <s v="POSITION1"/>
    <x v="0"/>
    <s v="STORE25"/>
  </r>
  <r>
    <n v="225515"/>
    <s v="People101"/>
    <s v="department"/>
    <s v="REGION1"/>
    <s v="STORE5"/>
    <s v="MANAGER5"/>
    <s v="POSITIVO"/>
    <d v="1899-12-30T00:30:00"/>
    <m/>
    <d v="1899-12-30T00:30:00"/>
    <s v="POSITION1"/>
    <x v="0"/>
    <s v="STORE5"/>
  </r>
  <r>
    <n v="236141"/>
    <s v="People102"/>
    <s v="department"/>
    <s v="REGION1"/>
    <s v="STORE9"/>
    <s v="MANAGER7"/>
    <s v="POSITIVO"/>
    <d v="1899-12-30T00:27:00"/>
    <m/>
    <d v="1899-12-30T00:27:00"/>
    <s v="POSITION3"/>
    <x v="0"/>
    <s v="STORE9"/>
  </r>
  <r>
    <n v="235586"/>
    <s v="People103"/>
    <s v="department"/>
    <s v="REGION1"/>
    <s v="STORE31"/>
    <s v="MANAGER2"/>
    <s v="POSITIVO"/>
    <d v="1899-12-30T00:23:00"/>
    <m/>
    <d v="1899-12-30T00:23:00"/>
    <s v="POSITION2"/>
    <x v="0"/>
    <s v="STORE31"/>
  </r>
  <r>
    <n v="203299"/>
    <s v="People104"/>
    <s v="department"/>
    <s v="REGION1"/>
    <s v="STORE32"/>
    <s v="MANAGER2"/>
    <s v="POSITIVO"/>
    <d v="1899-12-30T00:19:00"/>
    <m/>
    <d v="1899-12-30T00:19:00"/>
    <s v="POSITION2"/>
    <x v="0"/>
    <s v="STORE32"/>
  </r>
  <r>
    <n v="237567"/>
    <s v="People105"/>
    <s v="department"/>
    <s v="REGION2"/>
    <s v="STORE33"/>
    <s v="MANAGER13"/>
    <s v="NEGATIVO"/>
    <d v="1899-12-30T11:27:00"/>
    <d v="1899-12-30T11:27:00"/>
    <m/>
    <s v="POSITION1"/>
    <x v="1"/>
    <s v="STORE33"/>
  </r>
  <r>
    <n v="230275"/>
    <s v="People106"/>
    <s v="department"/>
    <s v="REGION2"/>
    <s v="STORE34"/>
    <s v="MANAGER14"/>
    <s v="NEGATIVO"/>
    <d v="1899-12-30T04:43:00"/>
    <d v="1899-12-30T04:43:00"/>
    <m/>
    <s v="POSITION2"/>
    <x v="1"/>
    <s v="STORE34"/>
  </r>
  <r>
    <n v="235485"/>
    <s v="People107"/>
    <s v="department"/>
    <s v="REGION2"/>
    <s v="STORE35"/>
    <s v="MANAGER14"/>
    <s v="NEGATIVO"/>
    <d v="1899-12-30T02:23:00"/>
    <d v="1899-12-30T02:23:00"/>
    <m/>
    <s v="POSITION2"/>
    <x v="1"/>
    <s v="STORE35"/>
  </r>
  <r>
    <n v="225540"/>
    <s v="People108"/>
    <s v="department"/>
    <s v="REGION2"/>
    <s v="STORE36"/>
    <s v="MANAGER15"/>
    <s v="NEGATIVO"/>
    <d v="1900-01-02T18:41:00"/>
    <d v="1900-01-02T18:41:00"/>
    <m/>
    <s v="POSITION1"/>
    <x v="1"/>
    <s v="STORE36"/>
  </r>
  <r>
    <n v="235902"/>
    <s v="People109"/>
    <s v="department"/>
    <s v="REGION2"/>
    <s v="STORE37"/>
    <s v="MANAGER16"/>
    <s v="NEGATIVO"/>
    <d v="1899-12-30T20:11:00"/>
    <d v="1899-12-30T20:11:00"/>
    <m/>
    <s v="POSITION1"/>
    <x v="1"/>
    <s v="STORE37"/>
  </r>
  <r>
    <n v="216610"/>
    <s v="People110"/>
    <s v="department"/>
    <s v="REGION2"/>
    <s v="STORE38"/>
    <s v="MANAGER14"/>
    <s v="NEGATIVO"/>
    <d v="1899-12-30T04:00:00"/>
    <d v="1899-12-30T04:00:00"/>
    <m/>
    <s v="POSITION9"/>
    <x v="1"/>
    <s v="STORE38"/>
  </r>
  <r>
    <n v="218528"/>
    <s v="People111"/>
    <s v="department"/>
    <s v="REGION2"/>
    <s v="STORE39"/>
    <s v="MANAGER17"/>
    <s v="NEGATIVO"/>
    <d v="1900-01-01T17:39:00"/>
    <d v="1900-01-01T17:39:00"/>
    <m/>
    <s v="POSITION3"/>
    <x v="1"/>
    <s v="STORE39"/>
  </r>
  <r>
    <n v="235498"/>
    <s v="People112"/>
    <s v="department"/>
    <s v="REGION2"/>
    <s v="STORE37"/>
    <s v="MANAGER16"/>
    <s v="NEGATIVO"/>
    <d v="1899-12-31T22:24:00"/>
    <d v="1899-12-31T22:24:00"/>
    <m/>
    <s v="POSITION1"/>
    <x v="1"/>
    <s v="STORE37"/>
  </r>
  <r>
    <n v="201881"/>
    <s v="People113"/>
    <s v="department"/>
    <s v="REGION2"/>
    <s v="STORE40"/>
    <s v="MANAGER18"/>
    <s v="NEGATIVO"/>
    <d v="1899-12-30T16:00:00"/>
    <d v="1899-12-30T16:00:00"/>
    <m/>
    <s v="POSITION4"/>
    <x v="1"/>
    <s v="STORE40"/>
  </r>
  <r>
    <n v="224507"/>
    <s v="People114"/>
    <s v="department"/>
    <s v="REGION2"/>
    <s v="STORE37"/>
    <s v="MANAGER16"/>
    <s v="NEGATIVO"/>
    <d v="1899-12-30T12:25:00"/>
    <d v="1899-12-30T12:25:00"/>
    <m/>
    <s v="POSITION1"/>
    <x v="1"/>
    <s v="STORE37"/>
  </r>
  <r>
    <n v="238087"/>
    <s v="People115"/>
    <s v="department"/>
    <s v="REGION2"/>
    <s v="STORE41"/>
    <s v="MANAGER19"/>
    <s v="NEGATIVO"/>
    <d v="1899-12-30T07:56:00"/>
    <d v="1899-12-30T07:56:00"/>
    <m/>
    <s v="POSITION1"/>
    <x v="1"/>
    <s v="STORE41"/>
  </r>
  <r>
    <n v="230181"/>
    <s v="People116"/>
    <s v="department"/>
    <s v="REGION2"/>
    <s v="STORE42"/>
    <s v="MANAGER17"/>
    <s v="NEGATIVO"/>
    <d v="1900-01-01T20:12:00"/>
    <d v="1900-01-01T20:12:00"/>
    <m/>
    <s v="POSITION1"/>
    <x v="1"/>
    <s v="STORE42"/>
  </r>
  <r>
    <n v="237176"/>
    <s v="People117"/>
    <s v="department"/>
    <s v="REGION2"/>
    <s v="STORE43"/>
    <s v="MANAGER15"/>
    <s v="NEGATIVO"/>
    <d v="1900-01-14T07:03:00"/>
    <d v="1900-01-14T07:03:00"/>
    <m/>
    <s v="POSITION3"/>
    <x v="1"/>
    <s v="STORE43"/>
  </r>
  <r>
    <n v="230025"/>
    <s v="People118"/>
    <s v="department"/>
    <s v="REGION2"/>
    <s v="STORE44"/>
    <s v="MANAGER20"/>
    <s v="NEGATIVO"/>
    <d v="1899-12-30T18:40:00"/>
    <d v="1899-12-30T18:40:00"/>
    <m/>
    <s v="POSITION1"/>
    <x v="1"/>
    <s v="STORE44"/>
  </r>
  <r>
    <n v="225158"/>
    <s v="People119"/>
    <s v="department"/>
    <s v="REGION2"/>
    <s v="STORE42"/>
    <s v="MANAGER17"/>
    <s v="NEGATIVO"/>
    <d v="1899-12-31T01:46:00"/>
    <d v="1899-12-31T01:46:00"/>
    <m/>
    <s v="POSITION1"/>
    <x v="1"/>
    <s v="STORE42"/>
  </r>
  <r>
    <n v="233181"/>
    <s v="People120"/>
    <s v="department"/>
    <s v="REGION2"/>
    <s v="STORE40"/>
    <s v="MANAGER18"/>
    <s v="NEGATIVO"/>
    <d v="1899-12-30T10:11:00"/>
    <d v="1899-12-30T10:11:00"/>
    <m/>
    <s v="POSITION3"/>
    <x v="1"/>
    <s v="STORE40"/>
  </r>
  <r>
    <n v="229668"/>
    <s v="People121"/>
    <s v="department"/>
    <s v="REGION2"/>
    <s v="STORE39"/>
    <s v="MANAGER17"/>
    <s v="NEGATIVO"/>
    <d v="1900-01-03T05:24:00"/>
    <d v="1900-01-03T05:24:00"/>
    <m/>
    <s v="POSITION3"/>
    <x v="1"/>
    <s v="STORE39"/>
  </r>
  <r>
    <n v="236872"/>
    <s v="People122"/>
    <s v="department"/>
    <s v="REGION2"/>
    <s v="STORE40"/>
    <s v="MANAGER18"/>
    <s v="NEGATIVO"/>
    <d v="1899-12-30T16:32:00"/>
    <d v="1899-12-30T16:32:00"/>
    <m/>
    <s v="POSITION3"/>
    <x v="1"/>
    <s v="STORE40"/>
  </r>
  <r>
    <n v="237593"/>
    <s v="People123"/>
    <s v="department"/>
    <s v="REGION2"/>
    <s v="STORE45"/>
    <s v="MANAGER21"/>
    <s v="NEGATIVO"/>
    <d v="1899-12-30T03:56:00"/>
    <d v="1899-12-30T03:56:00"/>
    <m/>
    <s v="POSITION1"/>
    <x v="1"/>
    <s v="STORE45"/>
  </r>
  <r>
    <n v="236234"/>
    <s v="People124"/>
    <s v="department"/>
    <s v="REGION2"/>
    <s v="STORE36"/>
    <s v="MANAGER15"/>
    <s v="NEGATIVO"/>
    <d v="1900-01-06T12:00:00"/>
    <d v="1900-01-06T12:00:00"/>
    <m/>
    <s v="POSITION1"/>
    <x v="1"/>
    <s v="STORE36"/>
  </r>
  <r>
    <n v="202075"/>
    <s v="People125"/>
    <s v="department"/>
    <s v="REGION2"/>
    <s v="STORE45"/>
    <s v="MANAGER21"/>
    <s v="NEGATIVO"/>
    <d v="1899-12-30T01:50:00"/>
    <d v="1899-12-30T01:50:00"/>
    <m/>
    <s v="POSITION1"/>
    <x v="1"/>
    <s v="STORE45"/>
  </r>
  <r>
    <n v="219966"/>
    <s v="People126"/>
    <s v="department"/>
    <s v="REGION2"/>
    <s v="STORE46"/>
    <s v="MANAGER13"/>
    <s v="NEGATIVO"/>
    <d v="1899-12-30T18:36:00"/>
    <d v="1899-12-30T18:36:00"/>
    <m/>
    <s v="POSITION4"/>
    <x v="1"/>
    <s v="STORE46"/>
  </r>
  <r>
    <n v="201568"/>
    <s v="People127"/>
    <s v="department"/>
    <s v="REGION2"/>
    <s v="STORE36"/>
    <s v="MANAGER15"/>
    <s v="NEGATIVO"/>
    <d v="1900-01-02T12:28:00"/>
    <d v="1900-01-02T12:28:00"/>
    <m/>
    <s v="POSITION1"/>
    <x v="1"/>
    <s v="STORE36"/>
  </r>
  <r>
    <n v="224559"/>
    <s v="People128"/>
    <s v="department"/>
    <s v="REGION2"/>
    <s v="STORE43"/>
    <s v="MANAGER15"/>
    <s v="NEGATIVO"/>
    <d v="1899-12-31T00:40:00"/>
    <d v="1899-12-31T00:40:00"/>
    <m/>
    <s v="POSITION4"/>
    <x v="1"/>
    <s v="STORE43"/>
  </r>
  <r>
    <n v="232706"/>
    <s v="People129"/>
    <s v="department"/>
    <s v="REGION2"/>
    <s v="STORE47"/>
    <s v="MANAGER18"/>
    <s v="NEGATIVO"/>
    <d v="1899-12-30T11:30:00"/>
    <d v="1899-12-30T11:30:00"/>
    <m/>
    <s v="POSITION1"/>
    <x v="1"/>
    <s v="STORE47"/>
  </r>
  <r>
    <n v="222975"/>
    <s v="People130"/>
    <s v="department"/>
    <s v="REGION2"/>
    <s v="STORE48"/>
    <s v="MANAGER14"/>
    <s v="NEGATIVO"/>
    <d v="1899-12-30T03:34:00"/>
    <d v="1899-12-30T03:34:00"/>
    <m/>
    <s v="POSITION2"/>
    <x v="1"/>
    <s v="STORE48"/>
  </r>
  <r>
    <n v="236333"/>
    <s v="People131"/>
    <s v="department"/>
    <s v="REGION2"/>
    <s v="STORE42"/>
    <s v="MANAGER17"/>
    <s v="NEGATIVO"/>
    <d v="1899-12-30T07:29:00"/>
    <d v="1899-12-30T07:29:00"/>
    <m/>
    <s v="POSITION1"/>
    <x v="1"/>
    <s v="STORE42"/>
  </r>
  <r>
    <n v="237203"/>
    <s v="People132"/>
    <s v="department"/>
    <s v="REGION2"/>
    <s v="STORE49"/>
    <s v="MANAGER22"/>
    <s v="NEGATIVO"/>
    <d v="1899-12-30T01:53:00"/>
    <d v="1899-12-30T01:53:00"/>
    <m/>
    <s v="POSITION3"/>
    <x v="1"/>
    <s v="STORE49"/>
  </r>
  <r>
    <n v="236819"/>
    <s v="People133"/>
    <s v="department"/>
    <s v="REGION2"/>
    <s v="STORE33"/>
    <s v="MANAGER13"/>
    <s v="NEGATIVO"/>
    <d v="1900-01-03T19:23:00"/>
    <d v="1900-01-03T19:23:00"/>
    <m/>
    <s v="POSITION1"/>
    <x v="1"/>
    <s v="STORE33"/>
  </r>
  <r>
    <n v="202070"/>
    <s v="People134"/>
    <s v="department"/>
    <s v="REGION2"/>
    <s v="STORE50"/>
    <s v="MANAGER21"/>
    <s v="NEGATIVO"/>
    <d v="1899-12-30T06:17:00"/>
    <d v="1899-12-30T06:17:00"/>
    <m/>
    <s v="POSITION4"/>
    <x v="1"/>
    <s v="STORE50"/>
  </r>
  <r>
    <n v="238045"/>
    <s v="People135"/>
    <s v="department"/>
    <s v="REGION2"/>
    <s v="STORE41"/>
    <s v="MANAGER19"/>
    <s v="NEGATIVO"/>
    <d v="1899-12-30T16:49:00"/>
    <d v="1899-12-30T16:49:00"/>
    <m/>
    <s v="POSITION1"/>
    <x v="1"/>
    <s v="STORE41"/>
  </r>
  <r>
    <n v="236997"/>
    <s v="People136"/>
    <s v="department"/>
    <s v="REGION2"/>
    <s v="STORE38"/>
    <s v="MANAGER14"/>
    <s v="NEGATIVO"/>
    <d v="1899-12-30T13:18:00"/>
    <d v="1899-12-30T13:18:00"/>
    <m/>
    <s v="POSITION2"/>
    <x v="1"/>
    <s v="STORE38"/>
  </r>
  <r>
    <n v="234795"/>
    <s v="People137"/>
    <s v="department"/>
    <s v="REGION2"/>
    <s v="STORE51"/>
    <s v="MANAGER23"/>
    <s v="NEGATIVO"/>
    <d v="1900-01-03T06:53:00"/>
    <d v="1900-01-03T06:53:00"/>
    <m/>
    <s v="POSITION1"/>
    <x v="1"/>
    <s v="STORE51"/>
  </r>
  <r>
    <n v="231222"/>
    <s v="People138"/>
    <s v="department"/>
    <s v="REGION2"/>
    <s v="STORE49"/>
    <s v="MANAGER22"/>
    <s v="NEGATIVO"/>
    <d v="1899-12-31T04:21:00"/>
    <d v="1899-12-31T04:21:00"/>
    <m/>
    <s v="POSITION4"/>
    <x v="1"/>
    <s v="STORE49"/>
  </r>
  <r>
    <n v="237379"/>
    <s v="People139"/>
    <s v="department"/>
    <s v="REGION2"/>
    <s v="STORE52"/>
    <s v="MANAGER22"/>
    <s v="NEGATIVO"/>
    <d v="1899-12-30T04:11:00"/>
    <d v="1899-12-30T04:11:00"/>
    <m/>
    <s v="POSITION1"/>
    <x v="1"/>
    <s v="STORE52"/>
  </r>
  <r>
    <n v="233322"/>
    <s v="People140"/>
    <s v="department"/>
    <s v="REGION2"/>
    <s v="STORE53"/>
    <s v="MANAGER19"/>
    <s v="NEGATIVO"/>
    <d v="1899-12-30T10:53:00"/>
    <d v="1899-12-30T10:53:00"/>
    <m/>
    <s v="POSITION3"/>
    <x v="1"/>
    <s v="STORE53"/>
  </r>
  <r>
    <n v="225048"/>
    <s v="People141"/>
    <s v="department"/>
    <s v="REGION2"/>
    <s v="STORE47"/>
    <s v="MANAGER18"/>
    <s v="NEGATIVO"/>
    <d v="1899-12-30T03:49:00"/>
    <d v="1899-12-30T03:49:00"/>
    <m/>
    <s v="POSITION1"/>
    <x v="1"/>
    <s v="STORE47"/>
  </r>
  <r>
    <n v="232824"/>
    <s v="People142"/>
    <s v="department"/>
    <s v="REGION2"/>
    <s v="STORE46"/>
    <s v="MANAGER13"/>
    <s v="NEGATIVO"/>
    <d v="1899-12-31T02:09:00"/>
    <d v="1899-12-31T02:09:00"/>
    <m/>
    <s v="POSITION3"/>
    <x v="1"/>
    <s v="STORE46"/>
  </r>
  <r>
    <n v="202844"/>
    <s v="People143"/>
    <s v="department"/>
    <s v="REGION2"/>
    <s v="STORE39"/>
    <s v="MANAGER17"/>
    <s v="NEGATIVO"/>
    <d v="1900-01-02T13:33:00"/>
    <d v="1900-01-02T13:33:00"/>
    <m/>
    <s v="POSITION4"/>
    <x v="1"/>
    <s v="STORE39"/>
  </r>
  <r>
    <n v="232810"/>
    <s v="People144"/>
    <s v="department"/>
    <s v="REGION2"/>
    <s v="STORE36"/>
    <s v="MANAGER15"/>
    <s v="NEGATIVO"/>
    <d v="1899-12-30T22:37:00"/>
    <d v="1899-12-30T22:37:00"/>
    <m/>
    <s v="POSITION1"/>
    <x v="1"/>
    <s v="STORE36"/>
  </r>
  <r>
    <n v="233797"/>
    <s v="People145"/>
    <s v="department"/>
    <s v="REGION2"/>
    <s v="STORE43"/>
    <s v="MANAGER15"/>
    <s v="NEGATIVO"/>
    <d v="1900-01-02T16:00:00"/>
    <d v="1900-01-02T16:00:00"/>
    <m/>
    <s v="POSITION3"/>
    <x v="1"/>
    <s v="STORE43"/>
  </r>
  <r>
    <n v="225474"/>
    <s v="People146"/>
    <s v="department"/>
    <s v="REGION2"/>
    <s v="STORE53"/>
    <s v="MANAGER19"/>
    <s v="POSITIVO"/>
    <d v="1900-01-09T14:26:00"/>
    <m/>
    <d v="1900-01-09T14:26:00"/>
    <s v="POSITION4"/>
    <x v="1"/>
    <s v="STORE53"/>
  </r>
  <r>
    <n v="223943"/>
    <s v="People147"/>
    <s v="department"/>
    <s v="REGION2"/>
    <s v="STORE47"/>
    <s v="MANAGER18"/>
    <s v="POSITIVO"/>
    <d v="1900-01-05T15:46:00"/>
    <m/>
    <d v="1900-01-05T15:46:00"/>
    <s v="POSITION1"/>
    <x v="1"/>
    <s v="STORE47"/>
  </r>
  <r>
    <n v="235040"/>
    <s v="People148"/>
    <s v="department"/>
    <s v="REGION2"/>
    <s v="STORE51"/>
    <s v="MANAGER23"/>
    <s v="POSITIVO"/>
    <d v="1900-01-05T11:47:00"/>
    <m/>
    <d v="1900-01-05T11:47:00"/>
    <s v="POSITION1"/>
    <x v="1"/>
    <s v="STORE51"/>
  </r>
  <r>
    <n v="234858"/>
    <s v="People149"/>
    <s v="department"/>
    <s v="REGION2"/>
    <s v="STORE52"/>
    <s v="MANAGER22"/>
    <s v="POSITIVO"/>
    <d v="1900-01-05T01:12:00"/>
    <m/>
    <d v="1900-01-05T01:12:00"/>
    <s v="POSITION1"/>
    <x v="1"/>
    <s v="STORE52"/>
  </r>
  <r>
    <n v="236436"/>
    <s v="People150"/>
    <s v="department"/>
    <s v="REGION2"/>
    <s v="STORE52"/>
    <s v="MANAGER22"/>
    <s v="POSITIVO"/>
    <d v="1900-01-04T13:33:00"/>
    <m/>
    <d v="1900-01-04T13:33:00"/>
    <s v="POSITION1"/>
    <x v="1"/>
    <s v="STORE52"/>
  </r>
  <r>
    <n v="232793"/>
    <s v="People151"/>
    <s v="department"/>
    <s v="REGION2"/>
    <s v="STORE54"/>
    <s v="MANAGER19"/>
    <s v="POSITIVO"/>
    <d v="1900-01-03T18:14:00"/>
    <m/>
    <d v="1900-01-03T18:14:00"/>
    <s v="POSITION1"/>
    <x v="1"/>
    <s v="STORE54"/>
  </r>
  <r>
    <n v="231144"/>
    <s v="People152"/>
    <s v="department"/>
    <s v="REGION2"/>
    <s v="STORE52"/>
    <s v="MANAGER22"/>
    <s v="POSITIVO"/>
    <d v="1900-01-03T13:46:00"/>
    <m/>
    <d v="1900-01-03T13:46:00"/>
    <s v="POSITION1"/>
    <x v="1"/>
    <s v="STORE52"/>
  </r>
  <r>
    <n v="234733"/>
    <s v="People153"/>
    <s v="department"/>
    <s v="REGION2"/>
    <s v="STORE51"/>
    <s v="MANAGER23"/>
    <s v="POSITIVO"/>
    <d v="1900-01-03T03:22:00"/>
    <m/>
    <d v="1900-01-03T03:22:00"/>
    <s v="POSITION1"/>
    <x v="1"/>
    <s v="STORE51"/>
  </r>
  <r>
    <n v="223849"/>
    <s v="People154"/>
    <s v="department"/>
    <s v="REGION2"/>
    <s v="STORE33"/>
    <s v="MANAGER13"/>
    <s v="POSITIVO"/>
    <d v="1900-01-02T13:51:00"/>
    <m/>
    <d v="1900-01-02T13:51:00"/>
    <s v="POSITION1"/>
    <x v="1"/>
    <s v="STORE33"/>
  </r>
  <r>
    <n v="232882"/>
    <s v="People155"/>
    <s v="department"/>
    <s v="REGION2"/>
    <s v="STORE41"/>
    <s v="MANAGER19"/>
    <s v="POSITIVO"/>
    <d v="1900-01-01T18:43:00"/>
    <m/>
    <d v="1900-01-01T18:43:00"/>
    <s v="POSITION1"/>
    <x v="1"/>
    <s v="STORE41"/>
  </r>
  <r>
    <n v="202746"/>
    <s v="People156"/>
    <s v="department"/>
    <s v="REGION2"/>
    <s v="STORE47"/>
    <s v="MANAGER18"/>
    <s v="POSITIVO"/>
    <d v="1900-01-01T17:49:00"/>
    <m/>
    <d v="1900-01-01T17:49:00"/>
    <s v="POSITION1"/>
    <x v="1"/>
    <s v="STORE47"/>
  </r>
  <r>
    <n v="237413"/>
    <s v="People157"/>
    <s v="department"/>
    <s v="REGION2"/>
    <s v="STORE33"/>
    <s v="MANAGER13"/>
    <s v="POSITIVO"/>
    <d v="1899-12-31T23:29:00"/>
    <m/>
    <d v="1899-12-31T23:29:00"/>
    <s v="POSITION1"/>
    <x v="1"/>
    <s v="STORE33"/>
  </r>
  <r>
    <n v="231747"/>
    <s v="People158"/>
    <s v="department"/>
    <s v="REGION2"/>
    <s v="STORE44"/>
    <s v="MANAGER20"/>
    <s v="POSITIVO"/>
    <d v="1899-12-31T19:15:00"/>
    <m/>
    <d v="1899-12-31T19:15:00"/>
    <s v="POSITION1"/>
    <x v="1"/>
    <s v="STORE44"/>
  </r>
  <r>
    <n v="222047"/>
    <s v="People159"/>
    <s v="department"/>
    <s v="REGION2"/>
    <s v="STORE47"/>
    <s v="MANAGER18"/>
    <s v="POSITIVO"/>
    <d v="1899-12-31T18:14:00"/>
    <m/>
    <d v="1899-12-31T18:14:00"/>
    <s v="POSITION1"/>
    <x v="1"/>
    <s v="STORE47"/>
  </r>
  <r>
    <n v="237417"/>
    <s v="People160"/>
    <s v="department"/>
    <s v="REGION2"/>
    <s v="STORE51"/>
    <s v="MANAGER23"/>
    <s v="POSITIVO"/>
    <d v="1899-12-31T18:00:00"/>
    <m/>
    <d v="1899-12-31T18:00:00"/>
    <s v="POSITION1"/>
    <x v="1"/>
    <s v="STORE51"/>
  </r>
  <r>
    <n v="229602"/>
    <s v="People161"/>
    <s v="department"/>
    <s v="REGION2"/>
    <s v="STORE37"/>
    <s v="MANAGER16"/>
    <s v="POSITIVO"/>
    <d v="1899-12-31T13:13:00"/>
    <m/>
    <d v="1899-12-31T13:13:00"/>
    <s v="POSITION1"/>
    <x v="1"/>
    <s v="STORE37"/>
  </r>
  <r>
    <n v="232811"/>
    <s v="People162"/>
    <s v="department"/>
    <s v="REGION2"/>
    <s v="STORE47"/>
    <s v="MANAGER18"/>
    <s v="POSITIVO"/>
    <d v="1899-12-31T11:09:00"/>
    <m/>
    <d v="1899-12-31T11:09:00"/>
    <s v="POSITION1"/>
    <x v="1"/>
    <s v="STORE47"/>
  </r>
  <r>
    <n v="223220"/>
    <s v="People163"/>
    <s v="department"/>
    <s v="REGION2"/>
    <s v="STORE53"/>
    <s v="MANAGER19"/>
    <s v="POSITIVO"/>
    <d v="1899-12-31T06:34:00"/>
    <m/>
    <d v="1899-12-31T06:34:00"/>
    <s v="POSITION3"/>
    <x v="1"/>
    <s v="STORE53"/>
  </r>
  <r>
    <n v="201736"/>
    <s v="People164"/>
    <s v="department"/>
    <s v="REGION2"/>
    <s v="STORE55"/>
    <s v="MANAGER20"/>
    <s v="POSITIVO"/>
    <d v="1899-12-31T05:21:00"/>
    <m/>
    <d v="1899-12-31T05:21:00"/>
    <s v="POSITION3"/>
    <x v="1"/>
    <s v="STORE55"/>
  </r>
  <r>
    <n v="235185"/>
    <s v="People165"/>
    <s v="department"/>
    <s v="REGION2"/>
    <s v="STORE42"/>
    <s v="MANAGER17"/>
    <s v="POSITIVO"/>
    <d v="1899-12-31T05:07:00"/>
    <m/>
    <d v="1899-12-31T05:07:00"/>
    <s v="POSITION1"/>
    <x v="1"/>
    <s v="STORE42"/>
  </r>
  <r>
    <n v="202770"/>
    <s v="People166"/>
    <s v="department"/>
    <s v="REGION2"/>
    <s v="STORE55"/>
    <s v="MANAGER20"/>
    <s v="POSITIVO"/>
    <d v="1899-12-31T02:05:00"/>
    <m/>
    <d v="1899-12-31T02:05:00"/>
    <s v="POSITION3"/>
    <x v="1"/>
    <s v="STORE55"/>
  </r>
  <r>
    <n v="232007"/>
    <s v="People167"/>
    <s v="department"/>
    <s v="REGION2"/>
    <s v="STORE44"/>
    <s v="MANAGER20"/>
    <s v="POSITIVO"/>
    <d v="1899-12-31T01:58:00"/>
    <m/>
    <d v="1899-12-31T01:58:00"/>
    <s v="POSITION1"/>
    <x v="1"/>
    <s v="STORE44"/>
  </r>
  <r>
    <n v="229582"/>
    <s v="People168"/>
    <s v="department"/>
    <s v="REGION2"/>
    <s v="STORE55"/>
    <s v="MANAGER20"/>
    <s v="POSITIVO"/>
    <d v="1899-12-31T01:34:00"/>
    <m/>
    <d v="1899-12-31T01:34:00"/>
    <s v="POSITION10"/>
    <x v="1"/>
    <s v="STORE55"/>
  </r>
  <r>
    <n v="232271"/>
    <s v="People169"/>
    <s v="department"/>
    <s v="REGION2"/>
    <s v="STORE45"/>
    <s v="MANAGER21"/>
    <s v="POSITIVO"/>
    <d v="1899-12-30T20:02:00"/>
    <m/>
    <d v="1899-12-30T20:02:00"/>
    <s v="POSITION1"/>
    <x v="1"/>
    <s v="STORE45"/>
  </r>
  <r>
    <n v="201272"/>
    <s v="People170"/>
    <s v="department"/>
    <s v="REGION2"/>
    <s v="STORE44"/>
    <s v="MANAGER20"/>
    <s v="POSITIVO"/>
    <d v="1899-12-30T17:51:00"/>
    <m/>
    <d v="1899-12-30T17:51:00"/>
    <s v="POSITION1"/>
    <x v="1"/>
    <s v="STORE44"/>
  </r>
  <r>
    <n v="235260"/>
    <s v="People171"/>
    <s v="department"/>
    <s v="REGION2"/>
    <s v="STORE56"/>
    <s v="MANAGER16"/>
    <s v="POSITIVO"/>
    <d v="1899-12-30T17:39:00"/>
    <m/>
    <d v="1899-12-30T17:39:00"/>
    <s v="POSITION3"/>
    <x v="1"/>
    <s v="STORE56"/>
  </r>
  <r>
    <n v="230516"/>
    <s v="People172"/>
    <s v="department"/>
    <s v="REGION2"/>
    <s v="STORE45"/>
    <s v="MANAGER21"/>
    <s v="POSITIVO"/>
    <d v="1899-12-30T16:59:00"/>
    <m/>
    <d v="1899-12-30T16:59:00"/>
    <s v="POSITION1"/>
    <x v="1"/>
    <s v="STORE45"/>
  </r>
  <r>
    <n v="235076"/>
    <s v="People173"/>
    <s v="department"/>
    <s v="REGION2"/>
    <s v="STORE57"/>
    <s v="MANAGER23"/>
    <s v="POSITIVO"/>
    <d v="1899-12-30T14:33:00"/>
    <m/>
    <d v="1899-12-30T14:33:00"/>
    <s v="POSITION3"/>
    <x v="1"/>
    <s v="STORE57"/>
  </r>
  <r>
    <n v="234861"/>
    <s v="People174"/>
    <s v="department"/>
    <s v="REGION2"/>
    <s v="STORE57"/>
    <s v="MANAGER23"/>
    <s v="POSITIVO"/>
    <d v="1899-12-30T12:50:00"/>
    <m/>
    <d v="1899-12-30T12:50:00"/>
    <s v="POSITION4"/>
    <x v="1"/>
    <s v="STORE57"/>
  </r>
  <r>
    <n v="231145"/>
    <s v="People175"/>
    <s v="department"/>
    <s v="REGION2"/>
    <s v="STORE58"/>
    <s v="MANAGER14"/>
    <s v="POSITIVO"/>
    <d v="1899-12-30T12:48:00"/>
    <m/>
    <d v="1899-12-30T12:48:00"/>
    <s v="POSITION2"/>
    <x v="1"/>
    <s v="STORE58"/>
  </r>
  <r>
    <n v="215092"/>
    <s v="People176"/>
    <s v="department"/>
    <s v="REGION2"/>
    <s v="STORE59"/>
    <s v="MANAGER14"/>
    <s v="POSITIVO"/>
    <d v="1899-12-30T10:29:00"/>
    <m/>
    <d v="1899-12-30T10:29:00"/>
    <s v="POSITION9"/>
    <x v="1"/>
    <s v="STORE59"/>
  </r>
  <r>
    <n v="238194"/>
    <s v="People177"/>
    <s v="department"/>
    <s v="REGION2"/>
    <s v="STORE42"/>
    <s v="MANAGER17"/>
    <s v="POSITIVO"/>
    <d v="1899-12-30T09:20:00"/>
    <m/>
    <d v="1899-12-30T09:20:00"/>
    <s v="POSITION1"/>
    <x v="1"/>
    <s v="STORE42"/>
  </r>
  <r>
    <n v="221686"/>
    <s v="People178"/>
    <s v="department"/>
    <s v="REGION2"/>
    <s v="STORE50"/>
    <s v="MANAGER21"/>
    <s v="POSITIVO"/>
    <d v="1899-12-30T07:29:00"/>
    <m/>
    <d v="1899-12-30T07:29:00"/>
    <s v="POSITION3"/>
    <x v="1"/>
    <s v="STORE50"/>
  </r>
  <r>
    <n v="233706"/>
    <s v="People179"/>
    <s v="department"/>
    <s v="REGION2"/>
    <s v="STORE42"/>
    <s v="MANAGER17"/>
    <s v="POSITIVO"/>
    <d v="1899-12-30T07:25:00"/>
    <m/>
    <d v="1899-12-30T07:25:00"/>
    <s v="POSITION1"/>
    <x v="1"/>
    <s v="STORE42"/>
  </r>
  <r>
    <n v="216613"/>
    <s v="People180"/>
    <s v="department"/>
    <s v="REGION2"/>
    <s v="STORE60"/>
    <s v="MANAGER14"/>
    <s v="POSITIVO"/>
    <d v="1899-12-30T07:09:00"/>
    <m/>
    <d v="1899-12-30T07:09:00"/>
    <s v="POSITION9"/>
    <x v="1"/>
    <s v="STORE60"/>
  </r>
  <r>
    <n v="221582"/>
    <s v="People181"/>
    <s v="department"/>
    <s v="REGION2"/>
    <s v="STORE61"/>
    <s v="MANAGER14"/>
    <s v="POSITIVO"/>
    <d v="1899-12-30T06:41:00"/>
    <m/>
    <d v="1899-12-30T06:41:00"/>
    <s v="POSITION2"/>
    <x v="1"/>
    <s v="STORE61"/>
  </r>
  <r>
    <n v="222376"/>
    <s v="People182"/>
    <s v="department"/>
    <s v="REGION2"/>
    <s v="STORE62"/>
    <s v="MANAGER14"/>
    <s v="POSITIVO"/>
    <d v="1899-12-30T06:10:00"/>
    <m/>
    <d v="1899-12-30T06:10:00"/>
    <s v="POSITION9"/>
    <x v="1"/>
    <s v="STORE62"/>
  </r>
  <r>
    <n v="229805"/>
    <s v="People183"/>
    <s v="department"/>
    <s v="REGION2"/>
    <s v="STORE45"/>
    <s v="MANAGER21"/>
    <s v="POSITIVO"/>
    <d v="1899-12-30T03:49:00"/>
    <m/>
    <d v="1899-12-30T03:49:00"/>
    <s v="POSITION1"/>
    <x v="1"/>
    <s v="STORE45"/>
  </r>
  <r>
    <n v="223004"/>
    <s v="People184"/>
    <s v="department"/>
    <s v="REGION2"/>
    <s v="STORE56"/>
    <s v="MANAGER16"/>
    <s v="POSITIVO"/>
    <d v="1899-12-30T03:07:00"/>
    <m/>
    <d v="1899-12-30T03:07:00"/>
    <s v="POSITION4"/>
    <x v="1"/>
    <s v="STORE56"/>
  </r>
  <r>
    <n v="233740"/>
    <s v="People185"/>
    <s v="department"/>
    <s v="REGION2"/>
    <s v="STORE44"/>
    <s v="MANAGER20"/>
    <s v="POSITIVO"/>
    <d v="1899-12-30T02:13:00"/>
    <m/>
    <d v="1899-12-30T02:13:00"/>
    <s v="POSITION1"/>
    <x v="1"/>
    <s v="STORE44"/>
  </r>
  <r>
    <n v="200557"/>
    <s v="People186"/>
    <s v="department"/>
    <s v="REGION2"/>
    <s v="STORE55"/>
    <s v="MANAGER20"/>
    <s v="POSITIVO"/>
    <d v="1899-12-30T01:30:00"/>
    <m/>
    <d v="1899-12-30T01:30:00"/>
    <s v="POSITION4"/>
    <x v="1"/>
    <s v="STORE55"/>
  </r>
  <r>
    <n v="203524"/>
    <s v="People187"/>
    <s v="department"/>
    <s v="REGION2"/>
    <s v="STORE47"/>
    <s v="MANAGER18"/>
    <s v="POSITIVO"/>
    <d v="1899-12-30T00:28:00"/>
    <m/>
    <d v="1899-12-30T00:28:00"/>
    <s v="POSITION1"/>
    <x v="1"/>
    <s v="STORE47"/>
  </r>
  <r>
    <n v="224532"/>
    <s v="People188"/>
    <s v="department"/>
    <s v="REGION2"/>
    <s v="STORE50"/>
    <s v="MANAGER21"/>
    <s v="POSITIVO"/>
    <d v="1899-12-30T00:11:00"/>
    <m/>
    <d v="1899-12-30T00:11:00"/>
    <s v="POSITION3"/>
    <x v="1"/>
    <s v="STORE50"/>
  </r>
  <r>
    <n v="201688"/>
    <s v="People189"/>
    <s v="department"/>
    <s v="REGION3"/>
    <s v="STORE63"/>
    <s v="MANAGER24"/>
    <s v="NEGATIVO"/>
    <d v="1899-12-30T08:46:00"/>
    <d v="1899-12-30T08:46:00"/>
    <m/>
    <s v="POSITION4"/>
    <x v="2"/>
    <s v="STORE63"/>
  </r>
  <r>
    <n v="202952"/>
    <s v="People190"/>
    <s v="department"/>
    <s v="REGION3"/>
    <s v="STORE64"/>
    <s v="MANAGER25"/>
    <s v="NEGATIVO"/>
    <d v="1899-12-31T00:24:00"/>
    <d v="1899-12-31T00:24:00"/>
    <m/>
    <s v="POSITION1"/>
    <x v="2"/>
    <s v="STORE64"/>
  </r>
  <r>
    <n v="235731"/>
    <s v="People191"/>
    <s v="department"/>
    <s v="REGION3"/>
    <s v="STORE65"/>
    <s v="MANAGER26"/>
    <s v="NEGATIVO"/>
    <d v="1899-12-30T12:49:00"/>
    <d v="1899-12-30T12:49:00"/>
    <m/>
    <s v="POSITION1"/>
    <x v="2"/>
    <s v="STORE65"/>
  </r>
  <r>
    <n v="233464"/>
    <s v="People192"/>
    <s v="department"/>
    <s v="REGION3"/>
    <s v="STORE66"/>
    <s v="MANAGER27"/>
    <s v="NEGATIVO"/>
    <d v="1899-12-30T12:03:00"/>
    <d v="1899-12-30T12:03:00"/>
    <m/>
    <s v="POSITION1"/>
    <x v="2"/>
    <s v="STORE66"/>
  </r>
  <r>
    <n v="201821"/>
    <s v="People193"/>
    <s v="department"/>
    <s v="REGION3"/>
    <s v="STORE67"/>
    <s v="MANAGER28"/>
    <s v="NEGATIVO"/>
    <d v="1899-12-30T12:05:00"/>
    <d v="1899-12-30T12:05:00"/>
    <m/>
    <s v="POSITION1"/>
    <x v="2"/>
    <s v="STORE67"/>
  </r>
  <r>
    <n v="232920"/>
    <s v="People194"/>
    <s v="department"/>
    <s v="REGION3"/>
    <s v="STORE68"/>
    <s v="MANAGER29"/>
    <s v="NEGATIVO"/>
    <d v="1899-12-30T13:44:00"/>
    <d v="1899-12-30T13:44:00"/>
    <m/>
    <s v="POSITION5"/>
    <x v="2"/>
    <s v="STORE68"/>
  </r>
  <r>
    <n v="212201"/>
    <s v="People195"/>
    <s v="department"/>
    <s v="REGION3"/>
    <s v="STORE69"/>
    <s v="MANAGER30"/>
    <s v="NEGATIVO"/>
    <d v="1899-12-31T04:51:00"/>
    <d v="1899-12-31T04:51:00"/>
    <m/>
    <s v="POSITION7"/>
    <x v="2"/>
    <s v="STORE69"/>
  </r>
  <r>
    <n v="203589"/>
    <s v="People196"/>
    <s v="department"/>
    <s v="REGION3"/>
    <s v="STORE64"/>
    <s v="MANAGER25"/>
    <s v="NEGATIVO"/>
    <d v="1899-12-31T00:32:00"/>
    <d v="1899-12-31T00:32:00"/>
    <m/>
    <s v="POSITION1"/>
    <x v="2"/>
    <s v="STORE64"/>
  </r>
  <r>
    <n v="201457"/>
    <s v="People197"/>
    <s v="department"/>
    <s v="REGION3"/>
    <s v="STORE63"/>
    <s v="MANAGER24"/>
    <s v="NEGATIVO"/>
    <d v="1899-12-31T01:03:00"/>
    <d v="1899-12-31T01:03:00"/>
    <m/>
    <s v="POSITION3"/>
    <x v="2"/>
    <s v="STORE63"/>
  </r>
  <r>
    <n v="222487"/>
    <s v="People198"/>
    <s v="department"/>
    <s v="REGION3"/>
    <s v="STORE70"/>
    <s v="MANAGER30"/>
    <s v="NEGATIVO"/>
    <d v="1899-12-30T08:45:00"/>
    <d v="1899-12-30T08:45:00"/>
    <m/>
    <s v="POSITION2"/>
    <x v="2"/>
    <s v="STORE70"/>
  </r>
  <r>
    <n v="232916"/>
    <s v="People199"/>
    <s v="department"/>
    <s v="REGION3"/>
    <s v="STORE71"/>
    <s v="MANAGER31"/>
    <s v="NEGATIVO"/>
    <d v="1900-01-06T12:00:00"/>
    <d v="1900-01-06T12:00:00"/>
    <m/>
    <s v="POSITION1"/>
    <x v="2"/>
    <s v="STORE71"/>
  </r>
  <r>
    <n v="201614"/>
    <s v="People200"/>
    <s v="department"/>
    <s v="REGION3"/>
    <s v="STORE72"/>
    <s v="MANAGER32"/>
    <s v="NEGATIVO"/>
    <d v="1899-12-30T04:00:00"/>
    <d v="1899-12-30T04:00:00"/>
    <m/>
    <s v="POSITION3"/>
    <x v="2"/>
    <s v="STORE72"/>
  </r>
  <r>
    <n v="233935"/>
    <s v="People201"/>
    <s v="department"/>
    <s v="REGION3"/>
    <s v="STORE73"/>
    <s v="MANAGER33"/>
    <s v="NEGATIVO"/>
    <d v="1899-12-30T04:49:00"/>
    <d v="1899-12-30T04:49:00"/>
    <m/>
    <s v="POSITION1"/>
    <x v="2"/>
    <s v="STORE73"/>
  </r>
  <r>
    <n v="219749"/>
    <s v="People202"/>
    <s v="department"/>
    <s v="REGION3"/>
    <s v="STORE74"/>
    <s v="MANAGER34"/>
    <s v="NEGATIVO"/>
    <d v="1900-01-01T14:19:00"/>
    <d v="1900-01-01T14:19:00"/>
    <m/>
    <s v="POSITION3"/>
    <x v="2"/>
    <s v="STORE74"/>
  </r>
  <r>
    <n v="223801"/>
    <s v="People203"/>
    <s v="department"/>
    <s v="REGION3"/>
    <s v="STORE75"/>
    <s v="MANAGER34"/>
    <s v="NEGATIVO"/>
    <d v="1899-12-30T18:25:00"/>
    <d v="1899-12-30T18:25:00"/>
    <m/>
    <s v="POSITION1"/>
    <x v="2"/>
    <s v="STORE75"/>
  </r>
  <r>
    <n v="217786"/>
    <s v="People204"/>
    <s v="department"/>
    <s v="REGION3"/>
    <s v="STORE63"/>
    <s v="MANAGER24"/>
    <s v="NEGATIVO"/>
    <d v="1899-12-30T21:24:00"/>
    <d v="1899-12-30T21:24:00"/>
    <m/>
    <s v="POSITION3"/>
    <x v="2"/>
    <s v="STORE63"/>
  </r>
  <r>
    <n v="237751"/>
    <s v="People205"/>
    <s v="department"/>
    <s v="REGION3"/>
    <s v="STORE76"/>
    <s v="MANAGER35"/>
    <s v="NEGATIVO"/>
    <d v="1899-12-30T04:35:00"/>
    <d v="1899-12-30T04:35:00"/>
    <m/>
    <s v="POSITION3"/>
    <x v="2"/>
    <s v="STORE76"/>
  </r>
  <r>
    <n v="232864"/>
    <s v="People206"/>
    <s v="department"/>
    <s v="REGION3"/>
    <s v="STORE77"/>
    <s v="MANAGER36"/>
    <s v="NEGATIVO"/>
    <d v="1899-12-30T00:15:00"/>
    <d v="1899-12-30T00:15:00"/>
    <m/>
    <s v="POSITION1"/>
    <x v="2"/>
    <s v="STORE77"/>
  </r>
  <r>
    <n v="203648"/>
    <s v="People207"/>
    <s v="department"/>
    <s v="REGION3"/>
    <s v="STORE78"/>
    <s v="MANAGER32"/>
    <s v="NEGATIVO"/>
    <d v="1899-12-31T04:10:00"/>
    <d v="1899-12-31T04:10:00"/>
    <m/>
    <s v="POSITION1"/>
    <x v="2"/>
    <s v="STORE78"/>
  </r>
  <r>
    <n v="232736"/>
    <s v="People208"/>
    <s v="department"/>
    <s v="REGION3"/>
    <s v="STORE79"/>
    <s v="MANAGER30"/>
    <s v="NEGATIVO"/>
    <d v="1899-12-30T04:46:00"/>
    <d v="1899-12-30T04:46:00"/>
    <m/>
    <s v="POSITION2"/>
    <x v="2"/>
    <s v="STORE79"/>
  </r>
  <r>
    <n v="230827"/>
    <s v="People209"/>
    <s v="department"/>
    <s v="REGION3"/>
    <s v="STORE80"/>
    <s v="MANAGER37"/>
    <s v="NEGATIVO"/>
    <d v="1899-12-31T22:20:00"/>
    <d v="1899-12-31T22:20:00"/>
    <m/>
    <s v="POSITION1"/>
    <x v="2"/>
    <s v="STORE80"/>
  </r>
  <r>
    <n v="237800"/>
    <s v="People210"/>
    <s v="department"/>
    <s v="REGION3"/>
    <s v="STORE81"/>
    <s v="MANAGER38"/>
    <s v="NEGATIVO"/>
    <d v="1899-12-30T02:06:00"/>
    <d v="1899-12-30T02:06:00"/>
    <m/>
    <s v="POSITION3"/>
    <x v="2"/>
    <s v="STORE81"/>
  </r>
  <r>
    <n v="235411"/>
    <s v="People211"/>
    <s v="department"/>
    <s v="REGION3"/>
    <s v="STORE73"/>
    <s v="MANAGER33"/>
    <s v="NEGATIVO"/>
    <d v="1899-12-31T19:07:00"/>
    <d v="1899-12-31T19:07:00"/>
    <m/>
    <s v="POSITION1"/>
    <x v="2"/>
    <s v="STORE73"/>
  </r>
  <r>
    <n v="201474"/>
    <s v="People212"/>
    <s v="department"/>
    <s v="REGION3"/>
    <s v="STORE80"/>
    <s v="MANAGER37"/>
    <s v="NEGATIVO"/>
    <d v="1899-12-31T02:49:00"/>
    <d v="1899-12-31T02:49:00"/>
    <m/>
    <s v="POSITION1"/>
    <x v="2"/>
    <s v="STORE80"/>
  </r>
  <r>
    <n v="234609"/>
    <s v="People213"/>
    <s v="department"/>
    <s v="REGION3"/>
    <s v="STORE67"/>
    <s v="MANAGER28"/>
    <s v="NEGATIVO"/>
    <d v="1899-12-30T17:59:00"/>
    <d v="1899-12-30T17:59:00"/>
    <m/>
    <s v="POSITION1"/>
    <x v="2"/>
    <s v="STORE67"/>
  </r>
  <r>
    <n v="233895"/>
    <s v="People214"/>
    <s v="department"/>
    <s v="REGION3"/>
    <s v="STORE66"/>
    <s v="MANAGER27"/>
    <s v="NEGATIVO"/>
    <d v="1899-12-30T03:23:00"/>
    <d v="1899-12-30T03:23:00"/>
    <m/>
    <s v="POSITION1"/>
    <x v="2"/>
    <s v="STORE66"/>
  </r>
  <r>
    <n v="203354"/>
    <s v="People215"/>
    <s v="department"/>
    <s v="REGION3"/>
    <s v="STORE82"/>
    <s v="MANAGER24"/>
    <s v="NEGATIVO"/>
    <d v="1899-12-30T14:26:00"/>
    <d v="1899-12-30T14:26:00"/>
    <m/>
    <s v="POSITION1"/>
    <x v="2"/>
    <s v="STORE82"/>
  </r>
  <r>
    <n v="230912"/>
    <s v="People216"/>
    <s v="department"/>
    <s v="REGION3"/>
    <s v="STORE75"/>
    <s v="MANAGER34"/>
    <s v="NEGATIVO"/>
    <d v="1899-12-30T04:55:00"/>
    <d v="1899-12-30T04:55:00"/>
    <m/>
    <s v="POSITION1"/>
    <x v="2"/>
    <s v="STORE75"/>
  </r>
  <r>
    <n v="234151"/>
    <s v="People217"/>
    <s v="department"/>
    <s v="REGION3"/>
    <s v="STORE83"/>
    <s v="MANAGER38"/>
    <s v="NEGATIVO"/>
    <d v="1899-12-31T08:13:00"/>
    <d v="1899-12-31T08:13:00"/>
    <m/>
    <s v="POSITION1"/>
    <x v="2"/>
    <s v="STORE83"/>
  </r>
  <r>
    <n v="235730"/>
    <s v="People218"/>
    <s v="department"/>
    <s v="REGION3"/>
    <s v="STORE65"/>
    <s v="MANAGER26"/>
    <s v="NEGATIVO"/>
    <d v="1899-12-30T06:21:00"/>
    <d v="1899-12-30T06:21:00"/>
    <m/>
    <s v="POSITION1"/>
    <x v="2"/>
    <s v="STORE65"/>
  </r>
  <r>
    <n v="201012"/>
    <s v="People219"/>
    <s v="department"/>
    <s v="REGION3"/>
    <s v="STORE72"/>
    <s v="MANAGER32"/>
    <s v="NEGATIVO"/>
    <d v="1899-12-30T01:42:00"/>
    <d v="1899-12-30T01:42:00"/>
    <m/>
    <s v="POSITION4"/>
    <x v="2"/>
    <s v="STORE72"/>
  </r>
  <r>
    <n v="222516"/>
    <s v="People220"/>
    <s v="department"/>
    <s v="REGION3"/>
    <s v="STORE84"/>
    <s v="MANAGER26"/>
    <s v="NEGATIVO"/>
    <d v="1899-12-30T05:36:00"/>
    <d v="1899-12-30T05:36:00"/>
    <m/>
    <s v="POSITION4"/>
    <x v="2"/>
    <s v="STORE84"/>
  </r>
  <r>
    <n v="235704"/>
    <s v="People221"/>
    <s v="department"/>
    <s v="REGION3"/>
    <s v="STORE71"/>
    <s v="MANAGER31"/>
    <s v="NEGATIVO"/>
    <d v="1900-01-05T16:48:00"/>
    <d v="1900-01-05T16:48:00"/>
    <m/>
    <s v="POSITION1"/>
    <x v="2"/>
    <s v="STORE71"/>
  </r>
  <r>
    <n v="203017"/>
    <s v="People222"/>
    <s v="department"/>
    <s v="REGION3"/>
    <s v="STORE64"/>
    <s v="MANAGER25"/>
    <s v="NEGATIVO"/>
    <d v="1899-12-30T02:33:00"/>
    <d v="1899-12-30T02:33:00"/>
    <m/>
    <s v="POSITION1"/>
    <x v="2"/>
    <s v="STORE64"/>
  </r>
  <r>
    <n v="219390"/>
    <s v="People223"/>
    <s v="department"/>
    <s v="REGION3"/>
    <s v="STORE74"/>
    <s v="MANAGER34"/>
    <s v="NEGATIVO"/>
    <d v="1899-12-30T13:59:00"/>
    <d v="1899-12-30T13:59:00"/>
    <m/>
    <s v="POSITION3"/>
    <x v="2"/>
    <s v="STORE74"/>
  </r>
  <r>
    <n v="201227"/>
    <s v="People224"/>
    <s v="department"/>
    <s v="REGION3"/>
    <s v="STORE85"/>
    <s v="MANAGER28"/>
    <s v="NEGATIVO"/>
    <d v="1899-12-30T09:42:00"/>
    <d v="1899-12-30T09:42:00"/>
    <m/>
    <s v="POSITION3"/>
    <x v="2"/>
    <s v="STORE85"/>
  </r>
  <r>
    <n v="236227"/>
    <s v="People225"/>
    <s v="department"/>
    <s v="REGION3"/>
    <s v="STORE64"/>
    <s v="MANAGER25"/>
    <s v="NEGATIVO"/>
    <d v="1899-12-30T07:03:00"/>
    <d v="1899-12-30T07:03:00"/>
    <m/>
    <s v="POSITION1"/>
    <x v="2"/>
    <s v="STORE64"/>
  </r>
  <r>
    <n v="201985"/>
    <s v="People226"/>
    <s v="department"/>
    <s v="REGION3"/>
    <s v="STORE86"/>
    <s v="MANAGER37"/>
    <s v="NEGATIVO"/>
    <d v="1900-01-05T00:33:00"/>
    <d v="1900-01-05T00:33:00"/>
    <m/>
    <s v="POSITION3"/>
    <x v="2"/>
    <s v="STORE86"/>
  </r>
  <r>
    <n v="203405"/>
    <s v="People227"/>
    <s v="department"/>
    <s v="REGION3"/>
    <s v="STORE75"/>
    <s v="MANAGER34"/>
    <s v="NEGATIVO"/>
    <d v="1899-12-30T01:09:00"/>
    <d v="1899-12-30T01:09:00"/>
    <m/>
    <s v="POSITION1"/>
    <x v="2"/>
    <s v="STORE75"/>
  </r>
  <r>
    <n v="201347"/>
    <s v="People228"/>
    <s v="department"/>
    <s v="REGION3"/>
    <s v="STORE86"/>
    <s v="MANAGER37"/>
    <s v="NEGATIVO"/>
    <d v="1899-12-31T14:32:00"/>
    <d v="1899-12-31T14:32:00"/>
    <m/>
    <s v="POSITION3"/>
    <x v="2"/>
    <s v="STORE86"/>
  </r>
  <r>
    <n v="230822"/>
    <s v="People229"/>
    <s v="department"/>
    <s v="REGION3"/>
    <s v="STORE80"/>
    <s v="MANAGER37"/>
    <s v="NEGATIVO"/>
    <d v="1900-01-03T09:31:00"/>
    <d v="1900-01-03T09:31:00"/>
    <m/>
    <s v="POSITION1"/>
    <x v="2"/>
    <s v="STORE80"/>
  </r>
  <r>
    <n v="223744"/>
    <s v="People230"/>
    <s v="department"/>
    <s v="REGION3"/>
    <s v="STORE76"/>
    <s v="MANAGER35"/>
    <s v="NEGATIVO"/>
    <d v="1899-12-31T15:24:00"/>
    <d v="1899-12-31T15:24:00"/>
    <m/>
    <s v="POSITION3"/>
    <x v="2"/>
    <s v="STORE76"/>
  </r>
  <r>
    <n v="212530"/>
    <s v="People231"/>
    <s v="department"/>
    <s v="REGION3"/>
    <s v="STORE87"/>
    <s v="MANAGER30"/>
    <s v="NEGATIVO"/>
    <d v="1899-12-30T03:41:00"/>
    <d v="1899-12-30T03:41:00"/>
    <m/>
    <s v="POSITION2"/>
    <x v="2"/>
    <s v="STORE87"/>
  </r>
  <r>
    <n v="212713"/>
    <s v="People232"/>
    <s v="department"/>
    <s v="REGION3"/>
    <s v="STORE88"/>
    <s v="MANAGER30"/>
    <s v="NEGATIVO"/>
    <d v="1899-12-30T02:37:00"/>
    <d v="1899-12-30T02:37:00"/>
    <m/>
    <s v="POSITION7"/>
    <x v="2"/>
    <s v="STORE88"/>
  </r>
  <r>
    <n v="201241"/>
    <s v="People233"/>
    <s v="department"/>
    <s v="REGION3"/>
    <s v="STORE85"/>
    <s v="MANAGER28"/>
    <s v="NEGATIVO"/>
    <d v="1899-12-30T11:53:00"/>
    <d v="1899-12-30T11:53:00"/>
    <m/>
    <s v="POSITION4"/>
    <x v="2"/>
    <s v="STORE85"/>
  </r>
  <r>
    <n v="232098"/>
    <s v="People234"/>
    <s v="department"/>
    <s v="REGION3"/>
    <s v="STORE67"/>
    <s v="MANAGER28"/>
    <s v="NEGATIVO"/>
    <d v="1899-12-31T02:26:00"/>
    <d v="1899-12-31T02:26:00"/>
    <m/>
    <s v="POSITION1"/>
    <x v="2"/>
    <s v="STORE67"/>
  </r>
  <r>
    <n v="201242"/>
    <s v="People235"/>
    <s v="department"/>
    <s v="REGION3"/>
    <s v="STORE74"/>
    <s v="MANAGER34"/>
    <s v="NEGATIVO"/>
    <d v="1899-12-31T09:22:00"/>
    <d v="1899-12-31T09:22:00"/>
    <m/>
    <s v="POSITION5"/>
    <x v="2"/>
    <s v="STORE74"/>
  </r>
  <r>
    <n v="233248"/>
    <s v="People236"/>
    <s v="department"/>
    <s v="REGION3"/>
    <s v="STORE89"/>
    <s v="MANAGER27"/>
    <s v="NEGATIVO"/>
    <d v="1899-12-30T07:26:00"/>
    <d v="1899-12-30T07:26:00"/>
    <m/>
    <s v="POSITION3"/>
    <x v="2"/>
    <s v="STORE89"/>
  </r>
  <r>
    <n v="201042"/>
    <s v="People237"/>
    <s v="department"/>
    <s v="REGION3"/>
    <s v="STORE89"/>
    <s v="MANAGER27"/>
    <s v="NEGATIVO"/>
    <d v="1899-12-30T00:03:00"/>
    <d v="1899-12-30T00:03:00"/>
    <m/>
    <s v="POSITION4"/>
    <x v="2"/>
    <s v="STORE89"/>
  </r>
  <r>
    <n v="236898"/>
    <s v="People238"/>
    <s v="department"/>
    <s v="REGION3"/>
    <s v="STORE68"/>
    <s v="MANAGER29"/>
    <s v="NEGATIVO"/>
    <d v="1899-12-31T00:26:00"/>
    <d v="1899-12-31T00:26:00"/>
    <m/>
    <s v="POSITION4"/>
    <x v="2"/>
    <s v="STORE68"/>
  </r>
  <r>
    <n v="232272"/>
    <s v="People239"/>
    <s v="department"/>
    <s v="REGION3"/>
    <s v="STORE75"/>
    <s v="MANAGER34"/>
    <s v="NEGATIVO"/>
    <d v="1899-12-30T05:23:00"/>
    <d v="1899-12-30T05:23:00"/>
    <m/>
    <s v="POSITION1"/>
    <x v="2"/>
    <s v="STORE75"/>
  </r>
  <r>
    <n v="235556"/>
    <s v="People240"/>
    <s v="department"/>
    <s v="REGION3"/>
    <s v="STORE90"/>
    <s v="MANAGER30"/>
    <s v="NEGATIVO"/>
    <d v="1899-12-30T14:06:00"/>
    <d v="1899-12-30T14:06:00"/>
    <m/>
    <s v="POSITION2"/>
    <x v="2"/>
    <s v="STORE90"/>
  </r>
  <r>
    <n v="201221"/>
    <s v="People241"/>
    <s v="department"/>
    <s v="REGION3"/>
    <s v="STORE80"/>
    <s v="MANAGER37"/>
    <s v="NEGATIVO"/>
    <d v="1899-12-30T05:26:00"/>
    <d v="1899-12-30T05:26:00"/>
    <m/>
    <s v="POSITION1"/>
    <x v="2"/>
    <s v="STORE80"/>
  </r>
  <r>
    <n v="200445"/>
    <s v="People242"/>
    <s v="department"/>
    <s v="REGION3"/>
    <s v="STORE85"/>
    <s v="MANAGER28"/>
    <s v="NEGATIVO"/>
    <d v="1899-12-30T10:31:00"/>
    <d v="1899-12-30T10:31:00"/>
    <m/>
    <s v="POSITION3"/>
    <x v="2"/>
    <s v="STORE85"/>
  </r>
  <r>
    <n v="230026"/>
    <s v="People243"/>
    <s v="department"/>
    <s v="REGION3"/>
    <s v="STORE89"/>
    <s v="MANAGER27"/>
    <s v="NEGATIVO"/>
    <d v="1899-12-31T03:36:00"/>
    <d v="1899-12-31T03:36:00"/>
    <m/>
    <s v="POSITION3"/>
    <x v="2"/>
    <s v="STORE89"/>
  </r>
  <r>
    <n v="230262"/>
    <s v="People244"/>
    <s v="department"/>
    <s v="REGION3"/>
    <s v="STORE67"/>
    <s v="MANAGER28"/>
    <s v="NEGATIVO"/>
    <d v="1899-12-30T00:49:00"/>
    <d v="1899-12-30T00:49:00"/>
    <m/>
    <s v="POSITION1"/>
    <x v="2"/>
    <s v="STORE67"/>
  </r>
  <r>
    <n v="229614"/>
    <s v="People245"/>
    <s v="department"/>
    <s v="REGION3"/>
    <s v="STORE68"/>
    <s v="MANAGER29"/>
    <s v="NEGATIVO"/>
    <d v="1899-12-30T23:12:00"/>
    <d v="1899-12-30T23:12:00"/>
    <m/>
    <s v="POSITION3"/>
    <x v="2"/>
    <s v="STORE68"/>
  </r>
  <r>
    <n v="218029"/>
    <s v="People246"/>
    <s v="department"/>
    <s v="REGION3"/>
    <s v="STORE91"/>
    <s v="MANAGER25"/>
    <s v="NEGATIVO"/>
    <d v="1899-12-31T01:10:00"/>
    <d v="1899-12-31T01:10:00"/>
    <m/>
    <s v="POSITION3"/>
    <x v="2"/>
    <s v="STORE91"/>
  </r>
  <r>
    <n v="223821"/>
    <s v="People247"/>
    <s v="department"/>
    <s v="REGION3"/>
    <s v="STORE76"/>
    <s v="MANAGER35"/>
    <s v="NEGATIVO"/>
    <d v="1899-12-30T03:44:00"/>
    <d v="1899-12-30T03:44:00"/>
    <m/>
    <s v="POSITION4"/>
    <x v="2"/>
    <s v="STORE76"/>
  </r>
  <r>
    <n v="235488"/>
    <s v="People248"/>
    <s v="department"/>
    <s v="REGION3"/>
    <s v="STORE71"/>
    <s v="MANAGER31"/>
    <s v="NEGATIVO"/>
    <d v="1900-01-06T12:00:00"/>
    <d v="1900-01-06T12:00:00"/>
    <m/>
    <s v="POSITION1"/>
    <x v="2"/>
    <s v="STORE71"/>
  </r>
  <r>
    <n v="202863"/>
    <s v="People249"/>
    <s v="department"/>
    <s v="REGION3"/>
    <s v="STORE75"/>
    <s v="MANAGER34"/>
    <s v="NEGATIVO"/>
    <d v="1899-12-30T07:29:00"/>
    <d v="1899-12-30T07:29:00"/>
    <m/>
    <s v="POSITION1"/>
    <x v="2"/>
    <s v="STORE75"/>
  </r>
  <r>
    <n v="225501"/>
    <s v="People250"/>
    <s v="department"/>
    <s v="REGION3"/>
    <s v="STORE91"/>
    <s v="MANAGER25"/>
    <s v="NEGATIVO"/>
    <d v="1899-12-30T02:29:00"/>
    <d v="1899-12-30T02:29:00"/>
    <m/>
    <s v="POSITION4"/>
    <x v="2"/>
    <s v="STORE91"/>
  </r>
  <r>
    <n v="229785"/>
    <s v="People251"/>
    <s v="department"/>
    <s v="REGION3"/>
    <s v="STORE92"/>
    <s v="MANAGER30"/>
    <s v="NEGATIVO"/>
    <d v="1899-12-30T00:33:00"/>
    <d v="1899-12-30T00:33:00"/>
    <m/>
    <s v="POSITION2"/>
    <x v="2"/>
    <s v="STORE92"/>
  </r>
  <r>
    <n v="202938"/>
    <s v="People252"/>
    <s v="department"/>
    <s v="REGION3"/>
    <s v="STORE91"/>
    <s v="MANAGER25"/>
    <s v="NEGATIVO"/>
    <d v="1900-01-08T08:40:00"/>
    <d v="1900-01-08T08:40:00"/>
    <m/>
    <s v="POSITION3"/>
    <x v="2"/>
    <s v="STORE91"/>
  </r>
  <r>
    <n v="233901"/>
    <s v="People253"/>
    <s v="department"/>
    <s v="REGION3"/>
    <s v="STORE65"/>
    <s v="MANAGER26"/>
    <s v="NEGATIVO"/>
    <d v="1899-12-30T02:12:00"/>
    <d v="1899-12-30T02:12:00"/>
    <m/>
    <s v="POSITION1"/>
    <x v="2"/>
    <s v="STORE65"/>
  </r>
  <r>
    <n v="229853"/>
    <s v="People254"/>
    <s v="department"/>
    <s v="REGION3"/>
    <s v="STORE93"/>
    <s v="MANAGER36"/>
    <s v="NEGATIVO"/>
    <d v="1899-12-30T00:53:00"/>
    <d v="1899-12-30T00:53:00"/>
    <m/>
    <s v="POSITION4"/>
    <x v="2"/>
    <s v="STORE93"/>
  </r>
  <r>
    <n v="222524"/>
    <s v="People255"/>
    <s v="department"/>
    <s v="REGION3"/>
    <s v="STORE94"/>
    <s v="MANAGER33"/>
    <s v="NEGATIVO"/>
    <d v="1899-12-30T06:19:00"/>
    <d v="1899-12-30T06:19:00"/>
    <m/>
    <s v="POSITION4"/>
    <x v="2"/>
    <s v="STORE94"/>
  </r>
  <r>
    <n v="201377"/>
    <s v="People256"/>
    <s v="department"/>
    <s v="REGION3"/>
    <s v="STORE80"/>
    <s v="MANAGER37"/>
    <s v="NEGATIVO"/>
    <d v="1900-01-09T20:48:00"/>
    <d v="1900-01-09T20:48:00"/>
    <m/>
    <s v="POSITION1"/>
    <x v="2"/>
    <s v="STORE80"/>
  </r>
  <r>
    <n v="200922"/>
    <s v="People257"/>
    <s v="department"/>
    <s v="REGION3"/>
    <s v="STORE78"/>
    <s v="MANAGER32"/>
    <s v="NEGATIVO"/>
    <d v="1899-12-30T08:48:00"/>
    <d v="1899-12-30T08:48:00"/>
    <m/>
    <s v="POSITION1"/>
    <x v="2"/>
    <s v="STORE78"/>
  </r>
  <r>
    <n v="231221"/>
    <s v="People258"/>
    <s v="department"/>
    <s v="REGION3"/>
    <s v="STORE73"/>
    <s v="MANAGER33"/>
    <s v="NEGATIVO"/>
    <d v="1899-12-30T01:08:00"/>
    <d v="1899-12-30T01:08:00"/>
    <m/>
    <s v="POSITION1"/>
    <x v="2"/>
    <s v="STORE73"/>
  </r>
  <r>
    <n v="217970"/>
    <s v="People259"/>
    <s v="department"/>
    <s v="REGION3"/>
    <s v="STORE74"/>
    <s v="MANAGER34"/>
    <s v="NEGATIVO"/>
    <d v="1899-12-30T19:07:00"/>
    <d v="1899-12-30T19:07:00"/>
    <m/>
    <s v="POSITION4"/>
    <x v="2"/>
    <s v="STORE74"/>
  </r>
  <r>
    <n v="201996"/>
    <s v="People260"/>
    <s v="department"/>
    <s v="REGION3"/>
    <s v="STORE80"/>
    <s v="MANAGER37"/>
    <s v="POSITIVO"/>
    <d v="1900-01-02T22:47:00"/>
    <m/>
    <d v="1900-01-02T22:47:00"/>
    <s v="POSITION1"/>
    <x v="2"/>
    <s v="STORE80"/>
  </r>
  <r>
    <n v="232027"/>
    <s v="People261"/>
    <s v="department"/>
    <s v="REGION3"/>
    <s v="STORE95"/>
    <s v="MANAGER35"/>
    <s v="POSITIVO"/>
    <d v="1900-01-02T07:41:00"/>
    <m/>
    <d v="1900-01-02T07:41:00"/>
    <s v="POSITION1"/>
    <x v="2"/>
    <s v="STORE95"/>
  </r>
  <r>
    <n v="225337"/>
    <s v="People262"/>
    <s v="department"/>
    <s v="REGION3"/>
    <s v="STORE64"/>
    <s v="MANAGER25"/>
    <s v="POSITIVO"/>
    <d v="1900-01-01T17:38:00"/>
    <m/>
    <d v="1900-01-01T17:38:00"/>
    <s v="POSITION1"/>
    <x v="2"/>
    <s v="STORE64"/>
  </r>
  <r>
    <n v="224588"/>
    <s v="People263"/>
    <s v="department"/>
    <s v="REGION3"/>
    <s v="STORE83"/>
    <s v="MANAGER38"/>
    <s v="POSITIVO"/>
    <d v="1899-12-31T20:04:00"/>
    <m/>
    <d v="1899-12-31T20:04:00"/>
    <s v="POSITION1"/>
    <x v="2"/>
    <s v="STORE83"/>
  </r>
  <r>
    <n v="202098"/>
    <s v="People264"/>
    <s v="department"/>
    <s v="REGION3"/>
    <s v="STORE96"/>
    <s v="MANAGER29"/>
    <s v="POSITIVO"/>
    <d v="1899-12-31T18:31:00"/>
    <m/>
    <d v="1899-12-31T18:31:00"/>
    <s v="POSITION1"/>
    <x v="2"/>
    <s v="STORE96"/>
  </r>
  <r>
    <n v="222698"/>
    <s v="People265"/>
    <s v="department"/>
    <s v="REGION3"/>
    <s v="STORE77"/>
    <s v="MANAGER36"/>
    <s v="POSITIVO"/>
    <d v="1899-12-31T16:34:00"/>
    <m/>
    <d v="1899-12-31T16:34:00"/>
    <s v="POSITION1"/>
    <x v="2"/>
    <s v="STORE77"/>
  </r>
  <r>
    <n v="234405"/>
    <s v="People266"/>
    <s v="department"/>
    <s v="REGION3"/>
    <s v="STORE67"/>
    <s v="MANAGER28"/>
    <s v="POSITIVO"/>
    <d v="1899-12-31T10:15:00"/>
    <m/>
    <d v="1899-12-31T10:15:00"/>
    <s v="POSITION1"/>
    <x v="2"/>
    <s v="STORE67"/>
  </r>
  <r>
    <n v="238235"/>
    <s v="People267"/>
    <s v="department"/>
    <s v="REGION3"/>
    <s v="STORE75"/>
    <s v="MANAGER34"/>
    <s v="POSITIVO"/>
    <d v="1899-12-31T10:10:00"/>
    <m/>
    <d v="1899-12-31T10:10:00"/>
    <s v="POSITION1"/>
    <x v="2"/>
    <s v="STORE75"/>
  </r>
  <r>
    <n v="234360"/>
    <s v="People268"/>
    <s v="department"/>
    <s v="REGION3"/>
    <s v="STORE96"/>
    <s v="MANAGER29"/>
    <s v="POSITIVO"/>
    <d v="1899-12-31T05:00:00"/>
    <m/>
    <d v="1899-12-31T05:00:00"/>
    <s v="POSITION1"/>
    <x v="2"/>
    <s v="STORE96"/>
  </r>
  <r>
    <n v="236240"/>
    <s v="People269"/>
    <s v="department"/>
    <s v="REGION3"/>
    <s v="STORE91"/>
    <s v="MANAGER25"/>
    <s v="POSITIVO"/>
    <d v="1899-12-31T04:57:00"/>
    <m/>
    <d v="1899-12-31T04:57:00"/>
    <s v="POSITION3"/>
    <x v="2"/>
    <s v="STORE91"/>
  </r>
  <r>
    <n v="203567"/>
    <s v="People270"/>
    <s v="department"/>
    <s v="REGION3"/>
    <s v="STORE66"/>
    <s v="MANAGER27"/>
    <s v="POSITIVO"/>
    <d v="1899-12-31T03:12:00"/>
    <m/>
    <d v="1899-12-31T03:12:00"/>
    <s v="POSITION1"/>
    <x v="2"/>
    <s v="STORE66"/>
  </r>
  <r>
    <n v="233445"/>
    <s v="People271"/>
    <s v="department"/>
    <s v="REGION3"/>
    <s v="STORE65"/>
    <s v="MANAGER26"/>
    <s v="POSITIVO"/>
    <d v="1899-12-31T02:18:00"/>
    <m/>
    <d v="1899-12-31T02:18:00"/>
    <s v="POSITION1"/>
    <x v="2"/>
    <s v="STORE65"/>
  </r>
  <r>
    <n v="235901"/>
    <s v="People272"/>
    <s v="department"/>
    <s v="REGION3"/>
    <s v="STORE82"/>
    <s v="MANAGER24"/>
    <s v="POSITIVO"/>
    <d v="1899-12-31T02:11:00"/>
    <m/>
    <d v="1899-12-31T02:11:00"/>
    <s v="POSITION1"/>
    <x v="2"/>
    <s v="STORE82"/>
  </r>
  <r>
    <n v="223024"/>
    <s v="People273"/>
    <s v="department"/>
    <s v="REGION3"/>
    <s v="STORE66"/>
    <s v="MANAGER27"/>
    <s v="POSITIVO"/>
    <d v="1899-12-31T01:16:00"/>
    <m/>
    <d v="1899-12-31T01:16:00"/>
    <s v="POSITION1"/>
    <x v="2"/>
    <s v="STORE66"/>
  </r>
  <r>
    <n v="233201"/>
    <s v="People274"/>
    <s v="department"/>
    <s v="REGION3"/>
    <s v="STORE83"/>
    <s v="MANAGER38"/>
    <s v="POSITIVO"/>
    <d v="1899-12-30T23:58:00"/>
    <m/>
    <d v="1899-12-30T23:58:00"/>
    <s v="POSITION1"/>
    <x v="2"/>
    <s v="STORE83"/>
  </r>
  <r>
    <n v="230574"/>
    <s v="People275"/>
    <s v="department"/>
    <s v="REGION3"/>
    <s v="STORE77"/>
    <s v="MANAGER36"/>
    <s v="POSITIVO"/>
    <d v="1899-12-30T23:51:00"/>
    <m/>
    <d v="1899-12-30T23:51:00"/>
    <s v="POSITION1"/>
    <x v="2"/>
    <s v="STORE77"/>
  </r>
  <r>
    <n v="202701"/>
    <s v="People276"/>
    <s v="department"/>
    <s v="REGION3"/>
    <s v="STORE77"/>
    <s v="MANAGER36"/>
    <s v="POSITIVO"/>
    <d v="1899-12-30T23:45:00"/>
    <m/>
    <d v="1899-12-30T23:45:00"/>
    <s v="POSITION1"/>
    <x v="2"/>
    <s v="STORE77"/>
  </r>
  <r>
    <n v="217968"/>
    <s v="People277"/>
    <s v="department"/>
    <s v="REGION3"/>
    <s v="STORE86"/>
    <s v="MANAGER37"/>
    <s v="POSITIVO"/>
    <d v="1899-12-30T17:58:00"/>
    <m/>
    <d v="1899-12-30T17:58:00"/>
    <s v="POSITION4"/>
    <x v="2"/>
    <s v="STORE86"/>
  </r>
  <r>
    <n v="229774"/>
    <s v="People278"/>
    <s v="department"/>
    <s v="REGION3"/>
    <s v="STORE96"/>
    <s v="MANAGER29"/>
    <s v="POSITIVO"/>
    <d v="1899-12-30T17:15:00"/>
    <m/>
    <d v="1899-12-30T17:15:00"/>
    <s v="POSITION1"/>
    <x v="2"/>
    <s v="STORE96"/>
  </r>
  <r>
    <n v="234278"/>
    <s v="People279"/>
    <s v="department"/>
    <s v="REGION3"/>
    <s v="STORE96"/>
    <s v="MANAGER29"/>
    <s v="POSITIVO"/>
    <d v="1899-12-30T17:09:00"/>
    <m/>
    <d v="1899-12-30T17:09:00"/>
    <s v="POSITION1"/>
    <x v="2"/>
    <s v="STORE96"/>
  </r>
  <r>
    <n v="225689"/>
    <s v="People280"/>
    <s v="department"/>
    <s v="REGION3"/>
    <s v="STORE95"/>
    <s v="MANAGER35"/>
    <s v="POSITIVO"/>
    <d v="1899-12-30T16:15:00"/>
    <m/>
    <d v="1899-12-30T16:15:00"/>
    <s v="POSITION1"/>
    <x v="2"/>
    <s v="STORE95"/>
  </r>
  <r>
    <n v="222525"/>
    <s v="People281"/>
    <s v="department"/>
    <s v="REGION3"/>
    <s v="STORE93"/>
    <s v="MANAGER36"/>
    <s v="POSITIVO"/>
    <d v="1899-12-30T15:42:00"/>
    <m/>
    <d v="1899-12-30T15:42:00"/>
    <s v="POSITION3"/>
    <x v="2"/>
    <s v="STORE93"/>
  </r>
  <r>
    <n v="200542"/>
    <s v="People282"/>
    <s v="department"/>
    <s v="REGION3"/>
    <s v="STORE78"/>
    <s v="MANAGER32"/>
    <s v="POSITIVO"/>
    <d v="1899-12-30T15:27:00"/>
    <m/>
    <d v="1899-12-30T15:27:00"/>
    <s v="POSITION1"/>
    <x v="2"/>
    <s v="STORE78"/>
  </r>
  <r>
    <n v="201857"/>
    <s v="People283"/>
    <s v="department"/>
    <s v="REGION3"/>
    <s v="STORE97"/>
    <s v="MANAGER31"/>
    <s v="POSITIVO"/>
    <d v="1899-12-30T14:26:00"/>
    <m/>
    <d v="1899-12-30T14:26:00"/>
    <s v="POSITION3"/>
    <x v="2"/>
    <s v="STORE97"/>
  </r>
  <r>
    <n v="212202"/>
    <s v="People284"/>
    <s v="department"/>
    <s v="REGION3"/>
    <s v="STORE98"/>
    <s v="MANAGER30"/>
    <s v="POSITIVO"/>
    <d v="1899-12-30T14:10:00"/>
    <m/>
    <d v="1899-12-30T14:10:00"/>
    <s v="POSITION7"/>
    <x v="2"/>
    <s v="STORE98"/>
  </r>
  <r>
    <n v="203334"/>
    <s v="People285"/>
    <s v="department"/>
    <s v="REGION3"/>
    <s v="STORE73"/>
    <s v="MANAGER33"/>
    <s v="POSITIVO"/>
    <d v="1899-12-30T13:22:00"/>
    <m/>
    <d v="1899-12-30T13:22:00"/>
    <s v="POSITION1"/>
    <x v="2"/>
    <s v="STORE73"/>
  </r>
  <r>
    <n v="233465"/>
    <s v="People286"/>
    <s v="department"/>
    <s v="REGION3"/>
    <s v="STORE66"/>
    <s v="MANAGER27"/>
    <s v="POSITIVO"/>
    <d v="1899-12-30T12:49:00"/>
    <m/>
    <d v="1899-12-30T12:49:00"/>
    <s v="POSITION1"/>
    <x v="2"/>
    <s v="STORE66"/>
  </r>
  <r>
    <n v="230391"/>
    <s v="People287"/>
    <s v="department"/>
    <s v="REGION3"/>
    <s v="STORE78"/>
    <s v="MANAGER32"/>
    <s v="POSITIVO"/>
    <d v="1899-12-30T12:32:00"/>
    <m/>
    <d v="1899-12-30T12:32:00"/>
    <s v="POSITION1"/>
    <x v="2"/>
    <s v="STORE78"/>
  </r>
  <r>
    <n v="235200"/>
    <s v="People288"/>
    <s v="department"/>
    <s v="REGION3"/>
    <s v="STORE95"/>
    <s v="MANAGER35"/>
    <s v="POSITIVO"/>
    <d v="1899-12-30T11:08:00"/>
    <m/>
    <d v="1899-12-30T11:08:00"/>
    <s v="POSITION1"/>
    <x v="2"/>
    <s v="STORE95"/>
  </r>
  <r>
    <n v="222781"/>
    <s v="People289"/>
    <s v="department"/>
    <s v="REGION3"/>
    <s v="STORE93"/>
    <s v="MANAGER36"/>
    <s v="POSITIVO"/>
    <d v="1899-12-30T11:01:00"/>
    <m/>
    <d v="1899-12-30T11:01:00"/>
    <s v="POSITION3"/>
    <x v="2"/>
    <s v="STORE93"/>
  </r>
  <r>
    <n v="230829"/>
    <s v="People290"/>
    <s v="department"/>
    <s v="REGION3"/>
    <s v="STORE82"/>
    <s v="MANAGER24"/>
    <s v="POSITIVO"/>
    <d v="1899-12-30T10:59:00"/>
    <m/>
    <d v="1899-12-30T10:59:00"/>
    <s v="POSITION1"/>
    <x v="2"/>
    <s v="STORE82"/>
  </r>
  <r>
    <n v="235184"/>
    <s v="People291"/>
    <s v="department"/>
    <s v="REGION3"/>
    <s v="STORE64"/>
    <s v="MANAGER25"/>
    <s v="POSITIVO"/>
    <d v="1899-12-30T10:56:00"/>
    <m/>
    <d v="1899-12-30T10:56:00"/>
    <s v="POSITION1"/>
    <x v="2"/>
    <s v="STORE64"/>
  </r>
  <r>
    <n v="230390"/>
    <s v="People292"/>
    <s v="department"/>
    <s v="REGION3"/>
    <s v="STORE99"/>
    <s v="MANAGER30"/>
    <s v="POSITIVO"/>
    <d v="1899-12-30T09:10:00"/>
    <m/>
    <d v="1899-12-30T09:10:00"/>
    <s v="POSITION2"/>
    <x v="2"/>
    <s v="STORE99"/>
  </r>
  <r>
    <n v="232589"/>
    <s v="People293"/>
    <s v="department"/>
    <s v="REGION3"/>
    <s v="STORE78"/>
    <s v="MANAGER32"/>
    <s v="POSITIVO"/>
    <d v="1899-12-30T09:10:00"/>
    <m/>
    <d v="1899-12-30T09:10:00"/>
    <s v="POSITION1"/>
    <x v="2"/>
    <s v="STORE78"/>
  </r>
  <r>
    <n v="224555"/>
    <s v="People294"/>
    <s v="department"/>
    <s v="REGION3"/>
    <s v="STORE95"/>
    <s v="MANAGER35"/>
    <s v="POSITIVO"/>
    <d v="1899-12-30T08:39:00"/>
    <m/>
    <d v="1899-12-30T08:39:00"/>
    <s v="POSITION1"/>
    <x v="2"/>
    <s v="STORE95"/>
  </r>
  <r>
    <n v="212691"/>
    <s v="People295"/>
    <s v="department"/>
    <s v="REGION3"/>
    <s v="STORE100"/>
    <s v="MANAGER30"/>
    <s v="POSITIVO"/>
    <d v="1899-12-30T08:18:00"/>
    <m/>
    <d v="1899-12-30T08:18:00"/>
    <s v="POSITION7"/>
    <x v="2"/>
    <s v="STORE100"/>
  </r>
  <r>
    <n v="236147"/>
    <s v="People296"/>
    <s v="department"/>
    <s v="REGION3"/>
    <s v="STORE94"/>
    <s v="MANAGER33"/>
    <s v="POSITIVO"/>
    <d v="1899-12-30T08:10:00"/>
    <m/>
    <d v="1899-12-30T08:10:00"/>
    <s v="POSITION3"/>
    <x v="2"/>
    <s v="STORE94"/>
  </r>
  <r>
    <n v="200765"/>
    <s v="People297"/>
    <s v="department"/>
    <s v="REGION3"/>
    <s v="STORE101"/>
    <s v="MANAGER30"/>
    <s v="POSITIVO"/>
    <d v="1899-12-30T07:41:00"/>
    <m/>
    <d v="1899-12-30T07:41:00"/>
    <s v="POSITION7"/>
    <x v="2"/>
    <s v="STORE101"/>
  </r>
  <r>
    <n v="233460"/>
    <s v="People298"/>
    <s v="department"/>
    <s v="REGION3"/>
    <s v="STORE83"/>
    <s v="MANAGER38"/>
    <s v="POSITIVO"/>
    <d v="1899-12-30T07:13:00"/>
    <m/>
    <d v="1899-12-30T07:13:00"/>
    <s v="POSITION1"/>
    <x v="2"/>
    <s v="STORE83"/>
  </r>
  <r>
    <n v="203069"/>
    <s v="People299"/>
    <s v="department"/>
    <s v="REGION3"/>
    <s v="STORE65"/>
    <s v="MANAGER26"/>
    <s v="POSITIVO"/>
    <d v="1899-12-30T07:07:00"/>
    <m/>
    <d v="1899-12-30T07:07:00"/>
    <s v="POSITION1"/>
    <x v="2"/>
    <s v="STORE65"/>
  </r>
  <r>
    <n v="236519"/>
    <s v="People300"/>
    <s v="department"/>
    <s v="REGION3"/>
    <s v="STORE84"/>
    <s v="MANAGER26"/>
    <s v="POSITIVO"/>
    <d v="1899-12-30T05:26:00"/>
    <m/>
    <d v="1899-12-30T05:26:00"/>
    <s v="POSITION3"/>
    <x v="2"/>
    <s v="STORE84"/>
  </r>
  <r>
    <n v="238206"/>
    <s v="People301"/>
    <s v="department"/>
    <s v="REGION3"/>
    <s v="STORE82"/>
    <s v="MANAGER24"/>
    <s v="POSITIVO"/>
    <d v="1899-12-30T05:06:00"/>
    <m/>
    <d v="1899-12-30T05:06:00"/>
    <s v="POSITION1"/>
    <x v="2"/>
    <s v="STORE82"/>
  </r>
  <r>
    <n v="235907"/>
    <s v="People302"/>
    <s v="department"/>
    <s v="REGION3"/>
    <s v="STORE95"/>
    <s v="MANAGER35"/>
    <s v="POSITIVO"/>
    <d v="1899-12-30T04:41:00"/>
    <m/>
    <d v="1899-12-30T04:41:00"/>
    <s v="POSITION1"/>
    <x v="2"/>
    <s v="STORE95"/>
  </r>
  <r>
    <n v="230020"/>
    <s v="People303"/>
    <s v="department"/>
    <s v="REGION3"/>
    <s v="STORE102"/>
    <s v="MANAGER30"/>
    <s v="POSITIVO"/>
    <d v="1899-12-30T03:33:00"/>
    <m/>
    <d v="1899-12-30T03:33:00"/>
    <s v="POSITION2"/>
    <x v="2"/>
    <s v="STORE102"/>
  </r>
  <r>
    <n v="232831"/>
    <s v="People304"/>
    <s v="department"/>
    <s v="REGION3"/>
    <s v="STORE77"/>
    <s v="MANAGER36"/>
    <s v="POSITIVO"/>
    <d v="1899-12-30T03:27:00"/>
    <m/>
    <d v="1899-12-30T03:27:00"/>
    <s v="POSITION1"/>
    <x v="2"/>
    <s v="STORE77"/>
  </r>
  <r>
    <n v="233554"/>
    <s v="People305"/>
    <s v="department"/>
    <s v="REGION3"/>
    <s v="STORE83"/>
    <s v="MANAGER38"/>
    <s v="POSITIVO"/>
    <d v="1899-12-30T03:05:00"/>
    <m/>
    <d v="1899-12-30T03:05:00"/>
    <s v="POSITION1"/>
    <x v="2"/>
    <s v="STORE83"/>
  </r>
  <r>
    <n v="233126"/>
    <s v="People306"/>
    <s v="department"/>
    <s v="REGION3"/>
    <s v="STORE81"/>
    <s v="MANAGER38"/>
    <s v="POSITIVO"/>
    <d v="1899-12-30T02:15:00"/>
    <m/>
    <d v="1899-12-30T02:15:00"/>
    <s v="POSITION4"/>
    <x v="2"/>
    <s v="STORE81"/>
  </r>
  <r>
    <n v="222565"/>
    <s v="People307"/>
    <s v="department"/>
    <s v="REGION3"/>
    <s v="STORE97"/>
    <s v="MANAGER31"/>
    <s v="POSITIVO"/>
    <d v="1899-12-30T01:21:00"/>
    <m/>
    <d v="1899-12-30T01:21:00"/>
    <s v="POSITION3"/>
    <x v="2"/>
    <s v="STORE97"/>
  </r>
  <r>
    <n v="201853"/>
    <s v="People308"/>
    <s v="department"/>
    <s v="REGION3"/>
    <s v="STORE82"/>
    <s v="MANAGER24"/>
    <s v="POSITIVO"/>
    <d v="1899-12-30T01:19:00"/>
    <m/>
    <d v="1899-12-30T01:19:00"/>
    <s v="POSITION1"/>
    <x v="2"/>
    <s v="STORE82"/>
  </r>
  <r>
    <n v="215784"/>
    <s v="People309"/>
    <s v="department"/>
    <s v="REGION3"/>
    <s v="STORE103"/>
    <s v="MANAGER30"/>
    <s v="POSITIVO"/>
    <d v="1899-12-30T01:07:00"/>
    <m/>
    <d v="1899-12-30T01:07:00"/>
    <s v="POSITION7"/>
    <x v="2"/>
    <s v="STORE103"/>
  </r>
  <r>
    <n v="202228"/>
    <s v="People310"/>
    <s v="department"/>
    <s v="REGION3"/>
    <s v="STORE93"/>
    <s v="MANAGER36"/>
    <s v="POSITIVO"/>
    <d v="1899-12-30T00:57:00"/>
    <m/>
    <d v="1899-12-30T00:57:00"/>
    <s v="POSITION8"/>
    <x v="2"/>
    <s v="STORE93"/>
  </r>
  <r>
    <n v="225602"/>
    <s v="People311"/>
    <s v="department"/>
    <s v="REGION3"/>
    <s v="STORE78"/>
    <s v="MANAGER32"/>
    <s v="POSITIVO"/>
    <d v="1899-12-30T00:41:00"/>
    <m/>
    <d v="1899-12-30T00:41:00"/>
    <s v="POSITION1"/>
    <x v="2"/>
    <s v="STORE78"/>
  </r>
  <r>
    <n v="217969"/>
    <s v="People312"/>
    <s v="department"/>
    <s v="REGION3"/>
    <s v="STORE97"/>
    <s v="MANAGER31"/>
    <s v="POSITIVO"/>
    <d v="1899-12-30T00:36:00"/>
    <m/>
    <d v="1899-12-30T00:36:00"/>
    <s v="POSITION4"/>
    <x v="2"/>
    <s v="STORE97"/>
  </r>
  <r>
    <n v="219907"/>
    <s v="People313"/>
    <s v="department"/>
    <s v="REGION3"/>
    <s v="STORE72"/>
    <s v="MANAGER32"/>
    <s v="POSITIVO"/>
    <d v="1899-12-30T00:12:00"/>
    <m/>
    <d v="1899-12-30T00:12:00"/>
    <s v="POSITION3"/>
    <x v="2"/>
    <s v="STORE72"/>
  </r>
  <r>
    <n v="202049"/>
    <s v="People314"/>
    <s v="department"/>
    <s v="REGION4"/>
    <s v="STORE104"/>
    <s v="MANAGER39"/>
    <s v="NEGATIVO"/>
    <d v="1900-01-18T23:46:00"/>
    <d v="1900-01-18T23:46:00"/>
    <m/>
    <s v="POSITION3"/>
    <x v="3"/>
    <s v="STORE104"/>
  </r>
  <r>
    <n v="229386"/>
    <s v="People315"/>
    <s v="department"/>
    <s v="REGION4"/>
    <s v="STORE105"/>
    <s v="MANAGER40"/>
    <s v="NEGATIVO"/>
    <d v="1899-12-31T01:19:00"/>
    <d v="1899-12-31T01:19:00"/>
    <m/>
    <s v="POSITION1"/>
    <x v="3"/>
    <s v="STORE105"/>
  </r>
  <r>
    <n v="203456"/>
    <s v="People316"/>
    <s v="department"/>
    <s v="REGION4"/>
    <s v="STORE106"/>
    <s v="MANAGER39"/>
    <s v="NEGATIVO"/>
    <d v="1899-12-30T03:18:00"/>
    <d v="1899-12-30T03:18:00"/>
    <m/>
    <s v="POSITION1"/>
    <x v="3"/>
    <s v="STORE106"/>
  </r>
  <r>
    <n v="203608"/>
    <s v="People317"/>
    <s v="department"/>
    <s v="REGION4"/>
    <s v="STORE105"/>
    <s v="MANAGER40"/>
    <s v="NEGATIVO"/>
    <d v="1899-12-30T00:31:00"/>
    <d v="1899-12-30T00:31:00"/>
    <m/>
    <s v="POSITION1"/>
    <x v="3"/>
    <s v="STORE105"/>
  </r>
  <r>
    <n v="230809"/>
    <s v="People318"/>
    <s v="department"/>
    <s v="REGION4"/>
    <s v="STORE107"/>
    <s v="MANAGER41"/>
    <s v="NEGATIVO"/>
    <d v="1899-12-30T01:29:00"/>
    <d v="1899-12-30T01:29:00"/>
    <m/>
    <s v="POSITION1"/>
    <x v="3"/>
    <s v="STORE107"/>
  </r>
  <r>
    <n v="231590"/>
    <s v="People319"/>
    <s v="department"/>
    <s v="REGION4"/>
    <s v="STORE105"/>
    <s v="MANAGER40"/>
    <s v="NEGATIVO"/>
    <d v="1899-12-30T06:46:00"/>
    <d v="1899-12-30T06:46:00"/>
    <m/>
    <s v="POSITION1"/>
    <x v="3"/>
    <s v="STORE105"/>
  </r>
  <r>
    <n v="236983"/>
    <s v="People320"/>
    <s v="department"/>
    <s v="REGION4"/>
    <s v="STORE108"/>
    <s v="MANAGER42"/>
    <s v="NEGATIVO"/>
    <d v="1899-12-30T15:19:00"/>
    <d v="1899-12-30T15:19:00"/>
    <m/>
    <s v="POSITION3"/>
    <x v="3"/>
    <s v="STORE108"/>
  </r>
  <r>
    <n v="201873"/>
    <s v="People321"/>
    <s v="department"/>
    <s v="REGION4"/>
    <s v="STORE109"/>
    <s v="MANAGER40"/>
    <s v="NEGATIVO"/>
    <d v="1899-12-30T12:52:00"/>
    <d v="1899-12-30T12:52:00"/>
    <m/>
    <s v="POSITION3"/>
    <x v="3"/>
    <s v="STORE109"/>
  </r>
  <r>
    <n v="200899"/>
    <s v="People322"/>
    <s v="department"/>
    <s v="REGION4"/>
    <s v="STORE104"/>
    <s v="MANAGER39"/>
    <s v="NEGATIVO"/>
    <d v="1899-12-31T04:59:00"/>
    <d v="1899-12-31T04:59:00"/>
    <m/>
    <s v="POSITION4"/>
    <x v="3"/>
    <s v="STORE104"/>
  </r>
  <r>
    <n v="223787"/>
    <s v="People323"/>
    <s v="department"/>
    <s v="REGION4"/>
    <s v="STORE110"/>
    <s v="MANAGER43"/>
    <s v="NEGATIVO"/>
    <d v="1899-12-30T05:14:00"/>
    <d v="1899-12-30T05:14:00"/>
    <m/>
    <s v="POSITION3"/>
    <x v="3"/>
    <s v="STORE110"/>
  </r>
  <r>
    <n v="203377"/>
    <s v="People324"/>
    <s v="department"/>
    <s v="REGION4"/>
    <s v="STORE105"/>
    <s v="MANAGER40"/>
    <s v="NEGATIVO"/>
    <d v="1899-12-30T23:29:00"/>
    <d v="1899-12-30T23:29:00"/>
    <m/>
    <s v="POSITION1"/>
    <x v="3"/>
    <s v="STORE105"/>
  </r>
  <r>
    <n v="236536"/>
    <s v="People325"/>
    <s v="department"/>
    <s v="REGION4"/>
    <s v="STORE111"/>
    <s v="MANAGER44"/>
    <s v="NEGATIVO"/>
    <d v="1899-12-31T06:40:00"/>
    <d v="1899-12-31T06:40:00"/>
    <m/>
    <s v="POSITION2"/>
    <x v="3"/>
    <s v="STORE111"/>
  </r>
  <r>
    <n v="221650"/>
    <s v="People326"/>
    <s v="department"/>
    <s v="REGION4"/>
    <s v="STORE112"/>
    <s v="MANAGER44"/>
    <s v="NEGATIVO"/>
    <d v="1899-12-30T01:35:00"/>
    <d v="1899-12-30T01:35:00"/>
    <m/>
    <s v="POSITION2"/>
    <x v="3"/>
    <s v="STORE112"/>
  </r>
  <r>
    <n v="223754"/>
    <s v="People327"/>
    <s v="department"/>
    <s v="REGION4"/>
    <s v="STORE110"/>
    <s v="MANAGER43"/>
    <s v="NEGATIVO"/>
    <d v="1899-12-30T03:51:00"/>
    <d v="1899-12-30T03:51:00"/>
    <m/>
    <s v="POSITION4"/>
    <x v="3"/>
    <s v="STORE110"/>
  </r>
  <r>
    <n v="237322"/>
    <s v="People328"/>
    <s v="department"/>
    <s v="REGION4"/>
    <s v="STORE113"/>
    <s v="MANAGER41"/>
    <s v="NEGATIVO"/>
    <d v="1899-12-30T03:00:00"/>
    <d v="1899-12-30T03:00:00"/>
    <m/>
    <s v="POSITION3"/>
    <x v="3"/>
    <s v="STORE113"/>
  </r>
  <r>
    <n v="235152"/>
    <s v="People329"/>
    <s v="department"/>
    <s v="REGION4"/>
    <s v="STORE114"/>
    <s v="MANAGER45"/>
    <s v="NEGATIVO"/>
    <d v="1900-01-01T02:18:00"/>
    <d v="1900-01-01T02:18:00"/>
    <m/>
    <s v="POSITION4"/>
    <x v="3"/>
    <s v="STORE114"/>
  </r>
  <r>
    <n v="203454"/>
    <s v="People330"/>
    <s v="department"/>
    <s v="REGION4"/>
    <s v="STORE115"/>
    <s v="MANAGER42"/>
    <s v="NEGATIVO"/>
    <d v="1899-12-31T05:10:00"/>
    <d v="1899-12-31T05:10:00"/>
    <m/>
    <s v="POSITION1"/>
    <x v="3"/>
    <s v="STORE115"/>
  </r>
  <r>
    <n v="200289"/>
    <s v="People331"/>
    <s v="department"/>
    <s v="REGION4"/>
    <s v="STORE108"/>
    <s v="MANAGER42"/>
    <s v="NEGATIVO"/>
    <d v="1899-12-30T21:09:00"/>
    <d v="1899-12-30T21:09:00"/>
    <m/>
    <s v="POSITION4"/>
    <x v="3"/>
    <s v="STORE108"/>
  </r>
  <r>
    <n v="223182"/>
    <s v="People332"/>
    <s v="department"/>
    <s v="REGION4"/>
    <s v="STORE116"/>
    <s v="MANAGER45"/>
    <s v="NEGATIVO"/>
    <d v="1899-12-30T21:50:00"/>
    <d v="1899-12-30T21:50:00"/>
    <m/>
    <s v="POSITION1"/>
    <x v="3"/>
    <s v="STORE116"/>
  </r>
  <r>
    <n v="235908"/>
    <s v="People333"/>
    <s v="department"/>
    <s v="REGION4"/>
    <s v="STORE105"/>
    <s v="MANAGER40"/>
    <s v="NEGATIVO"/>
    <d v="1899-12-30T21:07:00"/>
    <d v="1899-12-30T21:07:00"/>
    <m/>
    <s v="POSITION1"/>
    <x v="3"/>
    <s v="STORE105"/>
  </r>
  <r>
    <n v="233511"/>
    <s v="People334"/>
    <s v="department"/>
    <s v="REGION4"/>
    <s v="STORE109"/>
    <s v="MANAGER40"/>
    <s v="NEGATIVO"/>
    <d v="1899-12-30T11:59:00"/>
    <d v="1899-12-30T11:59:00"/>
    <m/>
    <s v="POSITION5"/>
    <x v="3"/>
    <s v="STORE109"/>
  </r>
  <r>
    <n v="231228"/>
    <s v="People335"/>
    <s v="department"/>
    <s v="REGION4"/>
    <s v="STORE113"/>
    <s v="MANAGER41"/>
    <s v="NEGATIVO"/>
    <d v="1899-12-30T04:19:00"/>
    <d v="1899-12-30T04:19:00"/>
    <m/>
    <s v="POSITION4"/>
    <x v="3"/>
    <s v="STORE113"/>
  </r>
  <r>
    <n v="231091"/>
    <s v="People336"/>
    <s v="department"/>
    <s v="REGION4"/>
    <s v="STORE117"/>
    <s v="MANAGER43"/>
    <s v="NEGATIVO"/>
    <d v="1899-12-30T02:31:00"/>
    <d v="1899-12-30T02:31:00"/>
    <m/>
    <s v="POSITION1"/>
    <x v="3"/>
    <s v="STORE117"/>
  </r>
  <r>
    <n v="237624"/>
    <s v="People337"/>
    <s v="department"/>
    <s v="REGION4"/>
    <s v="STORE106"/>
    <s v="MANAGER39"/>
    <s v="NEGATIVO"/>
    <d v="1899-12-30T00:24:00"/>
    <d v="1899-12-30T00:24:00"/>
    <m/>
    <s v="POSITION1"/>
    <x v="3"/>
    <s v="STORE106"/>
  </r>
  <r>
    <n v="201556"/>
    <s v="People338"/>
    <s v="department"/>
    <s v="REGION4"/>
    <s v="STORE108"/>
    <s v="MANAGER42"/>
    <s v="NEGATIVO"/>
    <d v="1899-12-30T04:47:00"/>
    <d v="1899-12-30T04:47:00"/>
    <m/>
    <s v="POSITION3"/>
    <x v="3"/>
    <s v="STORE108"/>
  </r>
  <r>
    <n v="202149"/>
    <s v="People339"/>
    <s v="department"/>
    <s v="REGION4"/>
    <s v="STORE109"/>
    <s v="MANAGER40"/>
    <s v="NEGATIVO"/>
    <d v="1899-12-30T18:30:00"/>
    <d v="1899-12-30T18:30:00"/>
    <m/>
    <s v="POSITION4"/>
    <x v="3"/>
    <s v="STORE109"/>
  </r>
  <r>
    <n v="224286"/>
    <s v="People340"/>
    <s v="department"/>
    <s v="REGION4"/>
    <s v="STORE116"/>
    <s v="MANAGER45"/>
    <s v="POSITIVO"/>
    <d v="1899-12-31T09:41:00"/>
    <m/>
    <d v="1899-12-31T09:41:00"/>
    <s v="POSITION1"/>
    <x v="3"/>
    <s v="STORE116"/>
  </r>
  <r>
    <n v="234727"/>
    <s v="People341"/>
    <s v="department"/>
    <s v="REGION4"/>
    <s v="STORE115"/>
    <s v="MANAGER42"/>
    <s v="POSITIVO"/>
    <d v="1899-12-31T09:28:00"/>
    <m/>
    <d v="1899-12-31T09:28:00"/>
    <s v="POSITION1"/>
    <x v="3"/>
    <s v="STORE115"/>
  </r>
  <r>
    <n v="213970"/>
    <s v="People342"/>
    <s v="department"/>
    <s v="REGION4"/>
    <s v="STORE118"/>
    <s v="MANAGER44"/>
    <s v="POSITIVO"/>
    <d v="1899-12-31T07:08:00"/>
    <m/>
    <d v="1899-12-31T07:08:00"/>
    <s v="POSITION9"/>
    <x v="3"/>
    <s v="STORE118"/>
  </r>
  <r>
    <n v="223712"/>
    <s v="People343"/>
    <s v="department"/>
    <s v="REGION4"/>
    <s v="STORE111"/>
    <s v="MANAGER44"/>
    <s v="POSITIVO"/>
    <d v="1899-12-31T03:21:00"/>
    <m/>
    <d v="1899-12-31T03:21:00"/>
    <s v="POSITION2"/>
    <x v="3"/>
    <s v="STORE111"/>
  </r>
  <r>
    <n v="235204"/>
    <s v="People344"/>
    <s v="department"/>
    <s v="REGION4"/>
    <s v="STORE114"/>
    <s v="MANAGER45"/>
    <s v="POSITIVO"/>
    <d v="1899-12-30T20:17:00"/>
    <m/>
    <d v="1899-12-30T20:17:00"/>
    <s v="POSITION3"/>
    <x v="3"/>
    <s v="STORE114"/>
  </r>
  <r>
    <n v="231982"/>
    <s v="People345"/>
    <s v="department"/>
    <s v="REGION4"/>
    <s v="STORE105"/>
    <s v="MANAGER40"/>
    <s v="POSITIVO"/>
    <d v="1899-12-30T18:50:00"/>
    <m/>
    <d v="1899-12-30T18:50:00"/>
    <s v="POSITION1"/>
    <x v="3"/>
    <s v="STORE105"/>
  </r>
  <r>
    <n v="232405"/>
    <s v="People346"/>
    <s v="department"/>
    <s v="REGION4"/>
    <s v="STORE115"/>
    <s v="MANAGER42"/>
    <s v="POSITIVO"/>
    <d v="1899-12-30T17:00:00"/>
    <m/>
    <d v="1899-12-30T17:00:00"/>
    <s v="POSITION1"/>
    <x v="3"/>
    <s v="STORE115"/>
  </r>
  <r>
    <n v="235974"/>
    <s v="People347"/>
    <s v="department"/>
    <s v="REGION4"/>
    <s v="STORE117"/>
    <s v="MANAGER43"/>
    <s v="POSITIVO"/>
    <d v="1899-12-30T16:50:00"/>
    <m/>
    <d v="1899-12-30T16:50:00"/>
    <s v="POSITION1"/>
    <x v="3"/>
    <s v="STORE117"/>
  </r>
  <r>
    <n v="232970"/>
    <s v="People348"/>
    <s v="department"/>
    <s v="REGION4"/>
    <s v="STORE108"/>
    <s v="MANAGER42"/>
    <s v="POSITIVO"/>
    <d v="1899-12-30T14:32:00"/>
    <m/>
    <d v="1899-12-30T14:32:00"/>
    <s v="POSITION5"/>
    <x v="3"/>
    <s v="STORE108"/>
  </r>
  <r>
    <n v="229691"/>
    <s v="People349"/>
    <s v="department"/>
    <s v="REGION4"/>
    <s v="STORE104"/>
    <s v="MANAGER39"/>
    <s v="POSITIVO"/>
    <d v="1899-12-30T13:53:00"/>
    <m/>
    <d v="1899-12-30T13:53:00"/>
    <s v="POSITION3"/>
    <x v="3"/>
    <s v="STORE104"/>
  </r>
  <r>
    <n v="225345"/>
    <s v="People350"/>
    <s v="department"/>
    <s v="REGION4"/>
    <s v="STORE115"/>
    <s v="MANAGER42"/>
    <s v="POSITIVO"/>
    <d v="1899-12-30T12:29:00"/>
    <m/>
    <d v="1899-12-30T12:29:00"/>
    <s v="POSITION1"/>
    <x v="3"/>
    <s v="STORE115"/>
  </r>
  <r>
    <n v="200888"/>
    <s v="People351"/>
    <s v="department"/>
    <s v="REGION4"/>
    <s v="STORE119"/>
    <s v="MANAGER44"/>
    <s v="POSITIVO"/>
    <d v="1899-12-30T12:22:00"/>
    <m/>
    <d v="1899-12-30T12:22:00"/>
    <s v="POSITION7"/>
    <x v="3"/>
    <s v="STORE119"/>
  </r>
  <r>
    <n v="231488"/>
    <s v="People352"/>
    <s v="department"/>
    <s v="REGION4"/>
    <s v="STORE107"/>
    <s v="MANAGER41"/>
    <s v="POSITIVO"/>
    <d v="1899-12-30T10:45:00"/>
    <m/>
    <d v="1899-12-30T10:45:00"/>
    <s v="POSITION1"/>
    <x v="3"/>
    <s v="STORE107"/>
  </r>
  <r>
    <n v="232795"/>
    <s v="People353"/>
    <s v="department"/>
    <s v="REGION4"/>
    <s v="STORE106"/>
    <s v="MANAGER39"/>
    <s v="POSITIVO"/>
    <d v="1899-12-30T10:43:00"/>
    <m/>
    <d v="1899-12-30T10:43:00"/>
    <s v="POSITION1"/>
    <x v="3"/>
    <s v="STORE106"/>
  </r>
  <r>
    <n v="236589"/>
    <s v="People354"/>
    <s v="department"/>
    <s v="REGION4"/>
    <s v="STORE115"/>
    <s v="MANAGER42"/>
    <s v="POSITIVO"/>
    <d v="1899-12-30T09:47:00"/>
    <m/>
    <d v="1899-12-30T09:47:00"/>
    <s v="POSITION1"/>
    <x v="3"/>
    <s v="STORE115"/>
  </r>
  <r>
    <n v="235960"/>
    <s v="People355"/>
    <s v="department"/>
    <s v="REGION4"/>
    <s v="STORE107"/>
    <s v="MANAGER41"/>
    <s v="POSITIVO"/>
    <d v="1899-12-30T08:20:00"/>
    <m/>
    <d v="1899-12-30T08:20:00"/>
    <s v="POSITION1"/>
    <x v="3"/>
    <s v="STORE107"/>
  </r>
  <r>
    <n v="235478"/>
    <s v="People356"/>
    <s v="department"/>
    <s v="REGION4"/>
    <s v="STORE120"/>
    <s v="MANAGER44"/>
    <s v="POSITIVO"/>
    <d v="1899-12-30T08:15:00"/>
    <m/>
    <d v="1899-12-30T08:15:00"/>
    <s v="POSITION2"/>
    <x v="3"/>
    <s v="STORE120"/>
  </r>
  <r>
    <n v="237914"/>
    <s v="People357"/>
    <s v="department"/>
    <s v="REGION4"/>
    <s v="STORE107"/>
    <s v="MANAGER41"/>
    <s v="POSITIVO"/>
    <d v="1899-12-30T07:22:00"/>
    <m/>
    <d v="1899-12-30T07:22:00"/>
    <s v="POSITION1"/>
    <x v="3"/>
    <s v="STORE107"/>
  </r>
  <r>
    <n v="234735"/>
    <s v="People358"/>
    <s v="department"/>
    <s v="REGION4"/>
    <s v="STORE106"/>
    <s v="MANAGER39"/>
    <s v="POSITIVO"/>
    <d v="1899-12-30T06:37:00"/>
    <m/>
    <d v="1899-12-30T06:37:00"/>
    <s v="POSITION1"/>
    <x v="3"/>
    <s v="STORE106"/>
  </r>
  <r>
    <n v="230832"/>
    <s v="People359"/>
    <s v="department"/>
    <s v="REGION4"/>
    <s v="STORE121"/>
    <s v="MANAGER44"/>
    <s v="POSITIVO"/>
    <d v="1899-12-30T05:18:00"/>
    <m/>
    <d v="1899-12-30T05:18:00"/>
    <s v="POSITION2"/>
    <x v="3"/>
    <s v="STORE121"/>
  </r>
  <r>
    <n v="235257"/>
    <s v="People360"/>
    <s v="department"/>
    <s v="REGION4"/>
    <s v="STORE116"/>
    <s v="MANAGER45"/>
    <s v="POSITIVO"/>
    <d v="1899-12-30T04:28:00"/>
    <m/>
    <d v="1899-12-30T04:28:00"/>
    <s v="POSITION1"/>
    <x v="3"/>
    <s v="STORE116"/>
  </r>
  <r>
    <n v="235112"/>
    <s v="People361"/>
    <s v="department"/>
    <s v="REGION4"/>
    <s v="STORE116"/>
    <s v="MANAGER45"/>
    <s v="POSITIVO"/>
    <d v="1899-12-30T04:06:00"/>
    <m/>
    <d v="1899-12-30T04:06:00"/>
    <s v="POSITION1"/>
    <x v="3"/>
    <s v="STORE116"/>
  </r>
  <r>
    <n v="230257"/>
    <s v="People362"/>
    <s v="department"/>
    <s v="REGION4"/>
    <s v="STORE115"/>
    <s v="MANAGER42"/>
    <s v="POSITIVO"/>
    <d v="1899-12-30T03:25:00"/>
    <m/>
    <d v="1899-12-30T03:25:00"/>
    <s v="POSITION1"/>
    <x v="3"/>
    <s v="STORE115"/>
  </r>
  <r>
    <n v="223765"/>
    <s v="People363"/>
    <s v="department"/>
    <s v="REGION4"/>
    <s v="STORE117"/>
    <s v="MANAGER43"/>
    <s v="POSITIVO"/>
    <d v="1899-12-30T02:31:00"/>
    <m/>
    <d v="1899-12-30T02:31:00"/>
    <s v="POSITION1"/>
    <x v="3"/>
    <s v="STORE117"/>
  </r>
  <r>
    <n v="231307"/>
    <s v="People364"/>
    <s v="department"/>
    <s v="REGION4"/>
    <s v="STORE117"/>
    <s v="MANAGER43"/>
    <s v="POSITIVO"/>
    <d v="1899-12-30T02:23:00"/>
    <m/>
    <d v="1899-12-30T02:23:00"/>
    <s v="POSITION1"/>
    <x v="3"/>
    <s v="STORE117"/>
  </r>
  <r>
    <n v="235156"/>
    <s v="People365"/>
    <s v="department"/>
    <s v="REGION4"/>
    <s v="STORE114"/>
    <s v="MANAGER45"/>
    <s v="POSITIVO"/>
    <d v="1899-12-30T02:06:00"/>
    <m/>
    <d v="1899-12-30T02:06:00"/>
    <s v="POSITION3"/>
    <x v="3"/>
    <s v="STORE114"/>
  </r>
  <r>
    <n v="222048"/>
    <s v="People366"/>
    <s v="department"/>
    <s v="REGION4"/>
    <s v="STORE109"/>
    <s v="MANAGER40"/>
    <s v="POSITIVO"/>
    <d v="1899-12-30T00:35:00"/>
    <m/>
    <d v="1899-12-30T00:35:00"/>
    <s v="POSITION3"/>
    <x v="3"/>
    <s v="STORE109"/>
  </r>
  <r>
    <n v="233565"/>
    <s v="People367"/>
    <s v="department"/>
    <s v="REGION4"/>
    <s v="STORE122"/>
    <s v="MANAGER46"/>
    <s v="NEGATIVO"/>
    <d v="1900-01-01T17:04:00"/>
    <d v="1900-01-01T17:04:00"/>
    <m/>
    <s v="POSITION1"/>
    <x v="3"/>
    <s v="STORE122"/>
  </r>
  <r>
    <n v="237207"/>
    <s v="People368"/>
    <s v="department"/>
    <s v="REGION4"/>
    <s v="STORE123"/>
    <s v="MANAGER47"/>
    <s v="NEGATIVO"/>
    <d v="1899-12-30T08:55:00"/>
    <d v="1899-12-30T08:55:00"/>
    <m/>
    <s v="POSITION1"/>
    <x v="3"/>
    <s v="STORE123"/>
  </r>
  <r>
    <n v="236623"/>
    <s v="People369"/>
    <s v="department"/>
    <s v="REGION2"/>
    <s v="STORE124"/>
    <s v="MANAGER48"/>
    <s v="NEGATIVO"/>
    <d v="1900-01-11T02:24:00"/>
    <d v="1900-01-11T02:24:00"/>
    <m/>
    <s v="POSITION4"/>
    <x v="1"/>
    <s v="STORE124"/>
  </r>
  <r>
    <n v="202664"/>
    <s v="People370"/>
    <s v="department"/>
    <s v="REGION4"/>
    <s v="STORE125"/>
    <s v="MANAGER49"/>
    <s v="NEGATIVO"/>
    <d v="1899-12-31T01:00:00"/>
    <d v="1899-12-31T01:00:00"/>
    <m/>
    <s v="POSITION1"/>
    <x v="3"/>
    <s v="STORE125"/>
  </r>
  <r>
    <n v="223768"/>
    <s v="People371"/>
    <s v="department"/>
    <s v="REGION4"/>
    <s v="STORE126"/>
    <s v="MANAGER50"/>
    <s v="NEGATIVO"/>
    <d v="1899-12-30T11:15:00"/>
    <d v="1899-12-30T11:15:00"/>
    <m/>
    <s v="POSITION1"/>
    <x v="3"/>
    <s v="STORE126"/>
  </r>
  <r>
    <n v="234732"/>
    <s v="People372"/>
    <s v="department"/>
    <s v="REGION2"/>
    <s v="STORE127"/>
    <s v="MANAGER48"/>
    <s v="NEGATIVO"/>
    <d v="1900-01-08T16:57:00"/>
    <d v="1900-01-08T16:57:00"/>
    <m/>
    <s v="POSITION1"/>
    <x v="1"/>
    <s v="STORE127"/>
  </r>
  <r>
    <n v="231430"/>
    <s v="People373"/>
    <s v="department"/>
    <s v="REGION4"/>
    <s v="STORE126"/>
    <s v="MANAGER50"/>
    <s v="NEGATIVO"/>
    <d v="1899-12-30T07:32:00"/>
    <d v="1899-12-30T07:32:00"/>
    <m/>
    <s v="POSITION1"/>
    <x v="3"/>
    <s v="STORE126"/>
  </r>
  <r>
    <n v="235843"/>
    <s v="People374"/>
    <s v="department"/>
    <s v="REGION4"/>
    <s v="STORE126"/>
    <s v="MANAGER50"/>
    <s v="NEGATIVO"/>
    <d v="1899-12-31T02:16:00"/>
    <d v="1899-12-31T02:16:00"/>
    <m/>
    <s v="POSITION1"/>
    <x v="3"/>
    <s v="STORE126"/>
  </r>
  <r>
    <n v="233795"/>
    <s v="People375"/>
    <s v="department"/>
    <s v="REGION4"/>
    <s v="STORE128"/>
    <s v="MANAGER51"/>
    <s v="NEGATIVO"/>
    <d v="1900-01-01T15:29:00"/>
    <d v="1900-01-01T15:29:00"/>
    <m/>
    <s v="POSITION5"/>
    <x v="3"/>
    <s v="STORE128"/>
  </r>
  <r>
    <n v="225905"/>
    <s v="People376"/>
    <s v="department"/>
    <s v="REGION4"/>
    <s v="STORE129"/>
    <s v="MANAGER52"/>
    <s v="NEGATIVO"/>
    <d v="1899-12-30T09:11:00"/>
    <d v="1899-12-30T09:11:00"/>
    <m/>
    <s v="POSITION1"/>
    <x v="3"/>
    <s v="STORE129"/>
  </r>
  <r>
    <n v="203618"/>
    <s v="People377"/>
    <s v="department"/>
    <s v="REGION4"/>
    <s v="STORE130"/>
    <s v="MANAGER51"/>
    <s v="NEGATIVO"/>
    <d v="1899-12-30T12:26:00"/>
    <d v="1899-12-30T12:26:00"/>
    <m/>
    <s v="POSITION1"/>
    <x v="3"/>
    <s v="STORE130"/>
  </r>
  <r>
    <n v="231499"/>
    <s v="People378"/>
    <s v="department"/>
    <s v="REGION4"/>
    <s v="STORE131"/>
    <s v="MANAGER50"/>
    <s v="NEGATIVO"/>
    <d v="1899-12-30T04:03:00"/>
    <d v="1899-12-30T04:03:00"/>
    <m/>
    <s v="POSITION3"/>
    <x v="3"/>
    <s v="STORE131"/>
  </r>
  <r>
    <n v="203598"/>
    <s v="People379"/>
    <s v="department"/>
    <s v="REGION4"/>
    <s v="STORE130"/>
    <s v="MANAGER51"/>
    <s v="NEGATIVO"/>
    <d v="1899-12-30T04:20:00"/>
    <d v="1899-12-30T04:20:00"/>
    <m/>
    <s v="POSITION1"/>
    <x v="3"/>
    <s v="STORE130"/>
  </r>
  <r>
    <n v="236361"/>
    <s v="People380"/>
    <s v="department"/>
    <s v="REGION4"/>
    <s v="STORE125"/>
    <s v="MANAGER49"/>
    <s v="NEGATIVO"/>
    <d v="1899-12-30T00:48:00"/>
    <d v="1899-12-30T00:48:00"/>
    <m/>
    <s v="POSITION1"/>
    <x v="3"/>
    <s v="STORE125"/>
  </r>
  <r>
    <n v="203026"/>
    <s v="People381"/>
    <s v="department"/>
    <s v="REGION4"/>
    <s v="STORE126"/>
    <s v="MANAGER50"/>
    <s v="NEGATIVO"/>
    <d v="1899-12-30T00:16:00"/>
    <d v="1899-12-30T00:16:00"/>
    <m/>
    <s v="POSITION1"/>
    <x v="3"/>
    <s v="STORE126"/>
  </r>
  <r>
    <n v="234353"/>
    <s v="People382"/>
    <s v="department"/>
    <s v="REGION4"/>
    <s v="STORE132"/>
    <s v="MANAGER53"/>
    <s v="NEGATIVO"/>
    <d v="1899-12-30T03:21:00"/>
    <d v="1899-12-30T03:21:00"/>
    <m/>
    <s v="POSITION1"/>
    <x v="3"/>
    <s v="STORE132"/>
  </r>
  <r>
    <n v="203490"/>
    <s v="People383"/>
    <s v="department"/>
    <s v="REGION4"/>
    <s v="STORE122"/>
    <s v="MANAGER46"/>
    <s v="NEGATIVO"/>
    <d v="1899-12-30T01:54:00"/>
    <d v="1899-12-30T01:54:00"/>
    <m/>
    <s v="POSITION1"/>
    <x v="3"/>
    <s v="STORE122"/>
  </r>
  <r>
    <n v="224489"/>
    <s v="People384"/>
    <s v="department"/>
    <s v="REGION4"/>
    <s v="STORE133"/>
    <s v="MANAGER47"/>
    <s v="NEGATIVO"/>
    <d v="1899-12-30T18:18:00"/>
    <d v="1899-12-30T18:18:00"/>
    <m/>
    <s v="POSITION3"/>
    <x v="3"/>
    <s v="STORE133"/>
  </r>
  <r>
    <n v="222964"/>
    <s v="People385"/>
    <s v="department"/>
    <s v="REGION4"/>
    <s v="STORE130"/>
    <s v="MANAGER51"/>
    <s v="NEGATIVO"/>
    <d v="1899-12-30T21:44:00"/>
    <d v="1899-12-30T21:44:00"/>
    <m/>
    <s v="POSITION1"/>
    <x v="3"/>
    <s v="STORE130"/>
  </r>
  <r>
    <n v="224292"/>
    <s v="People386"/>
    <s v="department"/>
    <s v="REGION4"/>
    <s v="STORE134"/>
    <s v="MANAGER54"/>
    <s v="NEGATIVO"/>
    <d v="1900-01-07T01:08:00"/>
    <d v="1900-01-07T01:08:00"/>
    <m/>
    <s v="POSITION1"/>
    <x v="3"/>
    <s v="STORE134"/>
  </r>
  <r>
    <n v="220920"/>
    <s v="People387"/>
    <s v="department"/>
    <s v="REGION4"/>
    <s v="STORE128"/>
    <s v="MANAGER51"/>
    <s v="NEGATIVO"/>
    <d v="1899-12-30T04:02:00"/>
    <d v="1899-12-30T04:02:00"/>
    <m/>
    <s v="POSITION3"/>
    <x v="3"/>
    <s v="STORE128"/>
  </r>
  <r>
    <n v="230862"/>
    <s v="People388"/>
    <s v="department"/>
    <s v="REGION4"/>
    <s v="STORE135"/>
    <s v="MANAGER44"/>
    <s v="NEGATIVO"/>
    <d v="1899-12-30T09:35:00"/>
    <d v="1899-12-30T09:35:00"/>
    <m/>
    <s v="POSITION2"/>
    <x v="3"/>
    <s v="STORE135"/>
  </r>
  <r>
    <n v="231661"/>
    <s v="People389"/>
    <s v="department"/>
    <s v="REGION4"/>
    <s v="STORE131"/>
    <s v="MANAGER50"/>
    <s v="NEGATIVO"/>
    <d v="1899-12-30T10:48:00"/>
    <d v="1899-12-30T10:48:00"/>
    <m/>
    <s v="POSITION3"/>
    <x v="3"/>
    <s v="STORE131"/>
  </r>
  <r>
    <n v="232288"/>
    <s v="People390"/>
    <s v="department"/>
    <s v="REGION4"/>
    <s v="STORE125"/>
    <s v="MANAGER49"/>
    <s v="NEGATIVO"/>
    <d v="1899-12-31T05:04:00"/>
    <d v="1899-12-31T05:04:00"/>
    <m/>
    <s v="POSITION1"/>
    <x v="3"/>
    <s v="STORE125"/>
  </r>
  <r>
    <n v="220250"/>
    <s v="People391"/>
    <s v="department"/>
    <s v="REGION4"/>
    <s v="STORE136"/>
    <s v="MANAGER49"/>
    <s v="NEGATIVO"/>
    <d v="1899-12-30T18:19:00"/>
    <d v="1899-12-30T18:19:00"/>
    <m/>
    <s v="POSITION4"/>
    <x v="3"/>
    <s v="STORE136"/>
  </r>
  <r>
    <n v="234510"/>
    <s v="People392"/>
    <s v="department"/>
    <s v="REGION4"/>
    <s v="STORE137"/>
    <s v="MANAGER44"/>
    <s v="NEGATIVO"/>
    <d v="1899-12-30T22:32:00"/>
    <d v="1899-12-30T22:32:00"/>
    <m/>
    <s v="POSITION2"/>
    <x v="3"/>
    <s v="STORE137"/>
  </r>
  <r>
    <n v="224229"/>
    <s v="People393"/>
    <s v="department"/>
    <s v="REGION4"/>
    <s v="STORE138"/>
    <s v="MANAGER54"/>
    <s v="NEGATIVO"/>
    <d v="1899-12-30T06:02:00"/>
    <d v="1899-12-30T06:02:00"/>
    <m/>
    <s v="POSITION3"/>
    <x v="3"/>
    <s v="STORE138"/>
  </r>
  <r>
    <n v="217322"/>
    <s v="People394"/>
    <s v="department"/>
    <s v="REGION4"/>
    <s v="STORE139"/>
    <s v="MANAGER46"/>
    <s v="NEGATIVO"/>
    <d v="1899-12-30T01:28:00"/>
    <d v="1899-12-30T01:28:00"/>
    <m/>
    <s v="POSITION3"/>
    <x v="3"/>
    <s v="STORE139"/>
  </r>
  <r>
    <n v="237424"/>
    <s v="People395"/>
    <s v="department"/>
    <s v="REGION4"/>
    <s v="STORE123"/>
    <s v="MANAGER47"/>
    <s v="NEGATIVO"/>
    <d v="1899-12-30T04:18:00"/>
    <d v="1899-12-30T04:18:00"/>
    <m/>
    <s v="POSITION1"/>
    <x v="3"/>
    <s v="STORE123"/>
  </r>
  <r>
    <n v="233299"/>
    <s v="People396"/>
    <s v="department"/>
    <s v="REGION2"/>
    <s v="STORE124"/>
    <s v="MANAGER48"/>
    <s v="NEGATIVO"/>
    <d v="1900-01-03T11:11:00"/>
    <d v="1900-01-03T11:11:00"/>
    <m/>
    <s v="POSITION3"/>
    <x v="1"/>
    <s v="STORE124"/>
  </r>
  <r>
    <n v="234409"/>
    <s v="People397"/>
    <s v="department"/>
    <s v="REGION4"/>
    <s v="STORE126"/>
    <s v="MANAGER50"/>
    <s v="NEGATIVO"/>
    <d v="1899-12-30T10:17:00"/>
    <d v="1899-12-30T10:17:00"/>
    <m/>
    <s v="POSITION1"/>
    <x v="3"/>
    <s v="STORE126"/>
  </r>
  <r>
    <n v="203075"/>
    <s v="People398"/>
    <s v="department"/>
    <s v="REGION4"/>
    <s v="STORE130"/>
    <s v="MANAGER51"/>
    <s v="NEGATIVO"/>
    <d v="1899-12-30T01:22:00"/>
    <d v="1899-12-30T01:22:00"/>
    <m/>
    <s v="POSITION1"/>
    <x v="3"/>
    <s v="STORE130"/>
  </r>
  <r>
    <n v="230428"/>
    <s v="People399"/>
    <s v="department"/>
    <s v="REGION2"/>
    <s v="STORE127"/>
    <s v="MANAGER48"/>
    <s v="NEGATIVO"/>
    <d v="1900-01-05T10:59:00"/>
    <d v="1900-01-05T10:59:00"/>
    <m/>
    <s v="POSITION1"/>
    <x v="1"/>
    <s v="STORE127"/>
  </r>
  <r>
    <n v="203418"/>
    <s v="People400"/>
    <s v="department"/>
    <s v="REGION4"/>
    <s v="STORE129"/>
    <s v="MANAGER52"/>
    <s v="NEGATIVO"/>
    <d v="1899-12-30T00:39:00"/>
    <d v="1899-12-30T00:39:00"/>
    <m/>
    <s v="POSITION1"/>
    <x v="3"/>
    <s v="STORE129"/>
  </r>
  <r>
    <n v="236242"/>
    <s v="People401"/>
    <s v="department"/>
    <s v="REGION4"/>
    <s v="STORE140"/>
    <s v="MANAGER44"/>
    <s v="NEGATIVO"/>
    <d v="1899-12-30T03:32:00"/>
    <d v="1899-12-30T03:32:00"/>
    <m/>
    <s v="POSITION2"/>
    <x v="3"/>
    <s v="STORE140"/>
  </r>
  <r>
    <n v="202399"/>
    <s v="People402"/>
    <s v="department"/>
    <s v="REGION4"/>
    <s v="STORE139"/>
    <s v="MANAGER46"/>
    <s v="POSITIVO"/>
    <d v="1900-01-06T06:34:00"/>
    <m/>
    <d v="1900-01-06T06:34:00"/>
    <s v="POSITION4"/>
    <x v="3"/>
    <s v="STORE139"/>
  </r>
  <r>
    <n v="231305"/>
    <s v="People403"/>
    <s v="department"/>
    <s v="REGION2"/>
    <s v="STORE127"/>
    <s v="MANAGER48"/>
    <s v="POSITIVO"/>
    <d v="1900-01-03T03:01:00"/>
    <m/>
    <d v="1900-01-03T03:01:00"/>
    <s v="POSITION1"/>
    <x v="1"/>
    <s v="STORE127"/>
  </r>
  <r>
    <n v="229987"/>
    <s v="People404"/>
    <s v="department"/>
    <s v="REGION4"/>
    <s v="STORE123"/>
    <s v="MANAGER47"/>
    <s v="POSITIVO"/>
    <d v="1899-12-31T05:15:00"/>
    <m/>
    <d v="1899-12-31T05:15:00"/>
    <s v="POSITION1"/>
    <x v="3"/>
    <s v="STORE123"/>
  </r>
  <r>
    <n v="232590"/>
    <s v="People405"/>
    <s v="department"/>
    <s v="REGION4"/>
    <s v="STORE134"/>
    <s v="MANAGER54"/>
    <s v="POSITIVO"/>
    <d v="1899-12-31T02:00:00"/>
    <m/>
    <d v="1899-12-31T02:00:00"/>
    <s v="POSITION1"/>
    <x v="3"/>
    <s v="STORE134"/>
  </r>
  <r>
    <n v="235308"/>
    <s v="People406"/>
    <s v="department"/>
    <s v="REGION4"/>
    <s v="STORE134"/>
    <s v="MANAGER54"/>
    <s v="POSITIVO"/>
    <d v="1899-12-30T22:06:00"/>
    <m/>
    <d v="1899-12-30T22:06:00"/>
    <s v="POSITION1"/>
    <x v="3"/>
    <s v="STORE134"/>
  </r>
  <r>
    <n v="237405"/>
    <s v="People407"/>
    <s v="department"/>
    <s v="REGION4"/>
    <s v="STORE132"/>
    <s v="MANAGER53"/>
    <s v="POSITIVO"/>
    <d v="1899-12-30T19:35:00"/>
    <m/>
    <d v="1899-12-30T19:35:00"/>
    <s v="POSITION1"/>
    <x v="3"/>
    <s v="STORE132"/>
  </r>
  <r>
    <n v="216190"/>
    <s v="People408"/>
    <s v="department"/>
    <s v="REGION4"/>
    <s v="STORE141"/>
    <s v="MANAGER44"/>
    <s v="POSITIVO"/>
    <d v="1899-12-30T19:16:00"/>
    <m/>
    <d v="1899-12-30T19:16:00"/>
    <s v="POSITION9"/>
    <x v="3"/>
    <s v="STORE141"/>
  </r>
  <r>
    <n v="235557"/>
    <s v="People409"/>
    <s v="department"/>
    <s v="REGION4"/>
    <s v="STORE132"/>
    <s v="MANAGER53"/>
    <s v="POSITIVO"/>
    <d v="1899-12-30T18:45:00"/>
    <m/>
    <d v="1899-12-30T18:45:00"/>
    <s v="POSITION1"/>
    <x v="3"/>
    <s v="STORE132"/>
  </r>
  <r>
    <n v="203326"/>
    <s v="People410"/>
    <s v="department"/>
    <s v="REGION4"/>
    <s v="STORE142"/>
    <s v="MANAGER44"/>
    <s v="POSITIVO"/>
    <d v="1899-12-30T18:35:00"/>
    <m/>
    <d v="1899-12-30T18:35:00"/>
    <s v="POSITION2"/>
    <x v="3"/>
    <s v="STORE142"/>
  </r>
  <r>
    <n v="203184"/>
    <s v="People411"/>
    <s v="department"/>
    <s v="REGION4"/>
    <s v="STORE125"/>
    <s v="MANAGER49"/>
    <s v="POSITIVO"/>
    <d v="1899-12-30T17:46:00"/>
    <m/>
    <d v="1899-12-30T17:46:00"/>
    <s v="POSITION1"/>
    <x v="3"/>
    <s v="STORE125"/>
  </r>
  <r>
    <n v="229395"/>
    <s v="People412"/>
    <s v="department"/>
    <s v="REGION4"/>
    <s v="STORE134"/>
    <s v="MANAGER54"/>
    <s v="POSITIVO"/>
    <d v="1899-12-30T17:27:00"/>
    <m/>
    <d v="1899-12-30T17:27:00"/>
    <s v="POSITION1"/>
    <x v="3"/>
    <s v="STORE134"/>
  </r>
  <r>
    <n v="232179"/>
    <s v="People413"/>
    <s v="department"/>
    <s v="REGION4"/>
    <s v="STORE134"/>
    <s v="MANAGER54"/>
    <s v="POSITIVO"/>
    <d v="1899-12-30T15:15:00"/>
    <m/>
    <d v="1899-12-30T15:15:00"/>
    <s v="POSITION1"/>
    <x v="3"/>
    <s v="STORE134"/>
  </r>
  <r>
    <n v="202977"/>
    <s v="People414"/>
    <s v="department"/>
    <s v="REGION4"/>
    <s v="STORE130"/>
    <s v="MANAGER51"/>
    <s v="POSITIVO"/>
    <d v="1899-12-30T13:27:00"/>
    <m/>
    <d v="1899-12-30T13:27:00"/>
    <s v="POSITION1"/>
    <x v="3"/>
    <s v="STORE130"/>
  </r>
  <r>
    <n v="224230"/>
    <s v="People415"/>
    <s v="department"/>
    <s v="REGION4"/>
    <s v="STORE138"/>
    <s v="MANAGER54"/>
    <s v="POSITIVO"/>
    <d v="1899-12-30T13:27:00"/>
    <m/>
    <d v="1899-12-30T13:27:00"/>
    <s v="POSITION4"/>
    <x v="3"/>
    <s v="STORE138"/>
  </r>
  <r>
    <n v="222549"/>
    <s v="People416"/>
    <s v="department"/>
    <s v="REGION4"/>
    <s v="STORE122"/>
    <s v="MANAGER46"/>
    <s v="POSITIVO"/>
    <d v="1899-12-30T13:24:00"/>
    <m/>
    <d v="1899-12-30T13:24:00"/>
    <s v="POSITION1"/>
    <x v="3"/>
    <s v="STORE122"/>
  </r>
  <r>
    <n v="234644"/>
    <s v="People417"/>
    <s v="department"/>
    <s v="REGION2"/>
    <s v="STORE127"/>
    <s v="MANAGER48"/>
    <s v="POSITIVO"/>
    <d v="1899-12-30T13:13:00"/>
    <m/>
    <d v="1899-12-30T13:13:00"/>
    <s v="POSITION1"/>
    <x v="1"/>
    <s v="STORE127"/>
  </r>
  <r>
    <n v="218467"/>
    <s v="People418"/>
    <s v="department"/>
    <s v="REGION4"/>
    <s v="STORE143"/>
    <s v="MANAGER44"/>
    <s v="POSITIVO"/>
    <d v="1899-12-30T11:03:00"/>
    <m/>
    <d v="1899-12-30T11:03:00"/>
    <s v="POSITION9"/>
    <x v="3"/>
    <s v="STORE143"/>
  </r>
  <r>
    <n v="218830"/>
    <s v="People419"/>
    <s v="department"/>
    <s v="REGION2"/>
    <s v="STORE144"/>
    <s v="MANAGER14"/>
    <s v="POSITIVO"/>
    <d v="1899-12-30T08:50:00"/>
    <m/>
    <d v="1899-12-30T08:50:00"/>
    <s v="POSITION9"/>
    <x v="1"/>
    <s v="STORE144"/>
  </r>
  <r>
    <n v="203496"/>
    <s v="People420"/>
    <s v="department"/>
    <s v="REGION4"/>
    <s v="STORE129"/>
    <s v="MANAGER52"/>
    <s v="POSITIVO"/>
    <d v="1899-12-30T07:52:00"/>
    <m/>
    <d v="1899-12-30T07:52:00"/>
    <s v="POSITION1"/>
    <x v="3"/>
    <s v="STORE129"/>
  </r>
  <r>
    <n v="230381"/>
    <s v="People421"/>
    <s v="department"/>
    <s v="REGION4"/>
    <s v="STORE130"/>
    <s v="MANAGER51"/>
    <s v="POSITIVO"/>
    <d v="1899-12-30T07:49:00"/>
    <m/>
    <d v="1899-12-30T07:49:00"/>
    <s v="POSITION1"/>
    <x v="3"/>
    <s v="STORE130"/>
  </r>
  <r>
    <n v="218011"/>
    <s v="People422"/>
    <s v="department"/>
    <s v="REGION4"/>
    <s v="STORE145"/>
    <s v="MANAGER52"/>
    <s v="POSITIVO"/>
    <d v="1899-12-30T06:48:00"/>
    <m/>
    <d v="1899-12-30T06:48:00"/>
    <s v="POSITION3"/>
    <x v="3"/>
    <s v="STORE145"/>
  </r>
  <r>
    <n v="235930"/>
    <s v="People423"/>
    <s v="department"/>
    <s v="REGION4"/>
    <s v="STORE122"/>
    <s v="MANAGER46"/>
    <s v="POSITIVO"/>
    <d v="1899-12-30T06:21:00"/>
    <m/>
    <d v="1899-12-30T06:21:00"/>
    <s v="POSITION1"/>
    <x v="3"/>
    <s v="STORE122"/>
  </r>
  <r>
    <n v="200234"/>
    <s v="People424"/>
    <s v="department"/>
    <s v="REGION4"/>
    <s v="STORE131"/>
    <s v="MANAGER50"/>
    <s v="POSITIVO"/>
    <d v="1899-12-30T05:51:00"/>
    <m/>
    <d v="1899-12-30T05:51:00"/>
    <s v="POSITION4"/>
    <x v="3"/>
    <s v="STORE131"/>
  </r>
  <r>
    <n v="200590"/>
    <s v="People425"/>
    <s v="department"/>
    <s v="REGION4"/>
    <s v="STORE146"/>
    <s v="MANAGER44"/>
    <s v="POSITIVO"/>
    <d v="1899-12-30T04:36:00"/>
    <m/>
    <d v="1899-12-30T04:36:00"/>
    <s v="POSITION7"/>
    <x v="3"/>
    <s v="STORE146"/>
  </r>
  <r>
    <n v="224184"/>
    <s v="People426"/>
    <s v="department"/>
    <s v="REGION4"/>
    <s v="STORE128"/>
    <s v="MANAGER51"/>
    <s v="POSITIVO"/>
    <d v="1899-12-30T04:25:00"/>
    <m/>
    <d v="1899-12-30T04:25:00"/>
    <s v="POSITION4"/>
    <x v="3"/>
    <s v="STORE128"/>
  </r>
  <r>
    <n v="201779"/>
    <s v="People427"/>
    <s v="department"/>
    <s v="REGION4"/>
    <s v="STORE133"/>
    <s v="MANAGER47"/>
    <s v="POSITIVO"/>
    <d v="1899-12-30T04:18:00"/>
    <m/>
    <d v="1899-12-30T04:18:00"/>
    <s v="POSITION4"/>
    <x v="3"/>
    <s v="STORE133"/>
  </r>
  <r>
    <n v="200217"/>
    <s v="People428"/>
    <s v="department"/>
    <s v="REGION4"/>
    <s v="STORE128"/>
    <s v="MANAGER51"/>
    <s v="POSITIVO"/>
    <d v="1899-12-30T04:07:00"/>
    <m/>
    <d v="1899-12-30T04:07:00"/>
    <s v="POSITION3"/>
    <x v="3"/>
    <s v="STORE128"/>
  </r>
  <r>
    <n v="224387"/>
    <s v="People429"/>
    <s v="department"/>
    <s v="REGION4"/>
    <s v="STORE122"/>
    <s v="MANAGER46"/>
    <s v="POSITIVO"/>
    <d v="1899-12-30T03:52:00"/>
    <m/>
    <d v="1899-12-30T03:52:00"/>
    <s v="POSITION1"/>
    <x v="3"/>
    <s v="STORE122"/>
  </r>
  <r>
    <n v="237407"/>
    <s v="People430"/>
    <s v="department"/>
    <s v="REGION4"/>
    <s v="STORE132"/>
    <s v="MANAGER53"/>
    <s v="POSITIVO"/>
    <d v="1899-12-30T03:51:00"/>
    <m/>
    <d v="1899-12-30T03:51:00"/>
    <s v="POSITION1"/>
    <x v="3"/>
    <s v="STORE132"/>
  </r>
  <r>
    <n v="231079"/>
    <s v="People431"/>
    <s v="department"/>
    <s v="REGION4"/>
    <s v="STORE129"/>
    <s v="MANAGER52"/>
    <s v="POSITIVO"/>
    <d v="1899-12-30T03:43:00"/>
    <m/>
    <d v="1899-12-30T03:43:00"/>
    <s v="POSITION1"/>
    <x v="3"/>
    <s v="STORE129"/>
  </r>
  <r>
    <n v="221898"/>
    <s v="People432"/>
    <s v="department"/>
    <s v="REGION4"/>
    <s v="STORE136"/>
    <s v="MANAGER49"/>
    <s v="POSITIVO"/>
    <d v="1899-12-30T03:09:00"/>
    <m/>
    <d v="1899-12-30T03:09:00"/>
    <s v="POSITION3"/>
    <x v="3"/>
    <s v="STORE136"/>
  </r>
  <r>
    <n v="235760"/>
    <s v="People433"/>
    <s v="department"/>
    <s v="REGION4"/>
    <s v="STORE123"/>
    <s v="MANAGER47"/>
    <s v="POSITIVO"/>
    <d v="1899-12-30T01:32:00"/>
    <m/>
    <d v="1899-12-30T01:32:00"/>
    <s v="POSITION1"/>
    <x v="3"/>
    <s v="STORE123"/>
  </r>
  <r>
    <n v="224044"/>
    <s v="People434"/>
    <s v="department"/>
    <s v="REGION4"/>
    <s v="STORE140"/>
    <s v="MANAGER44"/>
    <s v="POSITIVO"/>
    <d v="1899-12-30T01:30:00"/>
    <m/>
    <d v="1899-12-30T01:30:00"/>
    <s v="POSITION2"/>
    <x v="3"/>
    <s v="STORE140"/>
  </r>
  <r>
    <n v="203000"/>
    <s v="People435"/>
    <s v="department"/>
    <s v="REGION4"/>
    <s v="STORE125"/>
    <s v="MANAGER49"/>
    <s v="POSITIVO"/>
    <d v="1899-12-30T01:18:00"/>
    <m/>
    <d v="1899-12-30T01:18:00"/>
    <s v="POSITION1"/>
    <x v="3"/>
    <s v="STORE125"/>
  </r>
  <r>
    <n v="224294"/>
    <s v="People436"/>
    <s v="department"/>
    <s v="REGION4"/>
    <s v="STORE134"/>
    <s v="MANAGER54"/>
    <s v="POSITIVO"/>
    <d v="1899-12-30T01:16:00"/>
    <m/>
    <d v="1899-12-30T01:16:00"/>
    <s v="POSITION1"/>
    <x v="3"/>
    <s v="STORE134"/>
  </r>
  <r>
    <n v="237415"/>
    <s v="People437"/>
    <s v="department"/>
    <s v="REGION4"/>
    <s v="STORE147"/>
    <s v="MANAGER53"/>
    <s v="POSITIVO"/>
    <d v="1899-12-30T00:59:00"/>
    <m/>
    <d v="1899-12-30T00:59:00"/>
    <s v="POSITION3"/>
    <x v="3"/>
    <s v="STORE147"/>
  </r>
  <r>
    <n v="224953"/>
    <s v="People438"/>
    <s v="department"/>
    <s v="REGION4"/>
    <s v="STORE126"/>
    <s v="MANAGER50"/>
    <s v="POSITIVO"/>
    <d v="1899-12-30T00:53:00"/>
    <m/>
    <d v="1899-12-30T00:53:00"/>
    <s v="POSITION1"/>
    <x v="3"/>
    <s v="STORE126"/>
  </r>
  <r>
    <n v="237634"/>
    <s v="People439"/>
    <s v="department"/>
    <s v="REGION4"/>
    <s v="STORE147"/>
    <s v="MANAGER53"/>
    <s v="POSITIVO"/>
    <d v="1899-12-30T00:49:00"/>
    <m/>
    <d v="1899-12-30T00:49:00"/>
    <s v="POSITION4"/>
    <x v="3"/>
    <s v="STORE147"/>
  </r>
  <r>
    <n v="231764"/>
    <s v="People440"/>
    <s v="department"/>
    <s v="REGION4"/>
    <s v="STORE145"/>
    <s v="MANAGER52"/>
    <s v="POSITIVO"/>
    <d v="1899-12-30T00:31:00"/>
    <m/>
    <d v="1899-12-30T00:31:00"/>
    <s v="POSITION4"/>
    <x v="3"/>
    <s v="STORE145"/>
  </r>
  <r>
    <n v="232737"/>
    <s v="People441"/>
    <s v="department"/>
    <s v="REGION5"/>
    <s v="STORE148"/>
    <s v="MANAGER55"/>
    <s v="NEGATIVO"/>
    <d v="1899-12-30T04:10:00"/>
    <d v="1899-12-30T04:10:00"/>
    <m/>
    <s v="POSITION4"/>
    <x v="4"/>
    <s v="STORE148"/>
  </r>
  <r>
    <n v="201397"/>
    <s v="People442"/>
    <s v="department"/>
    <s v="REGION5"/>
    <s v="STORE149"/>
    <s v="MANAGER56"/>
    <s v="NEGATIVO"/>
    <d v="1900-01-08T07:49:00"/>
    <d v="1900-01-08T07:49:00"/>
    <m/>
    <s v="POSITION3"/>
    <x v="4"/>
    <s v="STORE149"/>
  </r>
  <r>
    <n v="217863"/>
    <s v="People443"/>
    <s v="department"/>
    <s v="REGION5"/>
    <s v="STORE150"/>
    <s v="MANAGER57"/>
    <s v="NEGATIVO"/>
    <d v="1899-12-31T02:16:00"/>
    <d v="1899-12-31T02:16:00"/>
    <m/>
    <s v="POSITION9"/>
    <x v="4"/>
    <s v="STORE150"/>
  </r>
  <r>
    <n v="215480"/>
    <s v="People444"/>
    <s v="department"/>
    <s v="REGION5"/>
    <s v="STORE151"/>
    <s v="MANAGER57"/>
    <s v="NEGATIVO"/>
    <d v="1899-12-31T14:41:00"/>
    <d v="1899-12-31T14:41:00"/>
    <m/>
    <s v="POSITION9"/>
    <x v="4"/>
    <s v="STORE151"/>
  </r>
  <r>
    <n v="203223"/>
    <s v="People445"/>
    <s v="department"/>
    <s v="REGION5"/>
    <s v="STORE152"/>
    <s v="MANAGER58"/>
    <s v="NEGATIVO"/>
    <d v="1900-01-06T08:34:00"/>
    <d v="1900-01-06T08:34:00"/>
    <m/>
    <s v="POSITION1"/>
    <x v="4"/>
    <s v="STORE152"/>
  </r>
  <r>
    <n v="201815"/>
    <s v="People446"/>
    <s v="department"/>
    <s v="REGION5"/>
    <s v="STORE153"/>
    <s v="MANAGER59"/>
    <s v="NEGATIVO"/>
    <d v="1900-01-03T13:11:00"/>
    <d v="1900-01-03T13:11:00"/>
    <m/>
    <s v="POSITION1"/>
    <x v="4"/>
    <s v="STORE153"/>
  </r>
  <r>
    <n v="237750"/>
    <s v="People447"/>
    <s v="department"/>
    <s v="REGION5"/>
    <s v="STORE154"/>
    <s v="MANAGER60"/>
    <s v="NEGATIVO"/>
    <d v="1899-12-30T00:44:00"/>
    <d v="1899-12-30T00:44:00"/>
    <m/>
    <s v="POSITION4"/>
    <x v="4"/>
    <s v="STORE154"/>
  </r>
  <r>
    <n v="225275"/>
    <s v="People448"/>
    <s v="department"/>
    <s v="REGION5"/>
    <s v="STORE155"/>
    <s v="MANAGER61"/>
    <s v="NEGATIVO"/>
    <d v="1900-01-07T10:34:00"/>
    <d v="1900-01-07T10:34:00"/>
    <m/>
    <s v="POSITION4"/>
    <x v="4"/>
    <s v="STORE155"/>
  </r>
  <r>
    <n v="232565"/>
    <s v="People449"/>
    <s v="department"/>
    <s v="REGION5"/>
    <s v="STORE156"/>
    <s v="MANAGER55"/>
    <s v="NEGATIVO"/>
    <d v="1899-12-30T01:43:00"/>
    <d v="1899-12-30T01:43:00"/>
    <m/>
    <s v="POSITION1"/>
    <x v="4"/>
    <s v="STORE156"/>
  </r>
  <r>
    <n v="230063"/>
    <s v="People450"/>
    <s v="department"/>
    <s v="REGION5"/>
    <s v="STORE157"/>
    <s v="MANAGER62"/>
    <s v="NEGATIVO"/>
    <d v="1900-01-04T11:14:00"/>
    <d v="1900-01-04T11:14:00"/>
    <m/>
    <s v="POSITION3"/>
    <x v="4"/>
    <s v="STORE157"/>
  </r>
  <r>
    <n v="230000"/>
    <s v="People451"/>
    <s v="department"/>
    <s v="REGION5"/>
    <s v="STORE152"/>
    <s v="MANAGER58"/>
    <s v="NEGATIVO"/>
    <d v="1900-01-03T23:47:00"/>
    <d v="1900-01-03T23:47:00"/>
    <m/>
    <s v="POSITION1"/>
    <x v="4"/>
    <s v="STORE152"/>
  </r>
  <r>
    <n v="230001"/>
    <s v="People452"/>
    <s v="department"/>
    <s v="REGION5"/>
    <s v="STORE152"/>
    <s v="MANAGER58"/>
    <s v="NEGATIVO"/>
    <d v="1900-01-02T10:44:00"/>
    <d v="1900-01-02T10:44:00"/>
    <m/>
    <s v="POSITION1"/>
    <x v="4"/>
    <s v="STORE152"/>
  </r>
  <r>
    <n v="223224"/>
    <s v="People453"/>
    <s v="department"/>
    <s v="REGION5"/>
    <s v="STORE153"/>
    <s v="MANAGER59"/>
    <s v="NEGATIVO"/>
    <d v="1900-01-07T04:59:00"/>
    <d v="1900-01-07T04:59:00"/>
    <m/>
    <s v="POSITION1"/>
    <x v="4"/>
    <s v="STORE153"/>
  </r>
  <r>
    <n v="232550"/>
    <s v="People454"/>
    <s v="department"/>
    <s v="REGION5"/>
    <s v="STORE158"/>
    <s v="MANAGER57"/>
    <s v="NEGATIVO"/>
    <d v="1899-12-30T21:50:00"/>
    <d v="1899-12-30T21:50:00"/>
    <m/>
    <s v="POSITION2"/>
    <x v="4"/>
    <s v="STORE158"/>
  </r>
  <r>
    <n v="223543"/>
    <s v="People455"/>
    <s v="department"/>
    <s v="REGION5"/>
    <s v="STORE159"/>
    <s v="MANAGER63"/>
    <s v="NEGATIVO"/>
    <d v="1900-01-05T08:00:00"/>
    <d v="1900-01-05T08:00:00"/>
    <m/>
    <s v="POSITION1"/>
    <x v="4"/>
    <s v="STORE159"/>
  </r>
  <r>
    <n v="232152"/>
    <s v="People456"/>
    <s v="department"/>
    <s v="REGION5"/>
    <s v="STORE149"/>
    <s v="MANAGER56"/>
    <s v="NEGATIVO"/>
    <d v="1900-01-07T10:35:00"/>
    <d v="1900-01-07T10:35:00"/>
    <m/>
    <s v="POSITION5"/>
    <x v="4"/>
    <s v="STORE149"/>
  </r>
  <r>
    <n v="230961"/>
    <s v="People457"/>
    <s v="department"/>
    <s v="REGION5"/>
    <s v="STORE160"/>
    <s v="MANAGER64"/>
    <s v="NEGATIVO"/>
    <d v="1900-01-02T00:20:00"/>
    <d v="1900-01-02T00:20:00"/>
    <m/>
    <s v="POSITION4"/>
    <x v="4"/>
    <s v="STORE160"/>
  </r>
  <r>
    <n v="234371"/>
    <s v="People458"/>
    <s v="department"/>
    <s v="REGION5"/>
    <s v="STORE161"/>
    <s v="MANAGER56"/>
    <s v="NEGATIVO"/>
    <d v="1899-12-31T03:58:00"/>
    <d v="1899-12-31T03:58:00"/>
    <m/>
    <s v="POSITION1"/>
    <x v="4"/>
    <s v="STORE161"/>
  </r>
  <r>
    <n v="229949"/>
    <s v="People459"/>
    <s v="department"/>
    <s v="REGION5"/>
    <s v="STORE153"/>
    <s v="MANAGER59"/>
    <s v="NEGATIVO"/>
    <d v="1900-01-07T22:13:00"/>
    <d v="1900-01-07T22:13:00"/>
    <m/>
    <s v="POSITION1"/>
    <x v="4"/>
    <s v="STORE153"/>
  </r>
  <r>
    <n v="236703"/>
    <s v="People460"/>
    <s v="department"/>
    <s v="REGION5"/>
    <s v="STORE162"/>
    <s v="MANAGER65"/>
    <s v="NEGATIVO"/>
    <d v="1899-12-30T03:02:00"/>
    <d v="1899-12-30T03:02:00"/>
    <m/>
    <s v="POSITION1"/>
    <x v="4"/>
    <s v="STORE162"/>
  </r>
  <r>
    <n v="234935"/>
    <s v="People461"/>
    <s v="department"/>
    <s v="REGION5"/>
    <s v="STORE163"/>
    <s v="MANAGER57"/>
    <s v="NEGATIVO"/>
    <d v="1899-12-30T04:24:00"/>
    <d v="1899-12-30T04:24:00"/>
    <m/>
    <s v="POSITION2"/>
    <x v="4"/>
    <s v="STORE163"/>
  </r>
  <r>
    <n v="237233"/>
    <s v="People462"/>
    <s v="department"/>
    <s v="REGION5"/>
    <s v="STORE149"/>
    <s v="MANAGER56"/>
    <s v="NEGATIVO"/>
    <d v="1899-12-31T20:11:00"/>
    <d v="1899-12-31T20:11:00"/>
    <m/>
    <s v="POSITION3"/>
    <x v="4"/>
    <s v="STORE149"/>
  </r>
  <r>
    <n v="231593"/>
    <s v="People463"/>
    <s v="department"/>
    <s v="REGION5"/>
    <s v="STORE164"/>
    <s v="MANAGER57"/>
    <s v="NEGATIVO"/>
    <d v="1899-12-30T23:22:00"/>
    <d v="1899-12-30T23:22:00"/>
    <m/>
    <s v="POSITION2"/>
    <x v="4"/>
    <s v="STORE164"/>
  </r>
  <r>
    <n v="237622"/>
    <s v="People464"/>
    <s v="department"/>
    <s v="REGION5"/>
    <s v="STORE165"/>
    <s v="MANAGER62"/>
    <s v="NEGATIVO"/>
    <d v="1899-12-30T15:29:00"/>
    <d v="1899-12-30T15:29:00"/>
    <m/>
    <s v="POSITION1"/>
    <x v="4"/>
    <s v="STORE165"/>
  </r>
  <r>
    <n v="236876"/>
    <s v="People465"/>
    <s v="department"/>
    <s v="REGION5"/>
    <s v="STORE166"/>
    <s v="MANAGER57"/>
    <s v="NEGATIVO"/>
    <d v="1900-01-05T16:02:00"/>
    <d v="1900-01-05T16:02:00"/>
    <m/>
    <s v="POSITION2"/>
    <x v="4"/>
    <s v="STORE166"/>
  </r>
  <r>
    <n v="233010"/>
    <s v="People466"/>
    <s v="department"/>
    <s v="REGION5"/>
    <s v="STORE167"/>
    <s v="MANAGER57"/>
    <s v="NEGATIVO"/>
    <d v="1899-12-30T08:03:00"/>
    <d v="1899-12-30T08:03:00"/>
    <m/>
    <s v="POSITION2"/>
    <x v="4"/>
    <s v="STORE167"/>
  </r>
  <r>
    <n v="224548"/>
    <s v="People467"/>
    <s v="department"/>
    <s v="REGION5"/>
    <s v="STORE168"/>
    <s v="MANAGER66"/>
    <s v="NEGATIVO"/>
    <d v="1900-01-01T01:36:00"/>
    <d v="1900-01-01T01:36:00"/>
    <m/>
    <s v="POSITION1"/>
    <x v="4"/>
    <s v="STORE168"/>
  </r>
  <r>
    <n v="221149"/>
    <s v="People468"/>
    <s v="department"/>
    <s v="REGION5"/>
    <s v="STORE169"/>
    <s v="MANAGER66"/>
    <s v="NEGATIVO"/>
    <d v="1900-01-09T16:33:00"/>
    <d v="1900-01-09T16:33:00"/>
    <m/>
    <s v="POSITION3"/>
    <x v="4"/>
    <s v="STORE169"/>
  </r>
  <r>
    <n v="231460"/>
    <s v="People469"/>
    <s v="department"/>
    <s v="REGION5"/>
    <s v="STORE170"/>
    <s v="MANAGER67"/>
    <s v="NEGATIVO"/>
    <d v="1899-12-30T02:35:00"/>
    <d v="1899-12-30T02:35:00"/>
    <m/>
    <s v="POSITION1"/>
    <x v="4"/>
    <s v="STORE170"/>
  </r>
  <r>
    <n v="202882"/>
    <s v="People470"/>
    <s v="department"/>
    <s v="REGION5"/>
    <s v="STORE171"/>
    <s v="MANAGER58"/>
    <s v="NEGATIVO"/>
    <d v="1900-01-07T16:48:00"/>
    <d v="1900-01-07T16:48:00"/>
    <m/>
    <s v="POSITION3"/>
    <x v="4"/>
    <s v="STORE171"/>
  </r>
  <r>
    <n v="223942"/>
    <s v="People471"/>
    <s v="department"/>
    <s v="REGION5"/>
    <s v="STORE153"/>
    <s v="MANAGER59"/>
    <s v="NEGATIVO"/>
    <d v="1900-01-04T02:52:00"/>
    <d v="1900-01-04T02:52:00"/>
    <m/>
    <s v="POSITION1"/>
    <x v="4"/>
    <s v="STORE153"/>
  </r>
  <r>
    <n v="236871"/>
    <s v="People472"/>
    <s v="department"/>
    <s v="REGION5"/>
    <s v="STORE172"/>
    <s v="MANAGER60"/>
    <s v="NEGATIVO"/>
    <d v="1900-01-03T20:39:00"/>
    <d v="1900-01-03T20:39:00"/>
    <m/>
    <s v="POSITION1"/>
    <x v="4"/>
    <s v="STORE172"/>
  </r>
  <r>
    <n v="236353"/>
    <s v="People473"/>
    <s v="department"/>
    <s v="REGION5"/>
    <s v="STORE173"/>
    <s v="MANAGER57"/>
    <s v="NEGATIVO"/>
    <d v="1899-12-31T03:32:00"/>
    <d v="1899-12-31T03:32:00"/>
    <m/>
    <s v="POSITION2"/>
    <x v="4"/>
    <s v="STORE173"/>
  </r>
  <r>
    <n v="223504"/>
    <s v="People474"/>
    <s v="department"/>
    <s v="REGION5"/>
    <s v="STORE174"/>
    <s v="MANAGER65"/>
    <s v="NEGATIVO"/>
    <d v="1900-01-25T06:58:00"/>
    <d v="1900-01-25T06:58:00"/>
    <m/>
    <s v="POSITION3"/>
    <x v="4"/>
    <s v="STORE174"/>
  </r>
  <r>
    <n v="229366"/>
    <s v="People475"/>
    <s v="department"/>
    <s v="REGION5"/>
    <s v="STORE168"/>
    <s v="MANAGER66"/>
    <s v="NEGATIVO"/>
    <d v="1900-01-01T06:09:00"/>
    <d v="1900-01-01T06:09:00"/>
    <m/>
    <s v="POSITION1"/>
    <x v="4"/>
    <s v="STORE168"/>
  </r>
  <r>
    <n v="230069"/>
    <s v="People476"/>
    <s v="department"/>
    <s v="REGION5"/>
    <s v="STORE175"/>
    <s v="MANAGER57"/>
    <s v="NEGATIVO"/>
    <d v="1899-12-30T02:55:00"/>
    <d v="1899-12-30T02:55:00"/>
    <m/>
    <s v="POSITION2"/>
    <x v="4"/>
    <s v="STORE175"/>
  </r>
  <r>
    <n v="218702"/>
    <s v="People477"/>
    <s v="department"/>
    <s v="REGION5"/>
    <s v="STORE169"/>
    <s v="MANAGER66"/>
    <s v="NEGATIVO"/>
    <d v="1900-01-08T19:36:00"/>
    <d v="1900-01-08T19:36:00"/>
    <m/>
    <s v="POSITION3"/>
    <x v="4"/>
    <s v="STORE169"/>
  </r>
  <r>
    <n v="233524"/>
    <s v="People478"/>
    <s v="department"/>
    <s v="REGION5"/>
    <s v="STORE159"/>
    <s v="MANAGER63"/>
    <s v="NEGATIVO"/>
    <d v="1900-01-07T01:39:00"/>
    <d v="1900-01-07T01:39:00"/>
    <m/>
    <s v="POSITION1"/>
    <x v="4"/>
    <s v="STORE159"/>
  </r>
  <r>
    <n v="224472"/>
    <s v="People479"/>
    <s v="department"/>
    <s v="REGION5"/>
    <s v="STORE153"/>
    <s v="MANAGER59"/>
    <s v="NEGATIVO"/>
    <d v="1900-01-12T23:11:00"/>
    <d v="1900-01-12T23:11:00"/>
    <m/>
    <s v="POSITION1"/>
    <x v="4"/>
    <s v="STORE153"/>
  </r>
  <r>
    <n v="225521"/>
    <s v="People480"/>
    <s v="department"/>
    <s v="REGION5"/>
    <s v="STORE153"/>
    <s v="MANAGER59"/>
    <s v="NEGATIVO"/>
    <d v="1900-01-15T22:13:00"/>
    <d v="1900-01-15T22:13:00"/>
    <m/>
    <s v="POSITION1"/>
    <x v="4"/>
    <s v="STORE153"/>
  </r>
  <r>
    <n v="225904"/>
    <s v="People481"/>
    <s v="department"/>
    <s v="REGION5"/>
    <s v="STORE171"/>
    <s v="MANAGER58"/>
    <s v="NEGATIVO"/>
    <d v="1900-01-07T22:02:00"/>
    <d v="1900-01-07T22:02:00"/>
    <m/>
    <s v="POSITION4"/>
    <x v="4"/>
    <s v="STORE171"/>
  </r>
  <r>
    <n v="202375"/>
    <s v="People482"/>
    <s v="department"/>
    <s v="REGION5"/>
    <s v="STORE176"/>
    <s v="MANAGER59"/>
    <s v="NEGATIVO"/>
    <d v="1899-12-30T03:56:00"/>
    <d v="1899-12-30T03:56:00"/>
    <m/>
    <s v="POSITION4"/>
    <x v="4"/>
    <s v="STORE176"/>
  </r>
  <r>
    <n v="218514"/>
    <s v="People483"/>
    <s v="department"/>
    <s v="REGION5"/>
    <s v="STORE149"/>
    <s v="MANAGER56"/>
    <s v="NEGATIVO"/>
    <d v="1899-12-30T05:30:00"/>
    <d v="1899-12-30T05:30:00"/>
    <m/>
    <s v="POSITION4"/>
    <x v="4"/>
    <s v="STORE149"/>
  </r>
  <r>
    <n v="201900"/>
    <s v="People484"/>
    <s v="department"/>
    <s v="REGION5"/>
    <s v="STORE177"/>
    <s v="MANAGER68"/>
    <s v="NEGATIVO"/>
    <d v="1900-01-02T20:21:00"/>
    <d v="1900-01-02T20:21:00"/>
    <m/>
    <s v="POSITION4"/>
    <x v="4"/>
    <s v="STORE177"/>
  </r>
  <r>
    <n v="201783"/>
    <s v="People485"/>
    <s v="department"/>
    <s v="REGION5"/>
    <s v="STORE157"/>
    <s v="MANAGER62"/>
    <s v="NEGATIVO"/>
    <d v="1900-01-04T01:59:00"/>
    <d v="1900-01-04T01:59:00"/>
    <m/>
    <s v="POSITION4"/>
    <x v="4"/>
    <s v="STORE157"/>
  </r>
  <r>
    <n v="233411"/>
    <s v="People486"/>
    <s v="department"/>
    <s v="REGION5"/>
    <s v="STORE178"/>
    <s v="MANAGER69"/>
    <s v="NEGATIVO"/>
    <d v="1900-01-03T16:03:00"/>
    <d v="1900-01-03T16:03:00"/>
    <m/>
    <s v="POSITION1"/>
    <x v="4"/>
    <s v="STORE178"/>
  </r>
  <r>
    <n v="235496"/>
    <s v="People487"/>
    <s v="department"/>
    <s v="REGION5"/>
    <s v="STORE165"/>
    <s v="MANAGER62"/>
    <s v="NEGATIVO"/>
    <d v="1899-12-31T12:27:00"/>
    <d v="1899-12-31T12:27:00"/>
    <m/>
    <s v="POSITION1"/>
    <x v="4"/>
    <s v="STORE165"/>
  </r>
  <r>
    <n v="224785"/>
    <s v="People488"/>
    <s v="department"/>
    <s v="REGION5"/>
    <s v="STORE152"/>
    <s v="MANAGER58"/>
    <s v="NEGATIVO"/>
    <d v="1900-01-05T19:46:00"/>
    <d v="1900-01-05T19:46:00"/>
    <m/>
    <s v="POSITION1"/>
    <x v="4"/>
    <s v="STORE152"/>
  </r>
  <r>
    <n v="203327"/>
    <s v="People489"/>
    <s v="department"/>
    <s v="REGION5"/>
    <s v="STORE171"/>
    <s v="MANAGER58"/>
    <s v="NEGATIVO"/>
    <d v="1900-01-05T20:45:00"/>
    <d v="1900-01-05T20:45:00"/>
    <m/>
    <s v="POSITION5"/>
    <x v="4"/>
    <s v="STORE171"/>
  </r>
  <r>
    <n v="236969"/>
    <s v="People490"/>
    <s v="department"/>
    <s v="REGION5"/>
    <s v="STORE179"/>
    <s v="MANAGER70"/>
    <s v="NEGATIVO"/>
    <d v="1899-12-30T11:08:00"/>
    <d v="1899-12-30T11:08:00"/>
    <m/>
    <s v="POSITION1"/>
    <x v="4"/>
    <s v="STORE179"/>
  </r>
  <r>
    <n v="218483"/>
    <s v="People491"/>
    <s v="department"/>
    <s v="REGION5"/>
    <s v="STORE160"/>
    <s v="MANAGER64"/>
    <s v="NEGATIVO"/>
    <d v="1899-12-30T04:48:00"/>
    <d v="1899-12-30T04:48:00"/>
    <m/>
    <s v="POSITION3"/>
    <x v="4"/>
    <s v="STORE160"/>
  </r>
  <r>
    <n v="234647"/>
    <s v="People492"/>
    <s v="department"/>
    <s v="REGION5"/>
    <s v="STORE161"/>
    <s v="MANAGER56"/>
    <s v="NEGATIVO"/>
    <d v="1899-12-30T07:08:00"/>
    <d v="1899-12-30T07:08:00"/>
    <m/>
    <s v="POSITION1"/>
    <x v="4"/>
    <s v="STORE161"/>
  </r>
  <r>
    <n v="236859"/>
    <s v="People493"/>
    <s v="department"/>
    <s v="REGION5"/>
    <s v="STORE172"/>
    <s v="MANAGER60"/>
    <s v="NEGATIVO"/>
    <d v="1900-01-04T12:00:00"/>
    <d v="1900-01-04T12:00:00"/>
    <m/>
    <s v="POSITION1"/>
    <x v="4"/>
    <s v="STORE172"/>
  </r>
  <r>
    <n v="202364"/>
    <s v="People494"/>
    <s v="department"/>
    <s v="REGION5"/>
    <s v="STORE176"/>
    <s v="MANAGER59"/>
    <s v="NEGATIVO"/>
    <d v="1900-01-10T12:56:00"/>
    <d v="1900-01-10T12:56:00"/>
    <m/>
    <s v="POSITION3"/>
    <x v="4"/>
    <s v="STORE176"/>
  </r>
  <r>
    <n v="232512"/>
    <s v="People495"/>
    <s v="department"/>
    <s v="REGION5"/>
    <s v="STORE162"/>
    <s v="MANAGER65"/>
    <s v="NEGATIVO"/>
    <d v="1900-01-10T22:18:00"/>
    <d v="1900-01-10T22:18:00"/>
    <m/>
    <s v="POSITION1"/>
    <x v="4"/>
    <s v="STORE162"/>
  </r>
  <r>
    <n v="231051"/>
    <s v="People496"/>
    <s v="department"/>
    <s v="REGION5"/>
    <s v="STORE165"/>
    <s v="MANAGER62"/>
    <s v="NEGATIVO"/>
    <d v="1899-12-31T04:34:00"/>
    <d v="1899-12-31T04:34:00"/>
    <m/>
    <s v="POSITION1"/>
    <x v="4"/>
    <s v="STORE165"/>
  </r>
  <r>
    <n v="230145"/>
    <s v="People497"/>
    <s v="department"/>
    <s v="REGION5"/>
    <s v="STORE171"/>
    <s v="MANAGER58"/>
    <s v="NEGATIVO"/>
    <d v="1900-01-14T15:21:00"/>
    <d v="1900-01-14T15:21:00"/>
    <m/>
    <s v="POSITION3"/>
    <x v="4"/>
    <s v="STORE171"/>
  </r>
  <r>
    <n v="219230"/>
    <s v="People498"/>
    <s v="department"/>
    <s v="REGION5"/>
    <s v="STORE157"/>
    <s v="MANAGER62"/>
    <s v="NEGATIVO"/>
    <d v="1900-01-08T11:39:00"/>
    <d v="1900-01-08T11:39:00"/>
    <m/>
    <s v="POSITION3"/>
    <x v="4"/>
    <s v="STORE157"/>
  </r>
  <r>
    <n v="214218"/>
    <s v="People499"/>
    <s v="department"/>
    <s v="REGION5"/>
    <s v="STORE174"/>
    <s v="MANAGER65"/>
    <s v="NEGATIVO"/>
    <d v="1899-12-31T06:14:00"/>
    <d v="1899-12-31T06:14:00"/>
    <m/>
    <s v="POSITION4"/>
    <x v="4"/>
    <s v="STORE174"/>
  </r>
  <r>
    <n v="201691"/>
    <s v="People500"/>
    <s v="department"/>
    <s v="REGION5"/>
    <s v="STORE152"/>
    <s v="MANAGER58"/>
    <s v="NEGATIVO"/>
    <d v="1900-01-01T00:00:00"/>
    <d v="1900-01-01T00:00:00"/>
    <m/>
    <s v="POSITION1"/>
    <x v="4"/>
    <s v="STORE152"/>
  </r>
  <r>
    <n v="224001"/>
    <s v="People501"/>
    <s v="department"/>
    <s v="REGION5"/>
    <s v="STORE161"/>
    <s v="MANAGER56"/>
    <s v="NEGATIVO"/>
    <d v="1900-01-01T17:35:00"/>
    <d v="1900-01-01T17:35:00"/>
    <m/>
    <s v="POSITION1"/>
    <x v="4"/>
    <s v="STORE161"/>
  </r>
  <r>
    <n v="217977"/>
    <s v="People502"/>
    <s v="department"/>
    <s v="REGION5"/>
    <s v="STORE176"/>
    <s v="MANAGER59"/>
    <s v="NEGATIVO"/>
    <d v="1900-01-17T21:47:00"/>
    <d v="1900-01-17T21:47:00"/>
    <m/>
    <s v="POSITION3"/>
    <x v="4"/>
    <s v="STORE176"/>
  </r>
  <r>
    <n v="234952"/>
    <s v="People503"/>
    <s v="department"/>
    <s v="REGION5"/>
    <s v="STORE180"/>
    <s v="MANAGER70"/>
    <s v="NEGATIVO"/>
    <d v="1899-12-30T21:30:00"/>
    <d v="1899-12-30T21:30:00"/>
    <m/>
    <s v="POSITION4"/>
    <x v="4"/>
    <s v="STORE180"/>
  </r>
  <r>
    <n v="233014"/>
    <s v="People504"/>
    <s v="department"/>
    <s v="REGION5"/>
    <s v="STORE181"/>
    <s v="MANAGER57"/>
    <s v="NEGATIVO"/>
    <d v="1899-12-31T01:08:00"/>
    <d v="1899-12-31T01:08:00"/>
    <m/>
    <s v="POSITION2"/>
    <x v="4"/>
    <s v="STORE181"/>
  </r>
  <r>
    <n v="236044"/>
    <s v="People505"/>
    <s v="department"/>
    <s v="REGION5"/>
    <s v="STORE182"/>
    <s v="MANAGER69"/>
    <s v="NEGATIVO"/>
    <d v="1899-12-31T13:45:00"/>
    <d v="1899-12-31T13:45:00"/>
    <m/>
    <s v="POSITION4"/>
    <x v="4"/>
    <s v="STORE182"/>
  </r>
  <r>
    <n v="234648"/>
    <s v="People506"/>
    <s v="department"/>
    <s v="REGION5"/>
    <s v="STORE162"/>
    <s v="MANAGER65"/>
    <s v="NEGATIVO"/>
    <d v="1900-01-07T10:35:00"/>
    <d v="1900-01-07T10:35:00"/>
    <m/>
    <s v="POSITION1"/>
    <x v="4"/>
    <s v="STORE162"/>
  </r>
  <r>
    <n v="202699"/>
    <s v="People507"/>
    <s v="department"/>
    <s v="REGION5"/>
    <s v="STORE159"/>
    <s v="MANAGER63"/>
    <s v="NEGATIVO"/>
    <d v="1900-01-06T22:24:00"/>
    <d v="1900-01-06T22:24:00"/>
    <m/>
    <s v="POSITION1"/>
    <x v="4"/>
    <s v="STORE159"/>
  </r>
  <r>
    <n v="236530"/>
    <s v="People508"/>
    <s v="department"/>
    <s v="REGION5"/>
    <s v="STORE182"/>
    <s v="MANAGER69"/>
    <s v="NEGATIVO"/>
    <d v="1900-01-06T00:25:00"/>
    <d v="1900-01-06T00:25:00"/>
    <m/>
    <s v="POSITION3"/>
    <x v="4"/>
    <s v="STORE182"/>
  </r>
  <r>
    <n v="230067"/>
    <s v="People509"/>
    <s v="department"/>
    <s v="REGION5"/>
    <s v="STORE183"/>
    <s v="MANAGER61"/>
    <s v="NEGATIVO"/>
    <d v="1899-12-30T18:15:00"/>
    <d v="1899-12-30T18:15:00"/>
    <m/>
    <s v="POSITION1"/>
    <x v="4"/>
    <s v="STORE183"/>
  </r>
  <r>
    <n v="201872"/>
    <s v="People510"/>
    <s v="department"/>
    <s v="REGION5"/>
    <s v="STORE177"/>
    <s v="MANAGER68"/>
    <s v="NEGATIVO"/>
    <d v="1899-12-30T05:59:00"/>
    <d v="1899-12-30T05:59:00"/>
    <m/>
    <s v="POSITION3"/>
    <x v="4"/>
    <s v="STORE177"/>
  </r>
  <r>
    <n v="234788"/>
    <s v="People511"/>
    <s v="department"/>
    <s v="REGION5"/>
    <s v="STORE179"/>
    <s v="MANAGER70"/>
    <s v="NEGATIVO"/>
    <d v="1900-01-01T15:05:00"/>
    <d v="1900-01-01T15:05:00"/>
    <m/>
    <s v="POSITION1"/>
    <x v="4"/>
    <s v="STORE179"/>
  </r>
  <r>
    <n v="235727"/>
    <s v="People512"/>
    <s v="department"/>
    <s v="REGION5"/>
    <s v="STORE148"/>
    <s v="MANAGER55"/>
    <s v="NEGATIVO"/>
    <d v="1899-12-30T10:00:00"/>
    <d v="1899-12-30T10:00:00"/>
    <m/>
    <s v="POSITION3"/>
    <x v="4"/>
    <s v="STORE148"/>
  </r>
  <r>
    <n v="230740"/>
    <s v="People513"/>
    <s v="department"/>
    <s v="REGION5"/>
    <s v="STORE178"/>
    <s v="MANAGER69"/>
    <s v="POSITIVO"/>
    <d v="1900-01-08T22:07:00"/>
    <m/>
    <d v="1900-01-08T22:07:00"/>
    <s v="POSITION1"/>
    <x v="4"/>
    <s v="STORE178"/>
  </r>
  <r>
    <n v="234673"/>
    <s v="People514"/>
    <s v="department"/>
    <s v="REGION5"/>
    <s v="STORE178"/>
    <s v="MANAGER69"/>
    <s v="POSITIVO"/>
    <d v="1900-01-03T22:24:00"/>
    <m/>
    <d v="1900-01-03T22:24:00"/>
    <s v="POSITION1"/>
    <x v="4"/>
    <s v="STORE178"/>
  </r>
  <r>
    <n v="235056"/>
    <s v="People515"/>
    <s v="department"/>
    <s v="REGION5"/>
    <s v="STORE178"/>
    <s v="MANAGER69"/>
    <s v="POSITIVO"/>
    <d v="1900-01-02T03:18:00"/>
    <m/>
    <d v="1900-01-02T03:18:00"/>
    <s v="POSITION1"/>
    <x v="4"/>
    <s v="STORE178"/>
  </r>
  <r>
    <n v="231296"/>
    <s v="People516"/>
    <s v="department"/>
    <s v="REGION5"/>
    <s v="STORE178"/>
    <s v="MANAGER69"/>
    <s v="POSITIVO"/>
    <d v="1900-01-02T02:29:00"/>
    <m/>
    <d v="1900-01-02T02:29:00"/>
    <s v="POSITION1"/>
    <x v="4"/>
    <s v="STORE178"/>
  </r>
  <r>
    <n v="231560"/>
    <s v="People517"/>
    <s v="department"/>
    <s v="REGION5"/>
    <s v="STORE183"/>
    <s v="MANAGER61"/>
    <s v="POSITIVO"/>
    <d v="1900-01-01T04:15:00"/>
    <m/>
    <d v="1900-01-01T04:15:00"/>
    <s v="POSITION1"/>
    <x v="4"/>
    <s v="STORE183"/>
  </r>
  <r>
    <n v="233350"/>
    <s v="People518"/>
    <s v="department"/>
    <s v="REGION5"/>
    <s v="STORE161"/>
    <s v="MANAGER56"/>
    <s v="POSITIVO"/>
    <d v="1900-01-01T03:18:00"/>
    <m/>
    <d v="1900-01-01T03:18:00"/>
    <s v="POSITION1"/>
    <x v="4"/>
    <s v="STORE161"/>
  </r>
  <r>
    <n v="237275"/>
    <s v="People519"/>
    <s v="department"/>
    <s v="REGION5"/>
    <s v="STORE172"/>
    <s v="MANAGER60"/>
    <s v="POSITIVO"/>
    <d v="1899-12-31T23:52:00"/>
    <m/>
    <d v="1899-12-31T23:52:00"/>
    <s v="POSITION1"/>
    <x v="4"/>
    <s v="STORE172"/>
  </r>
  <r>
    <n v="225288"/>
    <s v="People520"/>
    <s v="department"/>
    <s v="REGION5"/>
    <s v="STORE184"/>
    <s v="MANAGER64"/>
    <s v="POSITIVO"/>
    <d v="1899-12-31T17:18:00"/>
    <m/>
    <d v="1899-12-31T17:18:00"/>
    <s v="POSITION1"/>
    <x v="4"/>
    <s v="STORE184"/>
  </r>
  <r>
    <n v="225152"/>
    <s v="People521"/>
    <s v="department"/>
    <s v="REGION5"/>
    <s v="STORE183"/>
    <s v="MANAGER61"/>
    <s v="POSITIVO"/>
    <d v="1899-12-31T15:27:00"/>
    <m/>
    <d v="1899-12-31T15:27:00"/>
    <s v="POSITION1"/>
    <x v="4"/>
    <s v="STORE183"/>
  </r>
  <r>
    <n v="235468"/>
    <s v="People522"/>
    <s v="department"/>
    <s v="REGION5"/>
    <s v="STORE155"/>
    <s v="MANAGER61"/>
    <s v="POSITIVO"/>
    <d v="1899-12-31T15:24:00"/>
    <m/>
    <d v="1899-12-31T15:24:00"/>
    <s v="POSITION3"/>
    <x v="4"/>
    <s v="STORE155"/>
  </r>
  <r>
    <n v="230476"/>
    <s v="People523"/>
    <s v="department"/>
    <s v="REGION5"/>
    <s v="STORE185"/>
    <s v="MANAGER68"/>
    <s v="POSITIVO"/>
    <d v="1899-12-31T12:45:00"/>
    <m/>
    <d v="1899-12-31T12:45:00"/>
    <s v="POSITION1"/>
    <x v="4"/>
    <s v="STORE185"/>
  </r>
  <r>
    <n v="232914"/>
    <s v="People524"/>
    <s v="department"/>
    <s v="REGION5"/>
    <s v="STORE152"/>
    <s v="MANAGER58"/>
    <s v="POSITIVO"/>
    <d v="1899-12-31T12:36:00"/>
    <m/>
    <d v="1899-12-31T12:36:00"/>
    <s v="POSITION1"/>
    <x v="4"/>
    <s v="STORE152"/>
  </r>
  <r>
    <n v="235578"/>
    <s v="People525"/>
    <s v="department"/>
    <s v="REGION5"/>
    <s v="STORE156"/>
    <s v="MANAGER55"/>
    <s v="POSITIVO"/>
    <d v="1899-12-31T10:54:00"/>
    <m/>
    <d v="1899-12-31T10:54:00"/>
    <s v="POSITION1"/>
    <x v="4"/>
    <s v="STORE156"/>
  </r>
  <r>
    <n v="203475"/>
    <s v="People526"/>
    <s v="department"/>
    <s v="REGION5"/>
    <s v="STORE184"/>
    <s v="MANAGER64"/>
    <s v="POSITIVO"/>
    <d v="1899-12-31T10:53:00"/>
    <m/>
    <d v="1899-12-31T10:53:00"/>
    <s v="POSITION1"/>
    <x v="4"/>
    <s v="STORE184"/>
  </r>
  <r>
    <n v="237509"/>
    <s v="People527"/>
    <s v="department"/>
    <s v="REGION5"/>
    <s v="STORE172"/>
    <s v="MANAGER60"/>
    <s v="POSITIVO"/>
    <d v="1899-12-31T10:36:00"/>
    <m/>
    <d v="1899-12-31T10:36:00"/>
    <s v="POSITION1"/>
    <x v="4"/>
    <s v="STORE172"/>
  </r>
  <r>
    <n v="237668"/>
    <s v="People528"/>
    <s v="department"/>
    <s v="REGION5"/>
    <s v="STORE161"/>
    <s v="MANAGER56"/>
    <s v="POSITIVO"/>
    <d v="1899-12-31T10:01:00"/>
    <m/>
    <d v="1899-12-31T10:01:00"/>
    <s v="POSITION1"/>
    <x v="4"/>
    <s v="STORE161"/>
  </r>
  <r>
    <n v="231648"/>
    <s v="People529"/>
    <s v="department"/>
    <s v="REGION5"/>
    <s v="STORE184"/>
    <s v="MANAGER64"/>
    <s v="POSITIVO"/>
    <d v="1899-12-31T08:43:00"/>
    <m/>
    <d v="1899-12-31T08:43:00"/>
    <s v="POSITION1"/>
    <x v="4"/>
    <s v="STORE184"/>
  </r>
  <r>
    <n v="232259"/>
    <s v="People530"/>
    <s v="department"/>
    <s v="REGION5"/>
    <s v="STORE162"/>
    <s v="MANAGER65"/>
    <s v="POSITIVO"/>
    <d v="1899-12-31T08:07:00"/>
    <m/>
    <d v="1899-12-31T08:07:00"/>
    <s v="POSITION1"/>
    <x v="4"/>
    <s v="STORE162"/>
  </r>
  <r>
    <n v="237621"/>
    <s v="People531"/>
    <s v="department"/>
    <s v="REGION5"/>
    <s v="STORE152"/>
    <s v="MANAGER58"/>
    <s v="POSITIVO"/>
    <d v="1899-12-31T07:04:00"/>
    <m/>
    <d v="1899-12-31T07:04:00"/>
    <s v="POSITION1"/>
    <x v="4"/>
    <s v="STORE152"/>
  </r>
  <r>
    <n v="232542"/>
    <s v="People532"/>
    <s v="department"/>
    <s v="REGION5"/>
    <s v="STORE183"/>
    <s v="MANAGER61"/>
    <s v="POSITIVO"/>
    <d v="1899-12-31T06:55:00"/>
    <m/>
    <d v="1899-12-31T06:55:00"/>
    <s v="POSITION1"/>
    <x v="4"/>
    <s v="STORE183"/>
  </r>
  <r>
    <n v="238048"/>
    <s v="People533"/>
    <s v="department"/>
    <s v="REGION5"/>
    <s v="STORE184"/>
    <s v="MANAGER64"/>
    <s v="POSITIVO"/>
    <d v="1899-12-31T06:52:00"/>
    <m/>
    <d v="1899-12-31T06:52:00"/>
    <s v="POSITION1"/>
    <x v="4"/>
    <s v="STORE184"/>
  </r>
  <r>
    <n v="234417"/>
    <s v="People534"/>
    <s v="department"/>
    <s v="REGION5"/>
    <s v="STORE183"/>
    <s v="MANAGER61"/>
    <s v="POSITIVO"/>
    <d v="1899-12-31T05:28:00"/>
    <m/>
    <d v="1899-12-31T05:28:00"/>
    <s v="POSITION1"/>
    <x v="4"/>
    <s v="STORE183"/>
  </r>
  <r>
    <n v="236257"/>
    <s v="People535"/>
    <s v="department"/>
    <s v="REGION5"/>
    <s v="STORE168"/>
    <s v="MANAGER66"/>
    <s v="POSITIVO"/>
    <d v="1899-12-31T05:24:00"/>
    <m/>
    <d v="1899-12-31T05:24:00"/>
    <s v="POSITION1"/>
    <x v="4"/>
    <s v="STORE168"/>
  </r>
  <r>
    <n v="233786"/>
    <s v="People536"/>
    <s v="department"/>
    <s v="REGION5"/>
    <s v="STORE161"/>
    <s v="MANAGER56"/>
    <s v="POSITIVO"/>
    <d v="1899-12-31T00:35:00"/>
    <m/>
    <d v="1899-12-31T00:35:00"/>
    <s v="POSITION1"/>
    <x v="4"/>
    <s v="STORE161"/>
  </r>
  <r>
    <n v="225329"/>
    <s v="People537"/>
    <s v="department"/>
    <s v="REGION5"/>
    <s v="STORE186"/>
    <s v="MANAGER57"/>
    <s v="POSITIVO"/>
    <d v="1899-12-31T00:33:00"/>
    <m/>
    <d v="1899-12-31T00:33:00"/>
    <s v="POSITION2"/>
    <x v="4"/>
    <s v="STORE186"/>
  </r>
  <r>
    <n v="229397"/>
    <s v="People538"/>
    <s v="department"/>
    <s v="REGION5"/>
    <s v="STORE187"/>
    <s v="MANAGER57"/>
    <s v="POSITIVO"/>
    <d v="1899-12-30T23:56:00"/>
    <m/>
    <d v="1899-12-30T23:56:00"/>
    <s v="POSITION9"/>
    <x v="4"/>
    <s v="STORE187"/>
  </r>
  <r>
    <n v="237319"/>
    <s v="People539"/>
    <s v="department"/>
    <s v="REGION5"/>
    <s v="STORE172"/>
    <s v="MANAGER60"/>
    <s v="POSITIVO"/>
    <d v="1899-12-30T22:50:00"/>
    <m/>
    <d v="1899-12-30T22:50:00"/>
    <s v="POSITION1"/>
    <x v="4"/>
    <s v="STORE172"/>
  </r>
  <r>
    <n v="201712"/>
    <s v="People540"/>
    <s v="department"/>
    <s v="REGION5"/>
    <s v="STORE185"/>
    <s v="MANAGER68"/>
    <s v="POSITIVO"/>
    <d v="1899-12-30T22:48:00"/>
    <m/>
    <d v="1899-12-30T22:48:00"/>
    <s v="POSITION1"/>
    <x v="4"/>
    <s v="STORE185"/>
  </r>
  <r>
    <n v="235967"/>
    <s v="People541"/>
    <s v="department"/>
    <s v="REGION5"/>
    <s v="STORE188"/>
    <s v="MANAGER57"/>
    <s v="POSITIVO"/>
    <d v="1899-12-30T18:31:00"/>
    <m/>
    <d v="1899-12-30T18:31:00"/>
    <s v="POSITION2"/>
    <x v="4"/>
    <s v="STORE188"/>
  </r>
  <r>
    <n v="237801"/>
    <s v="People542"/>
    <s v="department"/>
    <s v="REGION5"/>
    <s v="STORE154"/>
    <s v="MANAGER60"/>
    <s v="POSITIVO"/>
    <d v="1899-12-30T18:28:00"/>
    <m/>
    <d v="1899-12-30T18:28:00"/>
    <s v="POSITION3"/>
    <x v="4"/>
    <s v="STORE154"/>
  </r>
  <r>
    <n v="231359"/>
    <s v="People543"/>
    <s v="department"/>
    <s v="REGION5"/>
    <s v="STORE189"/>
    <s v="MANAGER57"/>
    <s v="POSITIVO"/>
    <d v="1899-12-30T17:36:00"/>
    <m/>
    <d v="1899-12-30T17:36:00"/>
    <s v="POSITION2"/>
    <x v="4"/>
    <s v="STORE189"/>
  </r>
  <r>
    <n v="237418"/>
    <s v="People544"/>
    <s v="department"/>
    <s v="REGION5"/>
    <s v="STORE153"/>
    <s v="MANAGER59"/>
    <s v="POSITIVO"/>
    <d v="1899-12-30T16:48:00"/>
    <m/>
    <d v="1899-12-30T16:48:00"/>
    <s v="POSITION1"/>
    <x v="4"/>
    <s v="STORE153"/>
  </r>
  <r>
    <n v="230462"/>
    <s v="People545"/>
    <s v="department"/>
    <s v="REGION5"/>
    <s v="STORE185"/>
    <s v="MANAGER68"/>
    <s v="POSITIVO"/>
    <d v="1899-12-30T14:18:00"/>
    <m/>
    <d v="1899-12-30T14:18:00"/>
    <s v="POSITION1"/>
    <x v="4"/>
    <s v="STORE185"/>
  </r>
  <r>
    <n v="235459"/>
    <s v="People546"/>
    <s v="department"/>
    <s v="REGION5"/>
    <s v="STORE185"/>
    <s v="MANAGER68"/>
    <s v="POSITIVO"/>
    <d v="1899-12-30T13:40:00"/>
    <m/>
    <d v="1899-12-30T13:40:00"/>
    <s v="POSITION1"/>
    <x v="4"/>
    <s v="STORE185"/>
  </r>
  <r>
    <n v="201469"/>
    <s v="People547"/>
    <s v="department"/>
    <s v="REGION5"/>
    <s v="STORE177"/>
    <s v="MANAGER68"/>
    <s v="POSITIVO"/>
    <d v="1899-12-30T11:15:00"/>
    <m/>
    <d v="1899-12-30T11:15:00"/>
    <s v="POSITION3"/>
    <x v="4"/>
    <s v="STORE177"/>
  </r>
  <r>
    <n v="237829"/>
    <s v="People548"/>
    <s v="department"/>
    <s v="REGION5"/>
    <s v="STORE168"/>
    <s v="MANAGER66"/>
    <s v="POSITIVO"/>
    <d v="1899-12-30T09:34:00"/>
    <m/>
    <d v="1899-12-30T09:34:00"/>
    <s v="POSITION1"/>
    <x v="4"/>
    <s v="STORE168"/>
  </r>
  <r>
    <n v="237162"/>
    <s v="People549"/>
    <s v="department"/>
    <s v="REGION5"/>
    <s v="STORE180"/>
    <s v="MANAGER70"/>
    <s v="POSITIVO"/>
    <d v="1899-12-30T09:25:00"/>
    <m/>
    <d v="1899-12-30T09:25:00"/>
    <s v="POSITION3"/>
    <x v="4"/>
    <s v="STORE180"/>
  </r>
  <r>
    <n v="231459"/>
    <s v="People550"/>
    <s v="department"/>
    <s v="REGION5"/>
    <s v="STORE170"/>
    <s v="MANAGER67"/>
    <s v="POSITIVO"/>
    <d v="1899-12-30T08:53:00"/>
    <m/>
    <d v="1899-12-30T08:53:00"/>
    <s v="POSITION1"/>
    <x v="4"/>
    <s v="STORE170"/>
  </r>
  <r>
    <n v="217827"/>
    <s v="People551"/>
    <s v="department"/>
    <s v="REGION5"/>
    <s v="STORE169"/>
    <s v="MANAGER66"/>
    <s v="POSITIVO"/>
    <d v="1899-12-30T07:58:00"/>
    <m/>
    <d v="1899-12-30T07:58:00"/>
    <s v="POSITION4"/>
    <x v="4"/>
    <s v="STORE169"/>
  </r>
  <r>
    <n v="233121"/>
    <s v="People552"/>
    <s v="department"/>
    <s v="REGION5"/>
    <s v="STORE168"/>
    <s v="MANAGER66"/>
    <s v="POSITIVO"/>
    <d v="1899-12-30T07:31:00"/>
    <m/>
    <d v="1899-12-30T07:31:00"/>
    <s v="POSITION1"/>
    <x v="4"/>
    <s v="STORE168"/>
  </r>
  <r>
    <n v="233977"/>
    <s v="People553"/>
    <s v="department"/>
    <s v="REGION5"/>
    <s v="STORE165"/>
    <s v="MANAGER62"/>
    <s v="POSITIVO"/>
    <d v="1899-12-30T06:32:00"/>
    <m/>
    <d v="1899-12-30T06:32:00"/>
    <s v="POSITION1"/>
    <x v="4"/>
    <s v="STORE165"/>
  </r>
  <r>
    <n v="219368"/>
    <s v="People554"/>
    <s v="department"/>
    <s v="REGION5"/>
    <s v="STORE190"/>
    <s v="MANAGER57"/>
    <s v="POSITIVO"/>
    <d v="1899-12-30T05:05:00"/>
    <m/>
    <d v="1899-12-30T05:05:00"/>
    <s v="POSITION7"/>
    <x v="4"/>
    <s v="STORE190"/>
  </r>
  <r>
    <n v="235215"/>
    <s v="People555"/>
    <s v="department"/>
    <s v="REGION5"/>
    <s v="STORE170"/>
    <s v="MANAGER67"/>
    <s v="POSITIVO"/>
    <d v="1899-12-30T05:01:00"/>
    <m/>
    <d v="1899-12-30T05:01:00"/>
    <s v="POSITION1"/>
    <x v="4"/>
    <s v="STORE170"/>
  </r>
  <r>
    <n v="235232"/>
    <s v="People556"/>
    <s v="department"/>
    <s v="REGION5"/>
    <s v="STORE161"/>
    <s v="MANAGER56"/>
    <s v="POSITIVO"/>
    <d v="1899-12-30T03:10:00"/>
    <m/>
    <d v="1899-12-30T03:10:00"/>
    <s v="POSITION1"/>
    <x v="4"/>
    <s v="STORE161"/>
  </r>
  <r>
    <n v="235951"/>
    <s v="People557"/>
    <s v="department"/>
    <s v="REGION5"/>
    <s v="STORE170"/>
    <s v="MANAGER67"/>
    <s v="POSITIVO"/>
    <d v="1899-12-30T02:50:00"/>
    <m/>
    <d v="1899-12-30T02:50:00"/>
    <s v="POSITION1"/>
    <x v="4"/>
    <s v="STORE170"/>
  </r>
  <r>
    <n v="231554"/>
    <s v="People558"/>
    <s v="department"/>
    <s v="REGION5"/>
    <s v="STORE185"/>
    <s v="MANAGER68"/>
    <s v="POSITIVO"/>
    <d v="1899-12-30T02:16:00"/>
    <m/>
    <d v="1899-12-30T02:16:00"/>
    <s v="POSITION1"/>
    <x v="4"/>
    <s v="STORE185"/>
  </r>
  <r>
    <n v="231492"/>
    <s v="People559"/>
    <s v="department"/>
    <s v="REGION5"/>
    <s v="STORE191"/>
    <s v="MANAGER67"/>
    <s v="POSITIVO"/>
    <d v="1899-12-30T02:00:00"/>
    <m/>
    <d v="1899-12-30T02:00:00"/>
    <s v="POSITION3"/>
    <x v="4"/>
    <s v="STORE191"/>
  </r>
  <r>
    <n v="232950"/>
    <s v="People560"/>
    <s v="department"/>
    <s v="REGION5"/>
    <s v="STORE165"/>
    <s v="MANAGER62"/>
    <s v="POSITIVO"/>
    <d v="1899-12-30T01:25:00"/>
    <m/>
    <d v="1899-12-30T01:25:00"/>
    <s v="POSITION1"/>
    <x v="4"/>
    <s v="STORE165"/>
  </r>
  <r>
    <n v="202631"/>
    <s v="People561"/>
    <s v="department"/>
    <s v="REGION5"/>
    <s v="STORE184"/>
    <s v="MANAGER64"/>
    <s v="POSITIVO"/>
    <d v="1899-12-30T01:12:00"/>
    <m/>
    <d v="1899-12-30T01:12:00"/>
    <s v="POSITION1"/>
    <x v="4"/>
    <s v="STORE184"/>
  </r>
  <r>
    <n v="234121"/>
    <s v="People562"/>
    <s v="department"/>
    <s v="REGION5"/>
    <s v="STORE165"/>
    <s v="MANAGER62"/>
    <s v="POSITIVO"/>
    <d v="1899-12-30T01:09:00"/>
    <m/>
    <d v="1899-12-30T01:09:00"/>
    <s v="POSITION1"/>
    <x v="4"/>
    <s v="STORE165"/>
  </r>
  <r>
    <n v="235399"/>
    <s v="People563"/>
    <s v="department"/>
    <s v="REGION5"/>
    <s v="STORE165"/>
    <s v="MANAGER62"/>
    <s v="POSITIVO"/>
    <d v="1899-12-30T01:08:00"/>
    <m/>
    <d v="1899-12-30T01:08:00"/>
    <s v="POSITION1"/>
    <x v="4"/>
    <s v="STORE165"/>
  </r>
  <r>
    <n v="234601"/>
    <s v="People564"/>
    <s v="department"/>
    <s v="REGION5"/>
    <s v="STORE156"/>
    <s v="MANAGER55"/>
    <s v="POSITIVO"/>
    <d v="1899-12-30T00:39:00"/>
    <m/>
    <d v="1899-12-30T00:39:00"/>
    <s v="POSITION1"/>
    <x v="4"/>
    <s v="STORE156"/>
  </r>
  <r>
    <n v="233835"/>
    <s v="People565"/>
    <s v="department"/>
    <s v="REGION5"/>
    <s v="STORE191"/>
    <s v="MANAGER67"/>
    <s v="POSITIVO"/>
    <d v="1899-12-30T00:23:00"/>
    <m/>
    <d v="1899-12-30T00:23:00"/>
    <s v="POSITION4"/>
    <x v="4"/>
    <s v="STORE191"/>
  </r>
  <r>
    <n v="234799"/>
    <s v="People566"/>
    <s v="department"/>
    <s v="REGION5"/>
    <s v="STORE179"/>
    <s v="MANAGER70"/>
    <s v="POSITIVO"/>
    <d v="1899-12-30T00:22:00"/>
    <m/>
    <d v="1899-12-30T00:22:00"/>
    <s v="POSITION1"/>
    <x v="4"/>
    <s v="STORE179"/>
  </r>
  <r>
    <n v="232151"/>
    <s v="People567"/>
    <s v="department"/>
    <s v="REGION6"/>
    <s v="STORE192"/>
    <s v="MANAGER71"/>
    <s v="NEGATIVO"/>
    <d v="1899-12-30T19:06:00"/>
    <d v="1899-12-30T19:06:00"/>
    <m/>
    <s v="POSITION1"/>
    <x v="5"/>
    <s v="STORE192"/>
  </r>
  <r>
    <n v="230742"/>
    <s v="People568"/>
    <s v="department"/>
    <s v="REGION6"/>
    <s v="STORE193"/>
    <s v="MANAGER72"/>
    <s v="NEGATIVO"/>
    <d v="1899-12-31T20:13:00"/>
    <d v="1899-12-31T20:13:00"/>
    <m/>
    <s v="POSITION1"/>
    <x v="5"/>
    <s v="STORE193"/>
  </r>
  <r>
    <n v="236241"/>
    <s v="People569"/>
    <s v="department"/>
    <s v="REGION6"/>
    <s v="STORE194"/>
    <s v="MANAGER73"/>
    <s v="NEGATIVO"/>
    <d v="1900-01-03T01:25:00"/>
    <d v="1900-01-03T01:25:00"/>
    <m/>
    <s v="POSITION4"/>
    <x v="5"/>
    <s v="STORE194"/>
  </r>
  <r>
    <n v="230634"/>
    <s v="People570"/>
    <s v="department"/>
    <s v="REGION6"/>
    <s v="STORE195"/>
    <s v="MANAGER74"/>
    <s v="NEGATIVO"/>
    <d v="1899-12-31T16:19:00"/>
    <d v="1899-12-31T16:19:00"/>
    <m/>
    <s v="POSITION1"/>
    <x v="5"/>
    <s v="STORE195"/>
  </r>
  <r>
    <n v="203590"/>
    <s v="People571"/>
    <s v="department"/>
    <s v="REGION6"/>
    <s v="STORE192"/>
    <s v="MANAGER71"/>
    <s v="NEGATIVO"/>
    <d v="1899-12-31T12:28:00"/>
    <d v="1899-12-31T12:28:00"/>
    <m/>
    <s v="POSITION1"/>
    <x v="5"/>
    <s v="STORE192"/>
  </r>
  <r>
    <n v="218141"/>
    <s v="People572"/>
    <s v="department"/>
    <s v="REGION6"/>
    <s v="STORE196"/>
    <s v="MANAGER71"/>
    <s v="NEGATIVO"/>
    <d v="1900-01-05T23:04:00"/>
    <d v="1900-01-05T23:04:00"/>
    <m/>
    <s v="POSITION3"/>
    <x v="5"/>
    <s v="STORE196"/>
  </r>
  <r>
    <n v="233601"/>
    <s v="People573"/>
    <s v="department"/>
    <s v="REGION6"/>
    <s v="STORE197"/>
    <s v="MANAGER75"/>
    <s v="NEGATIVO"/>
    <d v="1899-12-30T08:21:00"/>
    <d v="1899-12-30T08:21:00"/>
    <m/>
    <s v="POSITION3"/>
    <x v="5"/>
    <s v="STORE197"/>
  </r>
  <r>
    <n v="231250"/>
    <s v="People574"/>
    <s v="department"/>
    <s v="REGION6"/>
    <s v="STORE198"/>
    <s v="MANAGER72"/>
    <s v="NEGATIVO"/>
    <d v="1899-12-31T13:51:00"/>
    <d v="1899-12-31T13:51:00"/>
    <m/>
    <s v="POSITION3"/>
    <x v="5"/>
    <s v="STORE198"/>
  </r>
  <r>
    <n v="232830"/>
    <s v="People575"/>
    <s v="department"/>
    <s v="REGION6"/>
    <s v="STORE199"/>
    <s v="MANAGER74"/>
    <s v="NEGATIVO"/>
    <d v="1899-12-30T05:23:00"/>
    <d v="1899-12-30T05:23:00"/>
    <m/>
    <s v="POSITION1"/>
    <x v="5"/>
    <s v="STORE199"/>
  </r>
  <r>
    <n v="200513"/>
    <s v="People576"/>
    <s v="department"/>
    <s v="REGION6"/>
    <s v="STORE200"/>
    <s v="MANAGER76"/>
    <s v="NEGATIVO"/>
    <d v="1900-01-01T10:30:00"/>
    <d v="1900-01-01T10:30:00"/>
    <m/>
    <s v="POSITION3"/>
    <x v="5"/>
    <s v="STORE200"/>
  </r>
  <r>
    <n v="237423"/>
    <s v="People577"/>
    <s v="department"/>
    <s v="REGION6"/>
    <s v="STORE201"/>
    <s v="MANAGER77"/>
    <s v="NEGATIVO"/>
    <d v="1899-12-30T00:01:00"/>
    <d v="1899-12-30T00:01:00"/>
    <m/>
    <s v="POSITION1"/>
    <x v="5"/>
    <s v="STORE201"/>
  </r>
  <r>
    <n v="224240"/>
    <s v="People578"/>
    <s v="department"/>
    <s v="REGION6"/>
    <s v="STORE202"/>
    <s v="MANAGER78"/>
    <s v="NEGATIVO"/>
    <d v="1899-12-30T00:06:00"/>
    <d v="1899-12-30T00:06:00"/>
    <m/>
    <s v="POSITION7"/>
    <x v="5"/>
    <s v="STORE202"/>
  </r>
  <r>
    <n v="237210"/>
    <s v="People579"/>
    <s v="department"/>
    <s v="REGION6"/>
    <s v="STORE203"/>
    <s v="MANAGER79"/>
    <s v="NEGATIVO"/>
    <d v="1899-12-30T07:41:00"/>
    <d v="1899-12-30T07:41:00"/>
    <m/>
    <s v="POSITION3"/>
    <x v="5"/>
    <s v="STORE203"/>
  </r>
  <r>
    <n v="234147"/>
    <s v="People580"/>
    <s v="department"/>
    <s v="REGION6"/>
    <s v="STORE204"/>
    <s v="MANAGER76"/>
    <s v="NEGATIVO"/>
    <d v="1899-12-31T23:45:00"/>
    <d v="1899-12-31T23:45:00"/>
    <m/>
    <s v="POSITION1"/>
    <x v="5"/>
    <s v="STORE204"/>
  </r>
  <r>
    <n v="203599"/>
    <s v="People581"/>
    <s v="department"/>
    <s v="REGION6"/>
    <s v="STORE205"/>
    <s v="MANAGER80"/>
    <s v="NEGATIVO"/>
    <d v="1899-12-30T20:32:00"/>
    <d v="1899-12-30T20:32:00"/>
    <m/>
    <s v="POSITION1"/>
    <x v="5"/>
    <s v="STORE205"/>
  </r>
  <r>
    <n v="200893"/>
    <s v="People582"/>
    <s v="department"/>
    <s v="REGION6"/>
    <s v="STORE203"/>
    <s v="MANAGER79"/>
    <s v="NEGATIVO"/>
    <d v="1900-01-05T17:14:00"/>
    <d v="1900-01-05T17:14:00"/>
    <m/>
    <s v="POSITION4"/>
    <x v="5"/>
    <s v="STORE203"/>
  </r>
  <r>
    <n v="200533"/>
    <s v="People583"/>
    <s v="department"/>
    <s v="REGION6"/>
    <s v="STORE206"/>
    <s v="MANAGER80"/>
    <s v="NEGATIVO"/>
    <d v="1899-12-30T10:37:00"/>
    <d v="1899-12-30T10:37:00"/>
    <m/>
    <s v="POSITION4"/>
    <x v="5"/>
    <s v="STORE206"/>
  </r>
  <r>
    <n v="230857"/>
    <s v="People584"/>
    <s v="department"/>
    <s v="REGION6"/>
    <s v="STORE200"/>
    <s v="MANAGER76"/>
    <s v="NEGATIVO"/>
    <d v="1900-01-03T02:04:00"/>
    <d v="1900-01-03T02:04:00"/>
    <m/>
    <s v="POSITION3"/>
    <x v="5"/>
    <s v="STORE200"/>
  </r>
  <r>
    <n v="237160"/>
    <s v="People585"/>
    <s v="department"/>
    <s v="REGION6"/>
    <s v="STORE207"/>
    <s v="MANAGER81"/>
    <s v="NEGATIVO"/>
    <d v="1899-12-30T11:20:00"/>
    <d v="1899-12-30T11:20:00"/>
    <m/>
    <s v="POSITION3"/>
    <x v="5"/>
    <s v="STORE207"/>
  </r>
  <r>
    <n v="224228"/>
    <s v="People586"/>
    <s v="department"/>
    <s v="REGION6"/>
    <s v="STORE199"/>
    <s v="MANAGER74"/>
    <s v="NEGATIVO"/>
    <d v="1900-01-01T19:12:00"/>
    <d v="1900-01-01T19:12:00"/>
    <m/>
    <s v="POSITION1"/>
    <x v="5"/>
    <s v="STORE199"/>
  </r>
  <r>
    <n v="230748"/>
    <s v="People587"/>
    <s v="department"/>
    <s v="REGION6"/>
    <s v="STORE201"/>
    <s v="MANAGER77"/>
    <s v="NEGATIVO"/>
    <d v="1899-12-30T00:04:00"/>
    <d v="1899-12-30T00:04:00"/>
    <m/>
    <s v="POSITION1"/>
    <x v="5"/>
    <s v="STORE201"/>
  </r>
  <r>
    <n v="237216"/>
    <s v="People588"/>
    <s v="department"/>
    <s v="REGION6"/>
    <s v="STORE208"/>
    <s v="MANAGER81"/>
    <s v="NEGATIVO"/>
    <d v="1899-12-30T11:07:00"/>
    <d v="1899-12-30T11:07:00"/>
    <m/>
    <s v="POSITION1"/>
    <x v="5"/>
    <s v="STORE208"/>
  </r>
  <r>
    <n v="232856"/>
    <s v="People589"/>
    <s v="department"/>
    <s v="REGION6"/>
    <s v="STORE197"/>
    <s v="MANAGER75"/>
    <s v="NEGATIVO"/>
    <d v="1899-12-30T21:17:00"/>
    <d v="1899-12-30T21:17:00"/>
    <m/>
    <s v="POSITION5"/>
    <x v="5"/>
    <s v="STORE197"/>
  </r>
  <r>
    <n v="230931"/>
    <s v="People590"/>
    <s v="department"/>
    <s v="REGION6"/>
    <s v="STORE198"/>
    <s v="MANAGER72"/>
    <s v="NEGATIVO"/>
    <d v="1899-12-30T07:37:00"/>
    <d v="1899-12-30T07:37:00"/>
    <m/>
    <s v="POSITION4"/>
    <x v="5"/>
    <s v="STORE198"/>
  </r>
  <r>
    <n v="236004"/>
    <s v="People591"/>
    <s v="department"/>
    <s v="REGION6"/>
    <s v="STORE198"/>
    <s v="MANAGER72"/>
    <s v="NEGATIVO"/>
    <d v="1899-12-30T12:07:00"/>
    <d v="1899-12-30T12:07:00"/>
    <m/>
    <s v="POSITION3"/>
    <x v="5"/>
    <s v="STORE198"/>
  </r>
  <r>
    <n v="224160"/>
    <s v="People592"/>
    <s v="department"/>
    <s v="REGION6"/>
    <s v="STORE192"/>
    <s v="MANAGER71"/>
    <s v="NEGATIVO"/>
    <d v="1899-12-30T08:42:00"/>
    <d v="1899-12-30T08:42:00"/>
    <m/>
    <s v="POSITION1"/>
    <x v="5"/>
    <s v="STORE192"/>
  </r>
  <r>
    <n v="203637"/>
    <s v="People593"/>
    <s v="department"/>
    <s v="REGION6"/>
    <s v="STORE209"/>
    <s v="MANAGER73"/>
    <s v="NEGATIVO"/>
    <d v="1899-12-30T04:38:00"/>
    <d v="1899-12-30T04:38:00"/>
    <m/>
    <s v="POSITION1"/>
    <x v="5"/>
    <s v="STORE209"/>
  </r>
  <r>
    <n v="230584"/>
    <s v="People594"/>
    <s v="department"/>
    <s v="REGION6"/>
    <s v="STORE197"/>
    <s v="MANAGER75"/>
    <s v="NEGATIVO"/>
    <d v="1899-12-31T08:51:00"/>
    <d v="1899-12-31T08:51:00"/>
    <m/>
    <s v="POSITION4"/>
    <x v="5"/>
    <s v="STORE197"/>
  </r>
  <r>
    <n v="200784"/>
    <s v="People595"/>
    <s v="department"/>
    <s v="REGION6"/>
    <s v="STORE200"/>
    <s v="MANAGER76"/>
    <s v="NEGATIVO"/>
    <d v="1899-12-30T03:22:00"/>
    <d v="1899-12-30T03:22:00"/>
    <m/>
    <s v="POSITION4"/>
    <x v="5"/>
    <s v="STORE200"/>
  </r>
  <r>
    <n v="236168"/>
    <s v="People596"/>
    <s v="department"/>
    <s v="REGION6"/>
    <s v="STORE208"/>
    <s v="MANAGER81"/>
    <s v="NEGATIVO"/>
    <d v="1899-12-31T05:12:00"/>
    <d v="1899-12-31T05:12:00"/>
    <m/>
    <s v="POSITION1"/>
    <x v="5"/>
    <s v="STORE208"/>
  </r>
  <r>
    <n v="214135"/>
    <s v="People597"/>
    <s v="department"/>
    <s v="REGION6"/>
    <s v="STORE199"/>
    <s v="MANAGER74"/>
    <s v="NEGATIVO"/>
    <d v="1899-12-31T16:31:00"/>
    <d v="1899-12-31T16:31:00"/>
    <m/>
    <s v="POSITION1"/>
    <x v="5"/>
    <s v="STORE199"/>
  </r>
  <r>
    <n v="235983"/>
    <s v="People598"/>
    <s v="department"/>
    <s v="REGION6"/>
    <s v="STORE208"/>
    <s v="MANAGER81"/>
    <s v="NEGATIVO"/>
    <d v="1899-12-31T19:18:00"/>
    <d v="1899-12-31T19:18:00"/>
    <m/>
    <s v="POSITION1"/>
    <x v="5"/>
    <s v="STORE208"/>
  </r>
  <r>
    <n v="232012"/>
    <s v="People599"/>
    <s v="department"/>
    <s v="REGION6"/>
    <s v="STORE200"/>
    <s v="MANAGER76"/>
    <s v="NEGATIVO"/>
    <d v="1900-01-02T19:08:00"/>
    <d v="1900-01-02T19:08:00"/>
    <m/>
    <s v="POSITION3"/>
    <x v="5"/>
    <s v="STORE200"/>
  </r>
  <r>
    <n v="203078"/>
    <s v="People600"/>
    <s v="department"/>
    <s v="REGION6"/>
    <s v="STORE192"/>
    <s v="MANAGER71"/>
    <s v="NEGATIVO"/>
    <d v="1900-01-01T22:44:00"/>
    <d v="1900-01-01T22:44:00"/>
    <m/>
    <s v="POSITION1"/>
    <x v="5"/>
    <s v="STORE192"/>
  </r>
  <r>
    <n v="225762"/>
    <s v="People601"/>
    <s v="department"/>
    <s v="REGION6"/>
    <s v="STORE192"/>
    <s v="MANAGER71"/>
    <s v="NEGATIVO"/>
    <d v="1900-01-02T09:55:00"/>
    <d v="1900-01-02T09:55:00"/>
    <m/>
    <s v="POSITION1"/>
    <x v="5"/>
    <s v="STORE192"/>
  </r>
  <r>
    <n v="225545"/>
    <s v="People602"/>
    <s v="department"/>
    <s v="REGION6"/>
    <s v="STORE197"/>
    <s v="MANAGER75"/>
    <s v="NEGATIVO"/>
    <d v="1899-12-30T03:50:00"/>
    <d v="1899-12-30T03:50:00"/>
    <m/>
    <s v="POSITION3"/>
    <x v="5"/>
    <s v="STORE197"/>
  </r>
  <r>
    <n v="231981"/>
    <s v="People603"/>
    <s v="department"/>
    <s v="REGION6"/>
    <s v="STORE204"/>
    <s v="MANAGER76"/>
    <s v="NEGATIVO"/>
    <d v="1899-12-30T02:07:00"/>
    <d v="1899-12-30T02:07:00"/>
    <m/>
    <s v="POSITION1"/>
    <x v="5"/>
    <s v="STORE204"/>
  </r>
  <r>
    <n v="222928"/>
    <s v="People604"/>
    <s v="department"/>
    <s v="REGION6"/>
    <s v="STORE201"/>
    <s v="MANAGER77"/>
    <s v="NEGATIVO"/>
    <d v="1899-12-30T00:09:00"/>
    <d v="1899-12-30T00:09:00"/>
    <m/>
    <s v="POSITION1"/>
    <x v="5"/>
    <s v="STORE201"/>
  </r>
  <r>
    <n v="232287"/>
    <s v="People605"/>
    <s v="department"/>
    <s v="REGION6"/>
    <s v="STORE210"/>
    <s v="MANAGER73"/>
    <s v="NEGATIVO"/>
    <d v="1899-12-31T06:54:00"/>
    <d v="1899-12-31T06:54:00"/>
    <m/>
    <s v="POSITION1"/>
    <x v="5"/>
    <s v="STORE210"/>
  </r>
  <r>
    <n v="217689"/>
    <s v="People606"/>
    <s v="department"/>
    <s v="REGION6"/>
    <s v="STORE211"/>
    <s v="MANAGER82"/>
    <s v="NEGATIVO"/>
    <d v="1900-01-19T19:42:00"/>
    <d v="1900-01-19T19:42:00"/>
    <m/>
    <s v="POSITION4"/>
    <x v="5"/>
    <s v="STORE211"/>
  </r>
  <r>
    <n v="233057"/>
    <s v="People607"/>
    <s v="department"/>
    <s v="REGION6"/>
    <s v="STORE212"/>
    <s v="MANAGER74"/>
    <s v="NEGATIVO"/>
    <d v="1900-01-04T09:38:00"/>
    <d v="1900-01-04T09:38:00"/>
    <m/>
    <s v="POSITION5"/>
    <x v="5"/>
    <s v="STORE212"/>
  </r>
  <r>
    <n v="224380"/>
    <s v="People608"/>
    <s v="department"/>
    <s v="REGION6"/>
    <s v="STORE213"/>
    <s v="MANAGER75"/>
    <s v="NEGATIVO"/>
    <d v="1899-12-30T18:09:00"/>
    <d v="1899-12-30T18:09:00"/>
    <m/>
    <s v="POSITION1"/>
    <x v="5"/>
    <s v="STORE213"/>
  </r>
  <r>
    <n v="222847"/>
    <s v="People609"/>
    <s v="department"/>
    <s v="REGION6"/>
    <s v="STORE199"/>
    <s v="MANAGER74"/>
    <s v="NEGATIVO"/>
    <d v="1899-12-30T07:16:00"/>
    <d v="1899-12-30T07:16:00"/>
    <m/>
    <s v="POSITION1"/>
    <x v="5"/>
    <s v="STORE199"/>
  </r>
  <r>
    <n v="234611"/>
    <s v="People610"/>
    <s v="department"/>
    <s v="REGION6"/>
    <s v="STORE214"/>
    <s v="MANAGER79"/>
    <s v="NEGATIVO"/>
    <d v="1899-12-30T01:06:00"/>
    <d v="1899-12-30T01:06:00"/>
    <m/>
    <s v="POSITION1"/>
    <x v="5"/>
    <s v="STORE214"/>
  </r>
  <r>
    <n v="203499"/>
    <s v="People611"/>
    <s v="department"/>
    <s v="REGION6"/>
    <s v="STORE205"/>
    <s v="MANAGER80"/>
    <s v="POSITIVO"/>
    <d v="1900-01-02T11:28:00"/>
    <m/>
    <d v="1900-01-02T11:28:00"/>
    <s v="POSITION1"/>
    <x v="5"/>
    <s v="STORE205"/>
  </r>
  <r>
    <n v="225192"/>
    <s v="People612"/>
    <s v="department"/>
    <s v="REGION6"/>
    <s v="STORE215"/>
    <s v="MANAGER83"/>
    <s v="POSITIVO"/>
    <d v="1900-01-01T21:39:00"/>
    <m/>
    <d v="1900-01-01T21:39:00"/>
    <s v="POSITION1"/>
    <x v="5"/>
    <s v="STORE215"/>
  </r>
  <r>
    <n v="230859"/>
    <s v="People613"/>
    <s v="department"/>
    <s v="REGION6"/>
    <s v="STORE193"/>
    <s v="MANAGER72"/>
    <s v="POSITIVO"/>
    <d v="1900-01-01T12:34:00"/>
    <m/>
    <d v="1900-01-01T12:34:00"/>
    <s v="POSITION1"/>
    <x v="5"/>
    <s v="STORE193"/>
  </r>
  <r>
    <n v="236302"/>
    <s v="People614"/>
    <s v="department"/>
    <s v="REGION6"/>
    <s v="STORE216"/>
    <s v="MANAGER84"/>
    <s v="POSITIVO"/>
    <d v="1900-01-01T05:39:00"/>
    <m/>
    <d v="1900-01-01T05:39:00"/>
    <s v="POSITION1"/>
    <x v="5"/>
    <s v="STORE216"/>
  </r>
  <r>
    <n v="237944"/>
    <s v="People615"/>
    <s v="department"/>
    <s v="REGION6"/>
    <s v="STORE204"/>
    <s v="MANAGER76"/>
    <s v="POSITIVO"/>
    <d v="1900-01-01T04:24:00"/>
    <m/>
    <d v="1900-01-01T04:24:00"/>
    <s v="POSITION1"/>
    <x v="5"/>
    <s v="STORE204"/>
  </r>
  <r>
    <n v="229826"/>
    <s v="People616"/>
    <s v="department"/>
    <s v="REGION6"/>
    <s v="STORE217"/>
    <s v="MANAGER84"/>
    <s v="POSITIVO"/>
    <d v="1900-01-01T01:03:00"/>
    <m/>
    <d v="1900-01-01T01:03:00"/>
    <s v="POSITION3"/>
    <x v="5"/>
    <s v="STORE217"/>
  </r>
  <r>
    <n v="235803"/>
    <s v="People617"/>
    <s v="department"/>
    <s v="REGION6"/>
    <s v="STORE205"/>
    <s v="MANAGER80"/>
    <s v="POSITIVO"/>
    <d v="1900-01-01T00:37:00"/>
    <m/>
    <d v="1900-01-01T00:37:00"/>
    <s v="POSITION1"/>
    <x v="5"/>
    <s v="STORE205"/>
  </r>
  <r>
    <n v="223399"/>
    <s v="People618"/>
    <s v="department"/>
    <s v="REGION6"/>
    <s v="STORE196"/>
    <s v="MANAGER71"/>
    <s v="POSITIVO"/>
    <d v="1899-12-31T17:50:00"/>
    <m/>
    <d v="1899-12-31T17:50:00"/>
    <s v="POSITION3"/>
    <x v="5"/>
    <s v="STORE196"/>
  </r>
  <r>
    <n v="220151"/>
    <s v="People619"/>
    <s v="department"/>
    <s v="REGION6"/>
    <s v="STORE197"/>
    <s v="MANAGER75"/>
    <s v="POSITIVO"/>
    <d v="1899-12-31T12:14:00"/>
    <m/>
    <d v="1899-12-31T12:14:00"/>
    <s v="POSITION3"/>
    <x v="5"/>
    <s v="STORE197"/>
  </r>
  <r>
    <n v="236301"/>
    <s v="People620"/>
    <s v="department"/>
    <s v="REGION6"/>
    <s v="STORE216"/>
    <s v="MANAGER84"/>
    <s v="POSITIVO"/>
    <d v="1899-12-31T11:47:00"/>
    <m/>
    <d v="1899-12-31T11:47:00"/>
    <s v="POSITION1"/>
    <x v="5"/>
    <s v="STORE216"/>
  </r>
  <r>
    <n v="203617"/>
    <s v="People621"/>
    <s v="department"/>
    <s v="REGION6"/>
    <s v="STORE214"/>
    <s v="MANAGER79"/>
    <s v="POSITIVO"/>
    <d v="1899-12-31T09:49:00"/>
    <m/>
    <d v="1899-12-31T09:49:00"/>
    <s v="POSITION1"/>
    <x v="5"/>
    <s v="STORE214"/>
  </r>
  <r>
    <n v="203277"/>
    <s v="People622"/>
    <s v="department"/>
    <s v="REGION6"/>
    <s v="STORE204"/>
    <s v="MANAGER76"/>
    <s v="POSITIVO"/>
    <d v="1899-12-31T09:04:00"/>
    <m/>
    <d v="1899-12-31T09:04:00"/>
    <s v="POSITION1"/>
    <x v="5"/>
    <s v="STORE204"/>
  </r>
  <r>
    <n v="230858"/>
    <s v="People623"/>
    <s v="department"/>
    <s v="REGION6"/>
    <s v="STORE204"/>
    <s v="MANAGER76"/>
    <s v="POSITIVO"/>
    <d v="1899-12-31T08:49:00"/>
    <m/>
    <d v="1899-12-31T08:49:00"/>
    <s v="POSITION1"/>
    <x v="5"/>
    <s v="STORE204"/>
  </r>
  <r>
    <n v="230861"/>
    <s v="People624"/>
    <s v="department"/>
    <s v="REGION6"/>
    <s v="STORE193"/>
    <s v="MANAGER72"/>
    <s v="POSITIVO"/>
    <d v="1899-12-31T07:49:00"/>
    <m/>
    <d v="1899-12-31T07:49:00"/>
    <s v="POSITION1"/>
    <x v="5"/>
    <s v="STORE193"/>
  </r>
  <r>
    <n v="234334"/>
    <s v="People625"/>
    <s v="department"/>
    <s v="REGION6"/>
    <s v="STORE210"/>
    <s v="MANAGER73"/>
    <s v="POSITIVO"/>
    <d v="1899-12-31T07:32:00"/>
    <m/>
    <d v="1899-12-31T07:32:00"/>
    <s v="POSITION1"/>
    <x v="5"/>
    <s v="STORE210"/>
  </r>
  <r>
    <n v="235476"/>
    <s v="People626"/>
    <s v="department"/>
    <s v="REGION6"/>
    <s v="STORE218"/>
    <s v="MANAGER78"/>
    <s v="POSITIVO"/>
    <d v="1899-12-31T05:00:00"/>
    <m/>
    <d v="1899-12-31T05:00:00"/>
    <s v="POSITION9"/>
    <x v="5"/>
    <s v="STORE218"/>
  </r>
  <r>
    <n v="222890"/>
    <s v="People627"/>
    <s v="department"/>
    <s v="REGION6"/>
    <s v="STORE219"/>
    <s v="MANAGER78"/>
    <s v="POSITIVO"/>
    <d v="1899-12-31T04:17:00"/>
    <m/>
    <d v="1899-12-31T04:17:00"/>
    <s v="POSITION9"/>
    <x v="5"/>
    <s v="STORE219"/>
  </r>
  <r>
    <n v="237421"/>
    <s v="People628"/>
    <s v="department"/>
    <s v="REGION6"/>
    <s v="STORE220"/>
    <s v="MANAGER78"/>
    <s v="POSITIVO"/>
    <d v="1899-12-31T03:56:00"/>
    <m/>
    <d v="1899-12-31T03:56:00"/>
    <s v="POSITION2"/>
    <x v="5"/>
    <s v="STORE220"/>
  </r>
  <r>
    <n v="219427"/>
    <s v="People629"/>
    <s v="department"/>
    <s v="REGION6"/>
    <s v="STORE206"/>
    <s v="MANAGER80"/>
    <s v="POSITIVO"/>
    <d v="1899-12-31T03:30:00"/>
    <m/>
    <d v="1899-12-31T03:30:00"/>
    <s v="POSITION3"/>
    <x v="5"/>
    <s v="STORE206"/>
  </r>
  <r>
    <n v="233564"/>
    <s v="People630"/>
    <s v="department"/>
    <s v="REGION6"/>
    <s v="STORE215"/>
    <s v="MANAGER83"/>
    <s v="POSITIVO"/>
    <d v="1899-12-31T03:26:00"/>
    <m/>
    <d v="1899-12-31T03:26:00"/>
    <s v="POSITION1"/>
    <x v="5"/>
    <s v="STORE215"/>
  </r>
  <r>
    <n v="236588"/>
    <s v="People631"/>
    <s v="department"/>
    <s v="REGION6"/>
    <s v="STORE221"/>
    <s v="MANAGER83"/>
    <s v="POSITIVO"/>
    <d v="1899-12-31T03:23:00"/>
    <m/>
    <d v="1899-12-31T03:23:00"/>
    <s v="POSITION3"/>
    <x v="5"/>
    <s v="STORE221"/>
  </r>
  <r>
    <n v="222075"/>
    <s v="People632"/>
    <s v="department"/>
    <s v="REGION6"/>
    <s v="STORE206"/>
    <s v="MANAGER80"/>
    <s v="POSITIVO"/>
    <d v="1899-12-31T01:40:00"/>
    <m/>
    <d v="1899-12-31T01:40:00"/>
    <s v="POSITION3"/>
    <x v="5"/>
    <s v="STORE206"/>
  </r>
  <r>
    <n v="236521"/>
    <s v="People633"/>
    <s v="department"/>
    <s v="REGION6"/>
    <s v="STORE212"/>
    <s v="MANAGER74"/>
    <s v="POSITIVO"/>
    <d v="1899-12-31T01:27:00"/>
    <m/>
    <d v="1899-12-31T01:27:00"/>
    <s v="POSITION3"/>
    <x v="5"/>
    <s v="STORE212"/>
  </r>
  <r>
    <n v="236514"/>
    <s v="People634"/>
    <s v="department"/>
    <s v="REGION6"/>
    <s v="STORE199"/>
    <s v="MANAGER74"/>
    <s v="POSITIVO"/>
    <d v="1899-12-31T01:02:00"/>
    <m/>
    <d v="1899-12-31T01:02:00"/>
    <s v="POSITION1"/>
    <x v="5"/>
    <s v="STORE199"/>
  </r>
  <r>
    <n v="217780"/>
    <s v="People635"/>
    <s v="department"/>
    <s v="REGION6"/>
    <s v="STORE222"/>
    <s v="MANAGER78"/>
    <s v="POSITIVO"/>
    <d v="1899-12-31T00:56:00"/>
    <m/>
    <d v="1899-12-31T00:56:00"/>
    <s v="POSITION9"/>
    <x v="5"/>
    <s v="STORE222"/>
  </r>
  <r>
    <n v="230808"/>
    <s v="People636"/>
    <s v="department"/>
    <s v="REGION6"/>
    <s v="STORE223"/>
    <s v="MANAGER84"/>
    <s v="POSITIVO"/>
    <d v="1899-12-31T00:24:00"/>
    <m/>
    <d v="1899-12-31T00:24:00"/>
    <s v="POSITION3"/>
    <x v="5"/>
    <s v="STORE223"/>
  </r>
  <r>
    <n v="233500"/>
    <s v="People637"/>
    <s v="department"/>
    <s v="REGION6"/>
    <s v="STORE212"/>
    <s v="MANAGER74"/>
    <s v="POSITIVO"/>
    <d v="1899-12-30T23:46:00"/>
    <m/>
    <d v="1899-12-30T23:46:00"/>
    <s v="POSITION3"/>
    <x v="5"/>
    <s v="STORE212"/>
  </r>
  <r>
    <n v="233838"/>
    <s v="People638"/>
    <s v="department"/>
    <s v="REGION6"/>
    <s v="STORE214"/>
    <s v="MANAGER79"/>
    <s v="POSITIVO"/>
    <d v="1899-12-30T23:25:00"/>
    <m/>
    <d v="1899-12-30T23:25:00"/>
    <s v="POSITION1"/>
    <x v="5"/>
    <s v="STORE214"/>
  </r>
  <r>
    <n v="202644"/>
    <s v="People639"/>
    <s v="department"/>
    <s v="REGION6"/>
    <s v="STORE213"/>
    <s v="MANAGER75"/>
    <s v="POSITIVO"/>
    <d v="1899-12-30T21:16:00"/>
    <m/>
    <d v="1899-12-30T21:16:00"/>
    <s v="POSITION1"/>
    <x v="5"/>
    <s v="STORE213"/>
  </r>
  <r>
    <n v="203258"/>
    <s v="People640"/>
    <s v="department"/>
    <s v="REGION6"/>
    <s v="STORE204"/>
    <s v="MANAGER76"/>
    <s v="POSITIVO"/>
    <d v="1899-12-30T20:38:00"/>
    <m/>
    <d v="1899-12-30T20:38:00"/>
    <s v="POSITION1"/>
    <x v="5"/>
    <s v="STORE204"/>
  </r>
  <r>
    <n v="203144"/>
    <s v="People641"/>
    <s v="department"/>
    <s v="REGION6"/>
    <s v="STORE224"/>
    <s v="MANAGER82"/>
    <s v="POSITIVO"/>
    <d v="1899-12-30T19:35:00"/>
    <m/>
    <d v="1899-12-30T19:35:00"/>
    <s v="POSITION1"/>
    <x v="5"/>
    <s v="STORE224"/>
  </r>
  <r>
    <n v="233269"/>
    <s v="People642"/>
    <s v="department"/>
    <s v="REGION6"/>
    <s v="STORE209"/>
    <s v="MANAGER73"/>
    <s v="POSITIVO"/>
    <d v="1899-12-30T19:06:00"/>
    <m/>
    <d v="1899-12-30T19:06:00"/>
    <s v="POSITION1"/>
    <x v="5"/>
    <s v="STORE209"/>
  </r>
  <r>
    <n v="230034"/>
    <s v="People643"/>
    <s v="department"/>
    <s v="REGION6"/>
    <s v="STORE224"/>
    <s v="MANAGER82"/>
    <s v="POSITIVO"/>
    <d v="1899-12-30T18:54:00"/>
    <m/>
    <d v="1899-12-30T18:54:00"/>
    <s v="POSITION1"/>
    <x v="5"/>
    <s v="STORE224"/>
  </r>
  <r>
    <n v="232238"/>
    <s v="People644"/>
    <s v="department"/>
    <s v="REGION6"/>
    <s v="STORE193"/>
    <s v="MANAGER72"/>
    <s v="POSITIVO"/>
    <d v="1899-12-30T18:33:00"/>
    <m/>
    <d v="1899-12-30T18:33:00"/>
    <s v="POSITION1"/>
    <x v="5"/>
    <s v="STORE193"/>
  </r>
  <r>
    <n v="201250"/>
    <s v="People645"/>
    <s v="department"/>
    <s v="REGION6"/>
    <s v="STORE194"/>
    <s v="MANAGER73"/>
    <s v="POSITIVO"/>
    <d v="1899-12-30T17:06:00"/>
    <m/>
    <d v="1899-12-30T17:06:00"/>
    <s v="POSITION3"/>
    <x v="5"/>
    <s v="STORE194"/>
  </r>
  <r>
    <n v="222543"/>
    <s v="People646"/>
    <s v="department"/>
    <s v="REGION6"/>
    <s v="STORE225"/>
    <s v="MANAGER78"/>
    <s v="POSITIVO"/>
    <d v="1899-12-30T17:03:00"/>
    <m/>
    <d v="1899-12-30T17:03:00"/>
    <s v="POSITION7"/>
    <x v="5"/>
    <s v="STORE225"/>
  </r>
  <r>
    <n v="203305"/>
    <s v="People647"/>
    <s v="department"/>
    <s v="REGION6"/>
    <s v="STORE224"/>
    <s v="MANAGER82"/>
    <s v="POSITIVO"/>
    <d v="1899-12-30T16:15:00"/>
    <m/>
    <d v="1899-12-30T16:15:00"/>
    <s v="POSITION1"/>
    <x v="5"/>
    <s v="STORE224"/>
  </r>
  <r>
    <n v="237633"/>
    <s v="People648"/>
    <s v="department"/>
    <s v="REGION6"/>
    <s v="STORE196"/>
    <s v="MANAGER71"/>
    <s v="POSITIVO"/>
    <d v="1899-12-30T15:23:00"/>
    <m/>
    <d v="1899-12-30T15:23:00"/>
    <s v="POSITION4"/>
    <x v="5"/>
    <s v="STORE196"/>
  </r>
  <r>
    <n v="203385"/>
    <s v="People649"/>
    <s v="department"/>
    <s v="REGION6"/>
    <s v="STORE224"/>
    <s v="MANAGER82"/>
    <s v="POSITIVO"/>
    <d v="1899-12-30T15:16:00"/>
    <m/>
    <d v="1899-12-30T15:16:00"/>
    <s v="POSITION1"/>
    <x v="5"/>
    <s v="STORE224"/>
  </r>
  <r>
    <n v="202078"/>
    <s v="People650"/>
    <s v="department"/>
    <s v="REGION6"/>
    <s v="STORE213"/>
    <s v="MANAGER75"/>
    <s v="POSITIVO"/>
    <d v="1899-12-30T14:46:00"/>
    <m/>
    <d v="1899-12-30T14:46:00"/>
    <s v="POSITION1"/>
    <x v="5"/>
    <s v="STORE213"/>
  </r>
  <r>
    <n v="235982"/>
    <s v="People651"/>
    <s v="department"/>
    <s v="REGION6"/>
    <s v="STORE208"/>
    <s v="MANAGER81"/>
    <s v="POSITIVO"/>
    <d v="1899-12-30T14:42:00"/>
    <m/>
    <d v="1899-12-30T14:42:00"/>
    <s v="POSITION1"/>
    <x v="5"/>
    <s v="STORE208"/>
  </r>
  <r>
    <n v="230259"/>
    <s v="People652"/>
    <s v="department"/>
    <s v="REGION6"/>
    <s v="STORE192"/>
    <s v="MANAGER71"/>
    <s v="POSITIVO"/>
    <d v="1899-12-30T13:57:00"/>
    <m/>
    <d v="1899-12-30T13:57:00"/>
    <s v="POSITION1"/>
    <x v="5"/>
    <s v="STORE192"/>
  </r>
  <r>
    <n v="230304"/>
    <s v="People653"/>
    <s v="department"/>
    <s v="REGION6"/>
    <s v="STORE213"/>
    <s v="MANAGER75"/>
    <s v="POSITIVO"/>
    <d v="1899-12-30T13:43:00"/>
    <m/>
    <d v="1899-12-30T13:43:00"/>
    <s v="POSITION1"/>
    <x v="5"/>
    <s v="STORE213"/>
  </r>
  <r>
    <n v="230587"/>
    <s v="People654"/>
    <s v="department"/>
    <s v="REGION6"/>
    <s v="STORE224"/>
    <s v="MANAGER82"/>
    <s v="POSITIVO"/>
    <d v="1899-12-30T13:27:00"/>
    <m/>
    <d v="1899-12-30T13:27:00"/>
    <s v="POSITION1"/>
    <x v="5"/>
    <s v="STORE224"/>
  </r>
  <r>
    <n v="222842"/>
    <s v="People655"/>
    <s v="department"/>
    <s v="REGION6"/>
    <s v="STORE199"/>
    <s v="MANAGER74"/>
    <s v="POSITIVO"/>
    <d v="1899-12-30T13:08:00"/>
    <m/>
    <d v="1899-12-30T13:08:00"/>
    <s v="POSITION1"/>
    <x v="5"/>
    <s v="STORE199"/>
  </r>
  <r>
    <n v="231226"/>
    <s v="People656"/>
    <s v="department"/>
    <s v="REGION6"/>
    <s v="STORE214"/>
    <s v="MANAGER79"/>
    <s v="POSITIVO"/>
    <d v="1899-12-30T13:04:00"/>
    <m/>
    <d v="1899-12-30T13:04:00"/>
    <s v="POSITION1"/>
    <x v="5"/>
    <s v="STORE214"/>
  </r>
  <r>
    <n v="232918"/>
    <s v="People657"/>
    <s v="department"/>
    <s v="REGION6"/>
    <s v="STORE214"/>
    <s v="MANAGER79"/>
    <s v="POSITIVO"/>
    <d v="1899-12-30T12:03:00"/>
    <m/>
    <d v="1899-12-30T12:03:00"/>
    <s v="POSITION1"/>
    <x v="5"/>
    <s v="STORE214"/>
  </r>
  <r>
    <n v="236304"/>
    <s v="People658"/>
    <s v="department"/>
    <s v="REGION6"/>
    <s v="STORE216"/>
    <s v="MANAGER84"/>
    <s v="POSITIVO"/>
    <d v="1899-12-30T11:58:00"/>
    <m/>
    <d v="1899-12-30T11:58:00"/>
    <s v="POSITION1"/>
    <x v="5"/>
    <s v="STORE216"/>
  </r>
  <r>
    <n v="223561"/>
    <s v="People659"/>
    <s v="department"/>
    <s v="REGION6"/>
    <s v="STORE193"/>
    <s v="MANAGER72"/>
    <s v="POSITIVO"/>
    <d v="1899-12-30T11:29:00"/>
    <m/>
    <d v="1899-12-30T11:29:00"/>
    <s v="POSITION1"/>
    <x v="5"/>
    <s v="STORE193"/>
  </r>
  <r>
    <n v="234853"/>
    <s v="People660"/>
    <s v="department"/>
    <s v="REGION6"/>
    <s v="STORE192"/>
    <s v="MANAGER71"/>
    <s v="POSITIVO"/>
    <d v="1899-12-30T11:24:00"/>
    <m/>
    <d v="1899-12-30T11:24:00"/>
    <s v="POSITION1"/>
    <x v="5"/>
    <s v="STORE192"/>
  </r>
  <r>
    <n v="222380"/>
    <s v="People661"/>
    <s v="department"/>
    <s v="REGION6"/>
    <s v="STORE226"/>
    <s v="MANAGER78"/>
    <s v="POSITIVO"/>
    <d v="1899-12-30T11:19:00"/>
    <m/>
    <d v="1899-12-30T11:19:00"/>
    <s v="POSITION9"/>
    <x v="5"/>
    <s v="STORE226"/>
  </r>
  <r>
    <n v="219371"/>
    <s v="People662"/>
    <s v="department"/>
    <s v="REGION6"/>
    <s v="STORE227"/>
    <s v="MANAGER78"/>
    <s v="POSITIVO"/>
    <d v="1899-12-30T10:55:00"/>
    <m/>
    <d v="1899-12-30T10:55:00"/>
    <s v="POSITION7"/>
    <x v="5"/>
    <s v="STORE227"/>
  </r>
  <r>
    <n v="223317"/>
    <s v="People663"/>
    <s v="department"/>
    <s v="REGION6"/>
    <s v="STORE213"/>
    <s v="MANAGER75"/>
    <s v="POSITIVO"/>
    <d v="1899-12-30T10:43:00"/>
    <m/>
    <d v="1899-12-30T10:43:00"/>
    <s v="POSITION1"/>
    <x v="5"/>
    <s v="STORE213"/>
  </r>
  <r>
    <n v="229877"/>
    <s v="People664"/>
    <s v="department"/>
    <s v="REGION6"/>
    <s v="STORE212"/>
    <s v="MANAGER74"/>
    <s v="POSITIVO"/>
    <d v="1899-12-30T10:34:00"/>
    <m/>
    <d v="1899-12-30T10:34:00"/>
    <s v="POSITION4"/>
    <x v="5"/>
    <s v="STORE212"/>
  </r>
  <r>
    <n v="235243"/>
    <s v="People665"/>
    <s v="department"/>
    <s v="REGION6"/>
    <s v="STORE213"/>
    <s v="MANAGER75"/>
    <s v="POSITIVO"/>
    <d v="1899-12-30T10:19:00"/>
    <m/>
    <d v="1899-12-30T10:19:00"/>
    <s v="POSITION1"/>
    <x v="5"/>
    <s v="STORE213"/>
  </r>
  <r>
    <n v="225263"/>
    <s v="People666"/>
    <s v="department"/>
    <s v="REGION6"/>
    <s v="STORE221"/>
    <s v="MANAGER83"/>
    <s v="POSITIVO"/>
    <d v="1899-12-30T09:09:00"/>
    <m/>
    <d v="1899-12-30T09:09:00"/>
    <s v="POSITION11"/>
    <x v="5"/>
    <s v="STORE221"/>
  </r>
  <r>
    <n v="203332"/>
    <s v="People667"/>
    <s v="department"/>
    <s v="REGION6"/>
    <s v="STORE224"/>
    <s v="MANAGER82"/>
    <s v="POSITIVO"/>
    <d v="1899-12-30T08:32:00"/>
    <m/>
    <d v="1899-12-30T08:32:00"/>
    <s v="POSITION1"/>
    <x v="5"/>
    <s v="STORE224"/>
  </r>
  <r>
    <n v="201280"/>
    <s v="People668"/>
    <s v="department"/>
    <s v="REGION6"/>
    <s v="STORE194"/>
    <s v="MANAGER73"/>
    <s v="POSITIVO"/>
    <d v="1899-12-30T08:18:00"/>
    <m/>
    <d v="1899-12-30T08:18:00"/>
    <s v="POSITION3"/>
    <x v="5"/>
    <s v="STORE194"/>
  </r>
  <r>
    <n v="219778"/>
    <s v="People669"/>
    <s v="department"/>
    <s v="REGION6"/>
    <s v="STORE228"/>
    <s v="MANAGER78"/>
    <s v="POSITIVO"/>
    <d v="1899-12-30T07:57:00"/>
    <m/>
    <d v="1899-12-30T07:57:00"/>
    <s v="POSITION7"/>
    <x v="5"/>
    <s v="STORE228"/>
  </r>
  <r>
    <n v="200858"/>
    <s v="People670"/>
    <s v="department"/>
    <s v="REGION6"/>
    <s v="STORE229"/>
    <s v="MANAGER78"/>
    <s v="POSITIVO"/>
    <d v="1899-12-30T07:18:00"/>
    <m/>
    <d v="1899-12-30T07:18:00"/>
    <s v="POSITION7"/>
    <x v="5"/>
    <s v="STORE229"/>
  </r>
  <r>
    <n v="236529"/>
    <s v="People671"/>
    <s v="department"/>
    <s v="REGION6"/>
    <s v="STORE211"/>
    <s v="MANAGER82"/>
    <s v="POSITIVO"/>
    <d v="1899-12-30T07:07:00"/>
    <m/>
    <d v="1899-12-30T07:07:00"/>
    <s v="POSITION3"/>
    <x v="5"/>
    <s v="STORE211"/>
  </r>
  <r>
    <n v="237178"/>
    <s v="People672"/>
    <s v="department"/>
    <s v="REGION6"/>
    <s v="STORE223"/>
    <s v="MANAGER84"/>
    <s v="POSITIVO"/>
    <d v="1899-12-30T06:54:00"/>
    <m/>
    <d v="1899-12-30T06:54:00"/>
    <s v="POSITION4"/>
    <x v="5"/>
    <s v="STORE223"/>
  </r>
  <r>
    <n v="223095"/>
    <s v="People673"/>
    <s v="department"/>
    <s v="REGION6"/>
    <s v="STORE199"/>
    <s v="MANAGER74"/>
    <s v="POSITIVO"/>
    <d v="1899-12-30T06:40:00"/>
    <m/>
    <d v="1899-12-30T06:40:00"/>
    <s v="POSITION1"/>
    <x v="5"/>
    <s v="STORE199"/>
  </r>
  <r>
    <n v="236041"/>
    <s v="People674"/>
    <s v="department"/>
    <s v="REGION6"/>
    <s v="STORE230"/>
    <s v="MANAGER78"/>
    <s v="POSITIVO"/>
    <d v="1899-12-30T06:30:00"/>
    <m/>
    <d v="1899-12-30T06:30:00"/>
    <s v="POSITION2"/>
    <x v="5"/>
    <s v="STORE230"/>
  </r>
  <r>
    <n v="236499"/>
    <s v="People675"/>
    <s v="department"/>
    <s v="REGION6"/>
    <s v="STORE211"/>
    <s v="MANAGER82"/>
    <s v="POSITIVO"/>
    <d v="1899-12-30T06:17:00"/>
    <m/>
    <d v="1899-12-30T06:17:00"/>
    <s v="POSITION3"/>
    <x v="5"/>
    <s v="STORE211"/>
  </r>
  <r>
    <n v="203549"/>
    <s v="People676"/>
    <s v="department"/>
    <s v="REGION6"/>
    <s v="STORE209"/>
    <s v="MANAGER73"/>
    <s v="POSITIVO"/>
    <d v="1899-12-30T06:13:00"/>
    <m/>
    <d v="1899-12-30T06:13:00"/>
    <s v="POSITION1"/>
    <x v="5"/>
    <s v="STORE209"/>
  </r>
  <r>
    <n v="231994"/>
    <s v="People677"/>
    <s v="department"/>
    <s v="REGION6"/>
    <s v="STORE205"/>
    <s v="MANAGER80"/>
    <s v="POSITIVO"/>
    <d v="1899-12-30T05:14:00"/>
    <m/>
    <d v="1899-12-30T05:14:00"/>
    <s v="POSITION1"/>
    <x v="5"/>
    <s v="STORE205"/>
  </r>
  <r>
    <n v="237749"/>
    <s v="People678"/>
    <s v="department"/>
    <s v="REGION6"/>
    <s v="STORE211"/>
    <s v="MANAGER82"/>
    <s v="POSITIVO"/>
    <d v="1899-12-30T04:44:00"/>
    <m/>
    <d v="1899-12-30T04:44:00"/>
    <s v="POSITION4"/>
    <x v="5"/>
    <s v="STORE211"/>
  </r>
  <r>
    <n v="236321"/>
    <s v="People679"/>
    <s v="department"/>
    <s v="REGION6"/>
    <s v="STORE231"/>
    <s v="MANAGER78"/>
    <s v="POSITIVO"/>
    <d v="1899-12-30T04:28:00"/>
    <m/>
    <d v="1899-12-30T04:28:00"/>
    <s v="POSITION2"/>
    <x v="5"/>
    <s v="STORE231"/>
  </r>
  <r>
    <n v="230374"/>
    <s v="People680"/>
    <s v="department"/>
    <s v="REGION6"/>
    <s v="STORE214"/>
    <s v="MANAGER79"/>
    <s v="POSITIVO"/>
    <d v="1899-12-30T04:00:00"/>
    <m/>
    <d v="1899-12-30T04:00:00"/>
    <s v="POSITION1"/>
    <x v="5"/>
    <s v="STORE214"/>
  </r>
  <r>
    <n v="219370"/>
    <s v="People681"/>
    <s v="department"/>
    <s v="REGION6"/>
    <s v="STORE232"/>
    <s v="MANAGER78"/>
    <s v="POSITIVO"/>
    <d v="1899-12-30T03:30:00"/>
    <m/>
    <d v="1899-12-30T03:30:00"/>
    <s v="POSITION7"/>
    <x v="5"/>
    <s v="STORE232"/>
  </r>
  <r>
    <n v="235236"/>
    <s v="People682"/>
    <s v="department"/>
    <s v="REGION6"/>
    <s v="STORE211"/>
    <s v="MANAGER82"/>
    <s v="POSITIVO"/>
    <d v="1899-12-30T03:05:00"/>
    <m/>
    <d v="1899-12-30T03:05:00"/>
    <s v="POSITION3"/>
    <x v="5"/>
    <s v="STORE211"/>
  </r>
  <r>
    <n v="202385"/>
    <s v="People683"/>
    <s v="department"/>
    <s v="REGION6"/>
    <s v="STORE196"/>
    <s v="MANAGER71"/>
    <s v="POSITIVO"/>
    <d v="1899-12-30T03:00:00"/>
    <m/>
    <d v="1899-12-30T03:00:00"/>
    <s v="POSITION3"/>
    <x v="5"/>
    <s v="STORE196"/>
  </r>
  <r>
    <n v="236306"/>
    <s v="People684"/>
    <s v="department"/>
    <s v="REGION6"/>
    <s v="STORE216"/>
    <s v="MANAGER84"/>
    <s v="POSITIVO"/>
    <d v="1899-12-30T02:39:00"/>
    <m/>
    <d v="1899-12-30T02:39:00"/>
    <s v="POSITION1"/>
    <x v="5"/>
    <s v="STORE216"/>
  </r>
  <r>
    <n v="235980"/>
    <s v="People685"/>
    <s v="department"/>
    <s v="REGION6"/>
    <s v="STORE207"/>
    <s v="MANAGER81"/>
    <s v="POSITIVO"/>
    <d v="1899-12-30T02:05:00"/>
    <m/>
    <d v="1899-12-30T02:05:00"/>
    <s v="POSITION4"/>
    <x v="5"/>
    <s v="STORE207"/>
  </r>
  <r>
    <n v="238110"/>
    <s v="People686"/>
    <s v="department"/>
    <s v="REGION6"/>
    <s v="STORE201"/>
    <s v="MANAGER77"/>
    <s v="POSITIVO"/>
    <d v="1899-12-30T01:14:00"/>
    <m/>
    <d v="1899-12-30T01:14:00"/>
    <s v="POSITION1"/>
    <x v="5"/>
    <s v="STORE201"/>
  </r>
  <r>
    <n v="235897"/>
    <s v="People687"/>
    <s v="department"/>
    <s v="REGION6"/>
    <s v="STORE224"/>
    <s v="MANAGER82"/>
    <s v="POSITIVO"/>
    <d v="1899-12-30T01:00:00"/>
    <m/>
    <d v="1899-12-30T01:00:00"/>
    <s v="POSITION1"/>
    <x v="5"/>
    <s v="STORE224"/>
  </r>
  <r>
    <n v="224789"/>
    <s v="People688"/>
    <s v="department"/>
    <s v="REGION6"/>
    <s v="STORE213"/>
    <s v="MANAGER75"/>
    <s v="POSITIVO"/>
    <d v="1899-12-30T00:34:00"/>
    <m/>
    <d v="1899-12-30T00:34:00"/>
    <s v="POSITION1"/>
    <x v="5"/>
    <s v="STORE213"/>
  </r>
  <r>
    <n v="225194"/>
    <s v="People689"/>
    <s v="department"/>
    <s v="REGION6"/>
    <s v="STORE215"/>
    <s v="MANAGER83"/>
    <s v="POSITIVO"/>
    <d v="1899-12-30T00:28:00"/>
    <m/>
    <d v="1899-12-30T00:28:00"/>
    <s v="POSITION1"/>
    <x v="5"/>
    <s v="STORE215"/>
  </r>
  <r>
    <n v="229419"/>
    <s v="People690"/>
    <s v="department"/>
    <s v="REGION6"/>
    <s v="STORE233"/>
    <s v="MANAGER77"/>
    <s v="POSITIVO"/>
    <d v="1899-12-30T00:10:00"/>
    <m/>
    <d v="1899-12-30T00:10:00"/>
    <s v="POSITION11"/>
    <x v="5"/>
    <s v="STORE233"/>
  </r>
  <r>
    <n v="222895"/>
    <s v="People691"/>
    <s v="department"/>
    <s v="REGION6"/>
    <s v="STORE201"/>
    <s v="MANAGER77"/>
    <s v="POSITIVO"/>
    <d v="1899-12-30T00:09:00"/>
    <m/>
    <d v="1899-12-30T00:09:00"/>
    <s v="POSITION1"/>
    <x v="5"/>
    <s v="STORE201"/>
  </r>
  <r>
    <n v="236275"/>
    <s v="People692"/>
    <s v="department"/>
    <s v="REGION6"/>
    <s v="STORE201"/>
    <s v="MANAGER77"/>
    <s v="POSITIVO"/>
    <d v="1899-12-30T00:02:00"/>
    <m/>
    <d v="1899-12-30T00:02:00"/>
    <s v="POSITION1"/>
    <x v="5"/>
    <s v="STORE201"/>
  </r>
  <r>
    <n v="230421"/>
    <s v="People693"/>
    <s v="department"/>
    <s v="REGION6"/>
    <s v="STORE233"/>
    <s v="MANAGER77"/>
    <s v="POSITIVO"/>
    <d v="1899-12-30T00:01:00"/>
    <m/>
    <d v="1899-12-30T00:01:00"/>
    <s v="POSITION3"/>
    <x v="5"/>
    <s v="STORE233"/>
  </r>
  <r>
    <n v="232415"/>
    <s v="People694"/>
    <s v="department"/>
    <s v="REGION7"/>
    <s v="STORE234"/>
    <s v="MANAGER85"/>
    <s v="NEGATIVO"/>
    <d v="1899-12-31T04:34:00"/>
    <d v="1899-12-31T04:34:00"/>
    <m/>
    <s v="POSITION1"/>
    <x v="6"/>
    <s v="STORE234"/>
  </r>
  <r>
    <n v="202185"/>
    <s v="People695"/>
    <s v="department"/>
    <s v="REGION7"/>
    <s v="STORE235"/>
    <s v="MANAGER86"/>
    <s v="NEGATIVO"/>
    <d v="1899-12-30T00:37:00"/>
    <d v="1899-12-30T00:37:00"/>
    <m/>
    <s v="POSITION1"/>
    <x v="6"/>
    <s v="STORE235"/>
  </r>
  <r>
    <n v="220809"/>
    <s v="People696"/>
    <s v="department"/>
    <s v="REGION7"/>
    <s v="STORE236"/>
    <s v="MANAGER87"/>
    <s v="NEGATIVO"/>
    <d v="1899-12-31T17:35:00"/>
    <d v="1899-12-31T17:35:00"/>
    <m/>
    <s v="POSITION4"/>
    <x v="6"/>
    <s v="STORE236"/>
  </r>
  <r>
    <n v="224554"/>
    <s v="People697"/>
    <s v="department"/>
    <s v="REGION7"/>
    <s v="STORE236"/>
    <s v="MANAGER87"/>
    <s v="NEGATIVO"/>
    <d v="1899-12-30T01:07:00"/>
    <d v="1899-12-30T01:07:00"/>
    <m/>
    <s v="POSITION4"/>
    <x v="6"/>
    <s v="STORE236"/>
  </r>
  <r>
    <n v="231511"/>
    <s v="People698"/>
    <s v="department"/>
    <s v="REGION7"/>
    <s v="STORE237"/>
    <s v="MANAGER87"/>
    <s v="NEGATIVO"/>
    <d v="1899-12-31T04:19:00"/>
    <d v="1899-12-31T04:19:00"/>
    <m/>
    <s v="POSITION1"/>
    <x v="6"/>
    <s v="STORE237"/>
  </r>
  <r>
    <n v="233747"/>
    <s v="People699"/>
    <s v="department"/>
    <s v="REGION7"/>
    <s v="STORE238"/>
    <s v="MANAGER88"/>
    <s v="NEGATIVO"/>
    <d v="1899-12-30T07:11:00"/>
    <d v="1899-12-30T07:11:00"/>
    <m/>
    <s v="POSITION4"/>
    <x v="6"/>
    <s v="STORE238"/>
  </r>
  <r>
    <n v="234669"/>
    <s v="People700"/>
    <s v="department"/>
    <s v="REGION7"/>
    <s v="STORE239"/>
    <s v="MANAGER89"/>
    <s v="NEGATIVO"/>
    <d v="1899-12-30T04:56:00"/>
    <d v="1899-12-30T04:56:00"/>
    <m/>
    <s v="POSITION4"/>
    <x v="6"/>
    <s v="STORE239"/>
  </r>
  <r>
    <n v="232034"/>
    <s v="People701"/>
    <s v="department"/>
    <s v="REGION7"/>
    <s v="STORE240"/>
    <s v="MANAGER86"/>
    <s v="NEGATIVO"/>
    <d v="1899-12-30T21:10:00"/>
    <d v="1899-12-30T21:10:00"/>
    <m/>
    <s v="POSITION1"/>
    <x v="6"/>
    <s v="STORE240"/>
  </r>
  <r>
    <n v="221964"/>
    <s v="People702"/>
    <s v="department"/>
    <s v="REGION7"/>
    <s v="STORE239"/>
    <s v="MANAGER89"/>
    <s v="NEGATIVO"/>
    <d v="1899-12-30T09:56:00"/>
    <d v="1899-12-30T09:56:00"/>
    <m/>
    <s v="POSITION3"/>
    <x v="6"/>
    <s v="STORE239"/>
  </r>
  <r>
    <n v="225492"/>
    <s v="People703"/>
    <s v="department"/>
    <s v="REGION7"/>
    <s v="STORE241"/>
    <s v="MANAGER88"/>
    <s v="NEGATIVO"/>
    <d v="1899-12-30T01:06:00"/>
    <d v="1899-12-30T01:06:00"/>
    <m/>
    <s v="POSITION1"/>
    <x v="6"/>
    <s v="STORE241"/>
  </r>
  <r>
    <n v="233179"/>
    <s v="People704"/>
    <s v="department"/>
    <s v="REGION7"/>
    <s v="STORE235"/>
    <s v="MANAGER86"/>
    <s v="NEGATIVO"/>
    <d v="1899-12-30T01:34:00"/>
    <d v="1899-12-30T01:34:00"/>
    <m/>
    <s v="POSITION1"/>
    <x v="6"/>
    <s v="STORE235"/>
  </r>
  <r>
    <n v="225600"/>
    <s v="People705"/>
    <s v="department"/>
    <s v="REGION7"/>
    <s v="STORE241"/>
    <s v="MANAGER88"/>
    <s v="NEGATIVO"/>
    <d v="1900-01-02T17:20:00"/>
    <d v="1900-01-02T17:20:00"/>
    <m/>
    <s v="POSITION1"/>
    <x v="6"/>
    <s v="STORE241"/>
  </r>
  <r>
    <n v="229718"/>
    <s v="People706"/>
    <s v="department"/>
    <s v="REGION7"/>
    <s v="STORE242"/>
    <s v="MANAGER88"/>
    <s v="NEGATIVO"/>
    <d v="1900-02-01T05:18:00"/>
    <d v="1900-02-01T05:18:00"/>
    <m/>
    <s v="POSITION3"/>
    <x v="6"/>
    <s v="STORE242"/>
  </r>
  <r>
    <n v="235800"/>
    <s v="People707"/>
    <s v="department"/>
    <s v="REGION7"/>
    <s v="STORE243"/>
    <s v="MANAGER90"/>
    <s v="NEGATIVO"/>
    <d v="1899-12-31T17:02:00"/>
    <d v="1899-12-31T17:02:00"/>
    <m/>
    <s v="POSITION3"/>
    <x v="6"/>
    <s v="STORE243"/>
  </r>
  <r>
    <n v="202805"/>
    <s v="People708"/>
    <s v="department"/>
    <s v="REGION7"/>
    <s v="STORE244"/>
    <s v="MANAGER91"/>
    <s v="NEGATIVO"/>
    <d v="1900-01-14T02:18:00"/>
    <d v="1900-01-14T02:18:00"/>
    <m/>
    <s v="POSITION1"/>
    <x v="6"/>
    <s v="STORE244"/>
  </r>
  <r>
    <n v="234640"/>
    <s v="People709"/>
    <s v="department"/>
    <s v="REGION7"/>
    <s v="STORE239"/>
    <s v="MANAGER89"/>
    <s v="NEGATIVO"/>
    <d v="1899-12-30T06:16:00"/>
    <d v="1899-12-30T06:16:00"/>
    <m/>
    <s v="POSITION3"/>
    <x v="6"/>
    <s v="STORE239"/>
  </r>
  <r>
    <n v="230573"/>
    <s v="People710"/>
    <s v="department"/>
    <s v="REGION7"/>
    <s v="STORE245"/>
    <s v="MANAGER92"/>
    <s v="NEGATIVO"/>
    <d v="1899-12-30T05:17:00"/>
    <d v="1899-12-30T05:17:00"/>
    <m/>
    <s v="POSITION3"/>
    <x v="6"/>
    <s v="STORE245"/>
  </r>
  <r>
    <n v="217948"/>
    <s v="People711"/>
    <s v="department"/>
    <s v="REGION7"/>
    <s v="STORE246"/>
    <s v="MANAGER93"/>
    <s v="NEGATIVO"/>
    <d v="1899-12-30T04:00:00"/>
    <d v="1899-12-30T04:00:00"/>
    <m/>
    <s v="POSITION4"/>
    <x v="6"/>
    <s v="STORE246"/>
  </r>
  <r>
    <n v="234649"/>
    <s v="People712"/>
    <s v="department"/>
    <s v="REGION7"/>
    <s v="STORE247"/>
    <s v="MANAGER93"/>
    <s v="NEGATIVO"/>
    <d v="1899-12-30T03:49:00"/>
    <d v="1899-12-30T03:49:00"/>
    <m/>
    <s v="POSITION1"/>
    <x v="6"/>
    <s v="STORE247"/>
  </r>
  <r>
    <n v="224329"/>
    <s v="People713"/>
    <s v="department"/>
    <s v="REGION7"/>
    <s v="STORE248"/>
    <s v="MANAGER94"/>
    <s v="NEGATIVO"/>
    <d v="1899-12-30T01:10:00"/>
    <d v="1899-12-30T01:10:00"/>
    <m/>
    <s v="POSITION1"/>
    <x v="6"/>
    <s v="STORE248"/>
  </r>
  <r>
    <n v="231761"/>
    <s v="People714"/>
    <s v="department"/>
    <s v="REGION7"/>
    <s v="STORE244"/>
    <s v="MANAGER91"/>
    <s v="NEGATIVO"/>
    <d v="1899-12-31T10:35:00"/>
    <d v="1899-12-31T10:35:00"/>
    <m/>
    <s v="POSITION1"/>
    <x v="6"/>
    <s v="STORE244"/>
  </r>
  <r>
    <n v="203428"/>
    <s v="People715"/>
    <s v="department"/>
    <s v="REGION7"/>
    <s v="STORE249"/>
    <s v="MANAGER95"/>
    <s v="NEGATIVO"/>
    <d v="1899-12-30T11:01:00"/>
    <d v="1899-12-30T11:01:00"/>
    <m/>
    <s v="POSITION8"/>
    <x v="6"/>
    <s v="STORE249"/>
  </r>
  <r>
    <n v="232671"/>
    <s v="People716"/>
    <s v="department"/>
    <s v="REGION7"/>
    <s v="STORE250"/>
    <s v="MANAGER90"/>
    <s v="NEGATIVO"/>
    <d v="1900-01-02T08:53:00"/>
    <d v="1900-01-02T08:53:00"/>
    <m/>
    <s v="POSITION1"/>
    <x v="6"/>
    <s v="STORE250"/>
  </r>
  <r>
    <n v="235849"/>
    <s v="People717"/>
    <s v="department"/>
    <s v="REGION7"/>
    <s v="STORE244"/>
    <s v="MANAGER91"/>
    <s v="NEGATIVO"/>
    <d v="1900-01-12T22:41:00"/>
    <d v="1900-01-12T22:41:00"/>
    <m/>
    <s v="POSITION1"/>
    <x v="6"/>
    <s v="STORE244"/>
  </r>
  <r>
    <n v="231164"/>
    <s v="People718"/>
    <s v="department"/>
    <s v="REGION7"/>
    <s v="STORE234"/>
    <s v="MANAGER85"/>
    <s v="NEGATIVO"/>
    <d v="1899-12-30T20:29:00"/>
    <d v="1899-12-30T20:29:00"/>
    <m/>
    <s v="POSITION1"/>
    <x v="6"/>
    <s v="STORE234"/>
  </r>
  <r>
    <n v="231646"/>
    <s v="People719"/>
    <s v="department"/>
    <s v="REGION7"/>
    <s v="STORE251"/>
    <s v="MANAGER96"/>
    <s v="NEGATIVO"/>
    <d v="1899-12-30T14:14:00"/>
    <d v="1899-12-30T14:14:00"/>
    <m/>
    <s v="POSITION1"/>
    <x v="6"/>
    <s v="STORE251"/>
  </r>
  <r>
    <n v="203601"/>
    <s v="People720"/>
    <s v="department"/>
    <s v="REGION7"/>
    <s v="STORE237"/>
    <s v="MANAGER87"/>
    <s v="NEGATIVO"/>
    <d v="1899-12-30T09:02:00"/>
    <d v="1899-12-30T09:02:00"/>
    <m/>
    <s v="POSITION1"/>
    <x v="6"/>
    <s v="STORE237"/>
  </r>
  <r>
    <n v="203448"/>
    <s v="People721"/>
    <s v="department"/>
    <s v="REGION7"/>
    <s v="STORE250"/>
    <s v="MANAGER90"/>
    <s v="NEGATIVO"/>
    <d v="1900-01-01T19:47:00"/>
    <d v="1900-01-01T19:47:00"/>
    <m/>
    <s v="POSITION1"/>
    <x v="6"/>
    <s v="STORE250"/>
  </r>
  <r>
    <n v="224949"/>
    <s v="People722"/>
    <s v="department"/>
    <s v="REGION7"/>
    <s v="STORE247"/>
    <s v="MANAGER93"/>
    <s v="NEGATIVO"/>
    <d v="1899-12-30T03:21:00"/>
    <d v="1899-12-30T03:21:00"/>
    <m/>
    <s v="POSITION1"/>
    <x v="6"/>
    <s v="STORE247"/>
  </r>
  <r>
    <n v="234373"/>
    <s v="People723"/>
    <s v="department"/>
    <s v="REGION7"/>
    <s v="STORE252"/>
    <s v="MANAGER92"/>
    <s v="NEGATIVO"/>
    <d v="1899-12-30T11:47:00"/>
    <d v="1899-12-30T11:47:00"/>
    <m/>
    <s v="POSITION1"/>
    <x v="6"/>
    <s v="STORE252"/>
  </r>
  <r>
    <n v="229319"/>
    <s v="People724"/>
    <s v="department"/>
    <s v="REGION7"/>
    <s v="STORE253"/>
    <s v="MANAGER91"/>
    <s v="NEGATIVO"/>
    <d v="1900-01-10T17:52:00"/>
    <d v="1900-01-10T17:52:00"/>
    <m/>
    <s v="POSITION3"/>
    <x v="6"/>
    <s v="STORE253"/>
  </r>
  <r>
    <n v="232546"/>
    <s v="People725"/>
    <s v="department"/>
    <s v="REGION7"/>
    <s v="STORE248"/>
    <s v="MANAGER94"/>
    <s v="NEGATIVO"/>
    <d v="1899-12-30T04:40:00"/>
    <d v="1899-12-30T04:40:00"/>
    <m/>
    <s v="POSITION1"/>
    <x v="6"/>
    <s v="STORE248"/>
  </r>
  <r>
    <n v="202808"/>
    <s v="People726"/>
    <s v="department"/>
    <s v="REGION7"/>
    <s v="STORE254"/>
    <s v="MANAGER89"/>
    <s v="NEGATIVO"/>
    <d v="1899-12-31T10:43:00"/>
    <d v="1899-12-31T10:43:00"/>
    <m/>
    <s v="POSITION1"/>
    <x v="6"/>
    <s v="STORE254"/>
  </r>
  <r>
    <n v="230743"/>
    <s v="People727"/>
    <s v="department"/>
    <s v="REGION7"/>
    <s v="STORE245"/>
    <s v="MANAGER92"/>
    <s v="NEGATIVO"/>
    <d v="1899-12-30T02:20:00"/>
    <d v="1899-12-30T02:20:00"/>
    <m/>
    <s v="POSITION4"/>
    <x v="6"/>
    <s v="STORE245"/>
  </r>
  <r>
    <n v="233466"/>
    <s v="People728"/>
    <s v="department"/>
    <s v="REGION7"/>
    <s v="STORE236"/>
    <s v="MANAGER87"/>
    <s v="NEGATIVO"/>
    <d v="1899-12-31T11:26:00"/>
    <d v="1899-12-31T11:26:00"/>
    <m/>
    <s v="POSITION5"/>
    <x v="6"/>
    <s v="STORE236"/>
  </r>
  <r>
    <n v="232900"/>
    <s v="People729"/>
    <s v="department"/>
    <s v="REGION7"/>
    <s v="STORE254"/>
    <s v="MANAGER89"/>
    <s v="NEGATIVO"/>
    <d v="1899-12-30T09:32:00"/>
    <d v="1899-12-30T09:32:00"/>
    <m/>
    <s v="POSITION1"/>
    <x v="6"/>
    <s v="STORE254"/>
  </r>
  <r>
    <n v="234910"/>
    <s v="People730"/>
    <s v="department"/>
    <s v="REGION7"/>
    <s v="STORE247"/>
    <s v="MANAGER93"/>
    <s v="NEGATIVO"/>
    <d v="1899-12-30T08:51:00"/>
    <d v="1899-12-30T08:51:00"/>
    <m/>
    <s v="POSITION1"/>
    <x v="6"/>
    <s v="STORE247"/>
  </r>
  <r>
    <n v="231742"/>
    <s v="People731"/>
    <s v="department"/>
    <s v="REGION7"/>
    <s v="STORE244"/>
    <s v="MANAGER91"/>
    <s v="NEGATIVO"/>
    <d v="1900-01-14T23:54:00"/>
    <d v="1900-01-14T23:54:00"/>
    <m/>
    <s v="POSITION1"/>
    <x v="6"/>
    <s v="STORE244"/>
  </r>
  <r>
    <n v="224123"/>
    <s v="People732"/>
    <s v="department"/>
    <s v="REGION7"/>
    <s v="STORE246"/>
    <s v="MANAGER93"/>
    <s v="NEGATIVO"/>
    <d v="1899-12-30T09:18:00"/>
    <d v="1899-12-30T09:18:00"/>
    <m/>
    <s v="POSITION5"/>
    <x v="6"/>
    <s v="STORE246"/>
  </r>
  <r>
    <n v="237726"/>
    <s v="People733"/>
    <s v="department"/>
    <s v="REGION7"/>
    <s v="STORE254"/>
    <s v="MANAGER89"/>
    <s v="NEGATIVO"/>
    <d v="1899-12-30T08:16:00"/>
    <d v="1899-12-30T08:16:00"/>
    <m/>
    <s v="POSITION1"/>
    <x v="6"/>
    <s v="STORE254"/>
  </r>
  <r>
    <n v="232452"/>
    <s v="People734"/>
    <s v="department"/>
    <s v="REGION7"/>
    <s v="STORE251"/>
    <s v="MANAGER96"/>
    <s v="NEGATIVO"/>
    <d v="1899-12-30T06:07:00"/>
    <d v="1899-12-30T06:07:00"/>
    <m/>
    <s v="POSITION1"/>
    <x v="6"/>
    <s v="STORE251"/>
  </r>
  <r>
    <n v="203504"/>
    <s v="People735"/>
    <s v="department"/>
    <s v="REGION7"/>
    <s v="STORE244"/>
    <s v="MANAGER91"/>
    <s v="NEGATIVO"/>
    <d v="1900-01-07T02:19:00"/>
    <d v="1900-01-07T02:19:00"/>
    <m/>
    <s v="POSITION1"/>
    <x v="6"/>
    <s v="STORE244"/>
  </r>
  <r>
    <n v="234153"/>
    <s v="People736"/>
    <s v="department"/>
    <s v="REGION7"/>
    <s v="STORE255"/>
    <s v="MANAGER95"/>
    <s v="NEGATIVO"/>
    <d v="1899-12-30T00:52:00"/>
    <d v="1899-12-30T00:52:00"/>
    <m/>
    <s v="POSITION2"/>
    <x v="6"/>
    <s v="STORE255"/>
  </r>
  <r>
    <n v="203114"/>
    <s v="People737"/>
    <s v="department"/>
    <s v="REGION7"/>
    <s v="STORE254"/>
    <s v="MANAGER89"/>
    <s v="NEGATIVO"/>
    <d v="1899-12-30T08:41:00"/>
    <d v="1899-12-30T08:41:00"/>
    <m/>
    <s v="POSITION1"/>
    <x v="6"/>
    <s v="STORE254"/>
  </r>
  <r>
    <n v="238205"/>
    <s v="People738"/>
    <s v="department"/>
    <s v="REGION7"/>
    <s v="STORE238"/>
    <s v="MANAGER88"/>
    <s v="NEGATIVO"/>
    <d v="1899-12-30T00:52:00"/>
    <d v="1899-12-30T00:52:00"/>
    <m/>
    <s v="POSITION3"/>
    <x v="6"/>
    <s v="STORE238"/>
  </r>
  <r>
    <n v="201179"/>
    <s v="People739"/>
    <s v="department"/>
    <s v="REGION7"/>
    <s v="STORE248"/>
    <s v="MANAGER94"/>
    <s v="NEGATIVO"/>
    <d v="1899-12-31T07:03:00"/>
    <d v="1899-12-31T07:03:00"/>
    <m/>
    <s v="POSITION1"/>
    <x v="6"/>
    <s v="STORE248"/>
  </r>
  <r>
    <n v="229954"/>
    <s v="People740"/>
    <s v="department"/>
    <s v="REGION7"/>
    <s v="STORE247"/>
    <s v="MANAGER93"/>
    <s v="NEGATIVO"/>
    <d v="1899-12-30T02:50:00"/>
    <d v="1899-12-30T02:50:00"/>
    <m/>
    <s v="POSITION1"/>
    <x v="6"/>
    <s v="STORE247"/>
  </r>
  <r>
    <n v="231905"/>
    <s v="People741"/>
    <s v="department"/>
    <s v="REGION7"/>
    <s v="STORE248"/>
    <s v="MANAGER94"/>
    <s v="NEGATIVO"/>
    <d v="1899-12-30T06:00:00"/>
    <d v="1899-12-30T06:00:00"/>
    <m/>
    <s v="POSITION1"/>
    <x v="6"/>
    <s v="STORE248"/>
  </r>
  <r>
    <n v="230182"/>
    <s v="People742"/>
    <s v="department"/>
    <s v="REGION7"/>
    <s v="STORE234"/>
    <s v="MANAGER85"/>
    <s v="NEGATIVO"/>
    <d v="1899-12-30T16:03:00"/>
    <d v="1899-12-30T16:03:00"/>
    <m/>
    <s v="POSITION1"/>
    <x v="6"/>
    <s v="STORE234"/>
  </r>
  <r>
    <n v="222004"/>
    <s v="People743"/>
    <s v="department"/>
    <s v="REGION7"/>
    <s v="STORE256"/>
    <s v="MANAGER85"/>
    <s v="NEGATIVO"/>
    <d v="1899-12-30T10:37:00"/>
    <d v="1899-12-30T10:37:00"/>
    <m/>
    <s v="POSITION3"/>
    <x v="6"/>
    <s v="STORE256"/>
  </r>
  <r>
    <n v="203406"/>
    <s v="People744"/>
    <s v="department"/>
    <s v="REGION7"/>
    <s v="STORE237"/>
    <s v="MANAGER87"/>
    <s v="NEGATIVO"/>
    <d v="1899-12-30T07:48:00"/>
    <d v="1899-12-30T07:48:00"/>
    <m/>
    <s v="POSITION1"/>
    <x v="6"/>
    <s v="STORE237"/>
  </r>
  <r>
    <n v="235865"/>
    <s v="People745"/>
    <s v="department"/>
    <s v="REGION7"/>
    <s v="STORE239"/>
    <s v="MANAGER89"/>
    <s v="NEGATIVO"/>
    <d v="1899-12-30T00:42:00"/>
    <d v="1899-12-30T00:42:00"/>
    <m/>
    <s v="POSITION3"/>
    <x v="6"/>
    <s v="STORE239"/>
  </r>
  <r>
    <n v="231301"/>
    <s v="People746"/>
    <s v="department"/>
    <s v="REGION7"/>
    <s v="STORE252"/>
    <s v="MANAGER92"/>
    <s v="NEGATIVO"/>
    <d v="1899-12-31T01:32:00"/>
    <d v="1899-12-31T01:32:00"/>
    <m/>
    <s v="POSITION1"/>
    <x v="6"/>
    <s v="STORE252"/>
  </r>
  <r>
    <n v="222592"/>
    <s v="People747"/>
    <s v="department"/>
    <s v="REGION7"/>
    <s v="STORE257"/>
    <s v="MANAGER94"/>
    <s v="NEGATIVO"/>
    <d v="1899-12-30T09:13:00"/>
    <d v="1899-12-30T09:13:00"/>
    <m/>
    <s v="POSITION5"/>
    <x v="6"/>
    <s v="STORE257"/>
  </r>
  <r>
    <n v="220996"/>
    <s v="People748"/>
    <s v="department"/>
    <s v="REGION7"/>
    <s v="STORE236"/>
    <s v="MANAGER87"/>
    <s v="NEGATIVO"/>
    <d v="1899-12-30T06:27:00"/>
    <d v="1899-12-30T06:27:00"/>
    <m/>
    <s v="POSITION3"/>
    <x v="6"/>
    <s v="STORE236"/>
  </r>
  <r>
    <n v="231606"/>
    <s v="People749"/>
    <s v="department"/>
    <s v="REGION7"/>
    <s v="STORE253"/>
    <s v="MANAGER91"/>
    <s v="NEGATIVO"/>
    <d v="1899-12-30T09:47:00"/>
    <d v="1899-12-30T09:47:00"/>
    <m/>
    <s v="POSITION4"/>
    <x v="6"/>
    <s v="STORE253"/>
  </r>
  <r>
    <n v="221865"/>
    <s v="People750"/>
    <s v="department"/>
    <s v="REGION7"/>
    <s v="STORE246"/>
    <s v="MANAGER93"/>
    <s v="NEGATIVO"/>
    <d v="1899-12-30T13:48:00"/>
    <d v="1899-12-30T13:48:00"/>
    <m/>
    <s v="POSITION3"/>
    <x v="6"/>
    <s v="STORE246"/>
  </r>
  <r>
    <n v="203398"/>
    <s v="People751"/>
    <s v="department"/>
    <s v="REGION7"/>
    <s v="STORE258"/>
    <s v="MANAGER95"/>
    <s v="NEGATIVO"/>
    <d v="1899-12-30T07:49:00"/>
    <d v="1899-12-30T07:49:00"/>
    <m/>
    <s v="POSITION5"/>
    <x v="6"/>
    <s v="STORE258"/>
  </r>
  <r>
    <n v="222800"/>
    <s v="People752"/>
    <s v="department"/>
    <s v="REGION7"/>
    <s v="STORE235"/>
    <s v="MANAGER86"/>
    <s v="NEGATIVO"/>
    <d v="1899-12-30T04:07:00"/>
    <d v="1899-12-30T04:07:00"/>
    <m/>
    <s v="POSITION1"/>
    <x v="6"/>
    <s v="STORE235"/>
  </r>
  <r>
    <n v="237425"/>
    <s v="People753"/>
    <s v="department"/>
    <s v="REGION7"/>
    <s v="STORE251"/>
    <s v="MANAGER96"/>
    <s v="NEGATIVO"/>
    <d v="1899-12-30T04:12:00"/>
    <d v="1899-12-30T04:12:00"/>
    <m/>
    <s v="POSITION1"/>
    <x v="6"/>
    <s v="STORE251"/>
  </r>
  <r>
    <n v="237742"/>
    <s v="People754"/>
    <s v="department"/>
    <s v="REGION7"/>
    <s v="STORE256"/>
    <s v="MANAGER85"/>
    <s v="NEGATIVO"/>
    <d v="1899-12-30T08:32:00"/>
    <d v="1899-12-30T08:32:00"/>
    <m/>
    <s v="POSITION4"/>
    <x v="6"/>
    <s v="STORE256"/>
  </r>
  <r>
    <n v="229535"/>
    <s v="People755"/>
    <s v="department"/>
    <s v="REGION7"/>
    <s v="STORE237"/>
    <s v="MANAGER87"/>
    <s v="NEGATIVO"/>
    <d v="1899-12-30T13:14:00"/>
    <d v="1899-12-30T13:14:00"/>
    <m/>
    <s v="POSITION1"/>
    <x v="6"/>
    <s v="STORE237"/>
  </r>
  <r>
    <n v="203137"/>
    <s v="People756"/>
    <s v="department"/>
    <s v="REGION7"/>
    <s v="STORE244"/>
    <s v="MANAGER91"/>
    <s v="NEGATIVO"/>
    <d v="1900-01-02T16:01:00"/>
    <d v="1900-01-02T16:01:00"/>
    <m/>
    <s v="POSITION1"/>
    <x v="6"/>
    <s v="STORE244"/>
  </r>
  <r>
    <n v="231071"/>
    <s v="People757"/>
    <s v="department"/>
    <s v="REGION7"/>
    <s v="STORE234"/>
    <s v="MANAGER85"/>
    <s v="NEGATIVO"/>
    <d v="1899-12-30T16:36:00"/>
    <d v="1899-12-30T16:36:00"/>
    <m/>
    <s v="POSITION1"/>
    <x v="6"/>
    <s v="STORE234"/>
  </r>
  <r>
    <n v="203054"/>
    <s v="People758"/>
    <s v="department"/>
    <s v="REGION7"/>
    <s v="STORE234"/>
    <s v="MANAGER85"/>
    <s v="NEGATIVO"/>
    <d v="1899-12-30T02:28:00"/>
    <d v="1899-12-30T02:28:00"/>
    <m/>
    <s v="POSITION1"/>
    <x v="6"/>
    <s v="STORE234"/>
  </r>
  <r>
    <n v="202865"/>
    <s v="People759"/>
    <s v="department"/>
    <s v="REGION7"/>
    <s v="STORE250"/>
    <s v="MANAGER90"/>
    <s v="POSITIVO"/>
    <d v="1899-12-31T21:28:00"/>
    <m/>
    <d v="1899-12-31T21:28:00"/>
    <s v="POSITION1"/>
    <x v="6"/>
    <s v="STORE250"/>
  </r>
  <r>
    <n v="231605"/>
    <s v="People760"/>
    <s v="department"/>
    <s v="REGION7"/>
    <s v="STORE244"/>
    <s v="MANAGER91"/>
    <s v="POSITIVO"/>
    <d v="1899-12-31T10:31:00"/>
    <m/>
    <d v="1899-12-31T10:31:00"/>
    <s v="POSITION1"/>
    <x v="6"/>
    <s v="STORE244"/>
  </r>
  <r>
    <n v="222978"/>
    <s v="People761"/>
    <s v="department"/>
    <s v="REGION7"/>
    <s v="STORE237"/>
    <s v="MANAGER87"/>
    <s v="POSITIVO"/>
    <d v="1899-12-31T06:55:00"/>
    <m/>
    <d v="1899-12-31T06:55:00"/>
    <s v="POSITION1"/>
    <x v="6"/>
    <s v="STORE237"/>
  </r>
  <r>
    <n v="238052"/>
    <s v="People762"/>
    <s v="department"/>
    <s v="REGION7"/>
    <s v="STORE250"/>
    <s v="MANAGER90"/>
    <s v="POSITIVO"/>
    <d v="1899-12-31T05:56:00"/>
    <m/>
    <d v="1899-12-31T05:56:00"/>
    <s v="POSITION1"/>
    <x v="6"/>
    <s v="STORE250"/>
  </r>
  <r>
    <n v="218278"/>
    <s v="People763"/>
    <s v="department"/>
    <s v="REGION7"/>
    <s v="STORE259"/>
    <s v="MANAGER95"/>
    <s v="POSITIVO"/>
    <d v="1899-12-31T05:02:00"/>
    <m/>
    <d v="1899-12-31T05:02:00"/>
    <s v="POSITION7"/>
    <x v="6"/>
    <s v="STORE259"/>
  </r>
  <r>
    <n v="224977"/>
    <s v="People764"/>
    <s v="department"/>
    <s v="REGION7"/>
    <s v="STORE243"/>
    <s v="MANAGER90"/>
    <s v="POSITIVO"/>
    <d v="1899-12-31T03:17:00"/>
    <m/>
    <d v="1899-12-31T03:17:00"/>
    <s v="POSITION3"/>
    <x v="6"/>
    <s v="STORE243"/>
  </r>
  <r>
    <n v="223555"/>
    <s v="People765"/>
    <s v="department"/>
    <s v="REGION7"/>
    <s v="STORE250"/>
    <s v="MANAGER90"/>
    <s v="POSITIVO"/>
    <d v="1899-12-31T02:37:00"/>
    <m/>
    <d v="1899-12-31T02:37:00"/>
    <s v="POSITION1"/>
    <x v="6"/>
    <s v="STORE250"/>
  </r>
  <r>
    <n v="231899"/>
    <s v="People766"/>
    <s v="department"/>
    <s v="REGION7"/>
    <s v="STORE234"/>
    <s v="MANAGER85"/>
    <s v="POSITIVO"/>
    <d v="1899-12-31T01:52:00"/>
    <m/>
    <d v="1899-12-31T01:52:00"/>
    <s v="POSITION1"/>
    <x v="6"/>
    <s v="STORE234"/>
  </r>
  <r>
    <n v="232005"/>
    <s v="People767"/>
    <s v="department"/>
    <s v="REGION7"/>
    <s v="STORE250"/>
    <s v="MANAGER90"/>
    <s v="POSITIVO"/>
    <d v="1899-12-31T01:03:00"/>
    <m/>
    <d v="1899-12-31T01:03:00"/>
    <s v="POSITION1"/>
    <x v="6"/>
    <s v="STORE250"/>
  </r>
  <r>
    <n v="201108"/>
    <s v="People768"/>
    <s v="department"/>
    <s v="REGION7"/>
    <s v="STORE260"/>
    <s v="MANAGER95"/>
    <s v="POSITIVO"/>
    <d v="1899-12-31T00:46:00"/>
    <m/>
    <d v="1899-12-31T00:46:00"/>
    <s v="POSITION7"/>
    <x v="6"/>
    <s v="STORE260"/>
  </r>
  <r>
    <n v="236001"/>
    <s v="People769"/>
    <s v="department"/>
    <s v="REGION7"/>
    <s v="STORE252"/>
    <s v="MANAGER92"/>
    <s v="POSITIVO"/>
    <d v="1899-12-31T00:29:00"/>
    <m/>
    <d v="1899-12-31T00:29:00"/>
    <s v="POSITION1"/>
    <x v="6"/>
    <s v="STORE252"/>
  </r>
  <r>
    <n v="203107"/>
    <s v="People770"/>
    <s v="department"/>
    <s v="REGION7"/>
    <s v="STORE234"/>
    <s v="MANAGER85"/>
    <s v="POSITIVO"/>
    <d v="1899-12-30T23:41:00"/>
    <m/>
    <d v="1899-12-30T23:41:00"/>
    <s v="POSITION1"/>
    <x v="6"/>
    <s v="STORE234"/>
  </r>
  <r>
    <n v="237698"/>
    <s v="People771"/>
    <s v="department"/>
    <s v="REGION7"/>
    <s v="STORE248"/>
    <s v="MANAGER94"/>
    <s v="POSITIVO"/>
    <d v="1899-12-30T22:28:00"/>
    <m/>
    <d v="1899-12-30T22:28:00"/>
    <s v="POSITION1"/>
    <x v="6"/>
    <s v="STORE248"/>
  </r>
  <r>
    <n v="202909"/>
    <s v="People772"/>
    <s v="department"/>
    <s v="REGION7"/>
    <s v="STORE257"/>
    <s v="MANAGER94"/>
    <s v="POSITIVO"/>
    <d v="1899-12-30T20:40:00"/>
    <m/>
    <d v="1899-12-30T20:40:00"/>
    <s v="POSITION3"/>
    <x v="6"/>
    <s v="STORE257"/>
  </r>
  <r>
    <n v="200746"/>
    <s v="People773"/>
    <s v="department"/>
    <s v="REGION7"/>
    <s v="STORE256"/>
    <s v="MANAGER85"/>
    <s v="POSITIVO"/>
    <d v="1899-12-30T18:34:00"/>
    <m/>
    <d v="1899-12-30T18:34:00"/>
    <s v="POSITION3"/>
    <x v="6"/>
    <s v="STORE256"/>
  </r>
  <r>
    <n v="229986"/>
    <s v="People774"/>
    <s v="department"/>
    <s v="REGION7"/>
    <s v="STORE235"/>
    <s v="MANAGER86"/>
    <s v="POSITIVO"/>
    <d v="1899-12-30T17:30:00"/>
    <m/>
    <d v="1899-12-30T17:30:00"/>
    <s v="POSITION1"/>
    <x v="6"/>
    <s v="STORE235"/>
  </r>
  <r>
    <n v="221494"/>
    <s v="People775"/>
    <s v="department"/>
    <s v="REGION7"/>
    <s v="STORE257"/>
    <s v="MANAGER94"/>
    <s v="POSITIVO"/>
    <d v="1899-12-30T17:30:00"/>
    <m/>
    <d v="1899-12-30T17:30:00"/>
    <s v="POSITION4"/>
    <x v="6"/>
    <s v="STORE257"/>
  </r>
  <r>
    <n v="224948"/>
    <s v="People776"/>
    <s v="department"/>
    <s v="REGION7"/>
    <s v="STORE261"/>
    <s v="MANAGER88"/>
    <s v="POSITIVO"/>
    <d v="1899-12-30T17:29:00"/>
    <m/>
    <d v="1899-12-30T17:29:00"/>
    <s v="POSITION1"/>
    <x v="6"/>
    <s v="STORE261"/>
  </r>
  <r>
    <n v="236376"/>
    <s v="People777"/>
    <s v="department"/>
    <s v="REGION7"/>
    <s v="STORE254"/>
    <s v="MANAGER89"/>
    <s v="POSITIVO"/>
    <d v="1899-12-30T15:20:00"/>
    <m/>
    <d v="1899-12-30T15:20:00"/>
    <s v="POSITION1"/>
    <x v="6"/>
    <s v="STORE254"/>
  </r>
  <r>
    <n v="229948"/>
    <s v="People778"/>
    <s v="department"/>
    <s v="REGION7"/>
    <s v="STORE236"/>
    <s v="MANAGER87"/>
    <s v="POSITIVO"/>
    <d v="1899-12-30T14:56:00"/>
    <m/>
    <d v="1899-12-30T14:56:00"/>
    <s v="POSITION3"/>
    <x v="6"/>
    <s v="STORE236"/>
  </r>
  <r>
    <n v="215783"/>
    <s v="People779"/>
    <s v="department"/>
    <s v="REGION7"/>
    <s v="STORE262"/>
    <s v="MANAGER95"/>
    <s v="POSITIVO"/>
    <d v="1899-12-30T14:37:00"/>
    <m/>
    <d v="1899-12-30T14:37:00"/>
    <s v="POSITION7"/>
    <x v="6"/>
    <s v="STORE262"/>
  </r>
  <r>
    <n v="230794"/>
    <s v="People780"/>
    <s v="department"/>
    <s v="REGION7"/>
    <s v="STORE252"/>
    <s v="MANAGER92"/>
    <s v="POSITIVO"/>
    <d v="1899-12-30T13:18:00"/>
    <m/>
    <d v="1899-12-30T13:18:00"/>
    <s v="POSITION1"/>
    <x v="6"/>
    <s v="STORE252"/>
  </r>
  <r>
    <n v="216277"/>
    <s v="People781"/>
    <s v="department"/>
    <s v="REGION7"/>
    <s v="STORE263"/>
    <s v="MANAGER95"/>
    <s v="POSITIVO"/>
    <d v="1899-12-30T13:06:00"/>
    <m/>
    <d v="1899-12-30T13:06:00"/>
    <s v="POSITION7"/>
    <x v="6"/>
    <s v="STORE263"/>
  </r>
  <r>
    <n v="232965"/>
    <s v="People782"/>
    <s v="department"/>
    <s v="REGION7"/>
    <s v="STORE257"/>
    <s v="MANAGER94"/>
    <s v="POSITIVO"/>
    <d v="1899-12-30T12:44:00"/>
    <m/>
    <d v="1899-12-30T12:44:00"/>
    <s v="POSITION3"/>
    <x v="6"/>
    <s v="STORE257"/>
  </r>
  <r>
    <n v="230618"/>
    <s v="People783"/>
    <s v="department"/>
    <s v="REGION7"/>
    <s v="STORE251"/>
    <s v="MANAGER96"/>
    <s v="POSITIVO"/>
    <d v="1899-12-30T11:58:00"/>
    <m/>
    <d v="1899-12-30T11:58:00"/>
    <s v="POSITION1"/>
    <x v="6"/>
    <s v="STORE251"/>
  </r>
  <r>
    <n v="230363"/>
    <s v="People784"/>
    <s v="department"/>
    <s v="REGION7"/>
    <s v="STORE235"/>
    <s v="MANAGER86"/>
    <s v="POSITIVO"/>
    <d v="1899-12-30T11:28:00"/>
    <m/>
    <d v="1899-12-30T11:28:00"/>
    <s v="POSITION1"/>
    <x v="6"/>
    <s v="STORE235"/>
  </r>
  <r>
    <n v="221590"/>
    <s v="People785"/>
    <s v="department"/>
    <s v="REGION7"/>
    <s v="STORE243"/>
    <s v="MANAGER90"/>
    <s v="POSITIVO"/>
    <d v="1899-12-30T11:20:00"/>
    <m/>
    <d v="1899-12-30T11:20:00"/>
    <s v="POSITION4"/>
    <x v="6"/>
    <s v="STORE243"/>
  </r>
  <r>
    <n v="200602"/>
    <s v="People786"/>
    <s v="department"/>
    <s v="REGION7"/>
    <s v="STORE240"/>
    <s v="MANAGER86"/>
    <s v="POSITIVO"/>
    <d v="1899-12-30T11:09:00"/>
    <m/>
    <d v="1899-12-30T11:09:00"/>
    <s v="POSITION3"/>
    <x v="6"/>
    <s v="STORE240"/>
  </r>
  <r>
    <n v="233618"/>
    <s v="People787"/>
    <s v="department"/>
    <s v="REGION7"/>
    <s v="STORE248"/>
    <s v="MANAGER94"/>
    <s v="POSITIVO"/>
    <d v="1899-12-30T10:25:00"/>
    <m/>
    <d v="1899-12-30T10:25:00"/>
    <s v="POSITION1"/>
    <x v="6"/>
    <s v="STORE248"/>
  </r>
  <r>
    <n v="201755"/>
    <s v="People788"/>
    <s v="department"/>
    <s v="REGION7"/>
    <s v="STORE254"/>
    <s v="MANAGER89"/>
    <s v="POSITIVO"/>
    <d v="1899-12-30T10:00:00"/>
    <m/>
    <d v="1899-12-30T10:00:00"/>
    <s v="POSITION1"/>
    <x v="6"/>
    <s v="STORE254"/>
  </r>
  <r>
    <n v="224856"/>
    <s v="People789"/>
    <s v="department"/>
    <s v="REGION7"/>
    <s v="STORE264"/>
    <s v="MANAGER95"/>
    <s v="POSITIVO"/>
    <d v="1899-12-30T09:45:00"/>
    <m/>
    <d v="1899-12-30T09:45:00"/>
    <s v="POSITION2"/>
    <x v="6"/>
    <s v="STORE264"/>
  </r>
  <r>
    <n v="223793"/>
    <s v="People790"/>
    <s v="department"/>
    <s v="REGION7"/>
    <s v="STORE251"/>
    <s v="MANAGER96"/>
    <s v="POSITIVO"/>
    <d v="1899-12-30T09:36:00"/>
    <m/>
    <d v="1899-12-30T09:36:00"/>
    <s v="POSITION1"/>
    <x v="6"/>
    <s v="STORE251"/>
  </r>
  <r>
    <n v="232823"/>
    <s v="People791"/>
    <s v="department"/>
    <s v="REGION7"/>
    <s v="STORE248"/>
    <s v="MANAGER94"/>
    <s v="POSITIVO"/>
    <d v="1899-12-30T09:20:00"/>
    <m/>
    <d v="1899-12-30T09:20:00"/>
    <s v="POSITION1"/>
    <x v="6"/>
    <s v="STORE248"/>
  </r>
  <r>
    <n v="235365"/>
    <s v="People792"/>
    <s v="department"/>
    <s v="REGION7"/>
    <s v="STORE245"/>
    <s v="MANAGER92"/>
    <s v="POSITIVO"/>
    <d v="1899-12-30T09:00:00"/>
    <m/>
    <d v="1899-12-30T09:00:00"/>
    <s v="POSITION4"/>
    <x v="6"/>
    <s v="STORE245"/>
  </r>
  <r>
    <n v="202916"/>
    <s v="People793"/>
    <s v="department"/>
    <s v="REGION7"/>
    <s v="STORE254"/>
    <s v="MANAGER89"/>
    <s v="POSITIVO"/>
    <d v="1899-12-30T08:50:00"/>
    <m/>
    <d v="1899-12-30T08:50:00"/>
    <s v="POSITION1"/>
    <x v="6"/>
    <s v="STORE254"/>
  </r>
  <r>
    <n v="200680"/>
    <s v="People794"/>
    <s v="department"/>
    <s v="REGION7"/>
    <s v="STORE256"/>
    <s v="MANAGER85"/>
    <s v="POSITIVO"/>
    <d v="1899-12-30T08:14:00"/>
    <m/>
    <d v="1899-12-30T08:14:00"/>
    <s v="POSITION4"/>
    <x v="6"/>
    <s v="STORE256"/>
  </r>
  <r>
    <n v="201264"/>
    <s v="People795"/>
    <s v="department"/>
    <s v="REGION7"/>
    <s v="STORE235"/>
    <s v="MANAGER86"/>
    <s v="POSITIVO"/>
    <d v="1899-12-30T08:05:00"/>
    <m/>
    <d v="1899-12-30T08:05:00"/>
    <s v="POSITION1"/>
    <x v="6"/>
    <s v="STORE235"/>
  </r>
  <r>
    <n v="234335"/>
    <s v="People796"/>
    <s v="department"/>
    <s v="REGION7"/>
    <s v="STORE265"/>
    <s v="MANAGER96"/>
    <s v="POSITIVO"/>
    <d v="1899-12-30T07:52:00"/>
    <m/>
    <d v="1899-12-30T07:52:00"/>
    <s v="POSITION3"/>
    <x v="6"/>
    <s v="STORE265"/>
  </r>
  <r>
    <n v="200657"/>
    <s v="People797"/>
    <s v="department"/>
    <s v="REGION7"/>
    <s v="STORE258"/>
    <s v="MANAGER95"/>
    <s v="POSITIVO"/>
    <d v="1899-12-30T07:50:00"/>
    <m/>
    <d v="1899-12-30T07:50:00"/>
    <s v="POSITION7"/>
    <x v="6"/>
    <s v="STORE258"/>
  </r>
  <r>
    <n v="222378"/>
    <s v="People798"/>
    <s v="department"/>
    <s v="REGION7"/>
    <s v="STORE253"/>
    <s v="MANAGER91"/>
    <s v="POSITIVO"/>
    <d v="1899-12-30T07:39:00"/>
    <m/>
    <d v="1899-12-30T07:39:00"/>
    <s v="POSITION3"/>
    <x v="6"/>
    <s v="STORE253"/>
  </r>
  <r>
    <n v="219511"/>
    <s v="People799"/>
    <s v="department"/>
    <s v="REGION7"/>
    <s v="STORE249"/>
    <s v="MANAGER95"/>
    <s v="POSITIVO"/>
    <d v="1899-12-30T06:22:00"/>
    <m/>
    <d v="1899-12-30T06:22:00"/>
    <s v="POSITION7"/>
    <x v="6"/>
    <s v="STORE249"/>
  </r>
  <r>
    <n v="230669"/>
    <s v="People800"/>
    <s v="department"/>
    <s v="REGION7"/>
    <s v="STORE252"/>
    <s v="MANAGER92"/>
    <s v="POSITIVO"/>
    <d v="1899-12-30T06:18:00"/>
    <m/>
    <d v="1899-12-30T06:18:00"/>
    <s v="POSITION1"/>
    <x v="6"/>
    <s v="STORE252"/>
  </r>
  <r>
    <n v="233730"/>
    <s v="People801"/>
    <s v="department"/>
    <s v="REGION7"/>
    <s v="STORE237"/>
    <s v="MANAGER87"/>
    <s v="POSITIVO"/>
    <d v="1899-12-30T06:07:00"/>
    <m/>
    <d v="1899-12-30T06:07:00"/>
    <s v="POSITION1"/>
    <x v="6"/>
    <s v="STORE237"/>
  </r>
  <r>
    <n v="203532"/>
    <s v="People802"/>
    <s v="department"/>
    <s v="REGION7"/>
    <s v="STORE237"/>
    <s v="MANAGER87"/>
    <s v="POSITIVO"/>
    <d v="1899-12-30T05:35:00"/>
    <m/>
    <d v="1899-12-30T05:35:00"/>
    <s v="POSITION1"/>
    <x v="6"/>
    <s v="STORE237"/>
  </r>
  <r>
    <n v="201282"/>
    <s v="People803"/>
    <s v="department"/>
    <s v="REGION7"/>
    <s v="STORE235"/>
    <s v="MANAGER86"/>
    <s v="POSITIVO"/>
    <d v="1899-12-30T05:15:00"/>
    <m/>
    <d v="1899-12-30T05:15:00"/>
    <s v="POSITION1"/>
    <x v="6"/>
    <s v="STORE235"/>
  </r>
  <r>
    <n v="230838"/>
    <s v="People804"/>
    <s v="department"/>
    <s v="REGION7"/>
    <s v="STORE245"/>
    <s v="MANAGER92"/>
    <s v="POSITIVO"/>
    <d v="1899-12-30T05:05:00"/>
    <m/>
    <d v="1899-12-30T05:05:00"/>
    <s v="POSITION3"/>
    <x v="6"/>
    <s v="STORE245"/>
  </r>
  <r>
    <n v="237575"/>
    <s v="People805"/>
    <s v="department"/>
    <s v="REGION7"/>
    <s v="STORE261"/>
    <s v="MANAGER88"/>
    <s v="POSITIVO"/>
    <d v="1899-12-30T04:45:00"/>
    <m/>
    <d v="1899-12-30T04:45:00"/>
    <s v="POSITION1"/>
    <x v="6"/>
    <s v="STORE261"/>
  </r>
  <r>
    <n v="237420"/>
    <s v="People806"/>
    <s v="department"/>
    <s v="REGION7"/>
    <s v="STORE252"/>
    <s v="MANAGER92"/>
    <s v="POSITIVO"/>
    <d v="1899-12-30T03:59:00"/>
    <m/>
    <d v="1899-12-30T03:59:00"/>
    <s v="POSITION1"/>
    <x v="6"/>
    <s v="STORE252"/>
  </r>
  <r>
    <n v="232924"/>
    <s v="People807"/>
    <s v="department"/>
    <s v="REGION7"/>
    <s v="STORE247"/>
    <s v="MANAGER93"/>
    <s v="POSITIVO"/>
    <d v="1899-12-30T03:41:00"/>
    <m/>
    <d v="1899-12-30T03:41:00"/>
    <s v="POSITION1"/>
    <x v="6"/>
    <s v="STORE247"/>
  </r>
  <r>
    <n v="200751"/>
    <s v="People808"/>
    <s v="department"/>
    <s v="REGION7"/>
    <s v="STORE266"/>
    <s v="MANAGER95"/>
    <s v="POSITIVO"/>
    <d v="1899-12-30T03:34:00"/>
    <m/>
    <d v="1899-12-30T03:34:00"/>
    <s v="POSITION7"/>
    <x v="6"/>
    <s v="STORE266"/>
  </r>
  <r>
    <n v="223941"/>
    <s v="People809"/>
    <s v="department"/>
    <s v="REGION7"/>
    <s v="STORE254"/>
    <s v="MANAGER89"/>
    <s v="POSITIVO"/>
    <d v="1899-12-30T03:14:00"/>
    <m/>
    <d v="1899-12-30T03:14:00"/>
    <s v="POSITION1"/>
    <x v="6"/>
    <s v="STORE254"/>
  </r>
  <r>
    <n v="203111"/>
    <s v="People810"/>
    <s v="department"/>
    <s v="REGION7"/>
    <s v="STORE234"/>
    <s v="MANAGER85"/>
    <s v="POSITIVO"/>
    <d v="1899-12-30T03:10:00"/>
    <m/>
    <d v="1899-12-30T03:10:00"/>
    <s v="POSITION1"/>
    <x v="6"/>
    <s v="STORE234"/>
  </r>
  <r>
    <n v="222479"/>
    <s v="People811"/>
    <s v="department"/>
    <s v="REGION7"/>
    <s v="STORE246"/>
    <s v="MANAGER93"/>
    <s v="POSITIVO"/>
    <d v="1899-12-30T03:10:00"/>
    <m/>
    <d v="1899-12-30T03:10:00"/>
    <s v="POSITION3"/>
    <x v="6"/>
    <s v="STORE246"/>
  </r>
  <r>
    <n v="232595"/>
    <s v="People812"/>
    <s v="department"/>
    <s v="REGION7"/>
    <s v="STORE261"/>
    <s v="MANAGER88"/>
    <s v="POSITIVO"/>
    <d v="1899-12-30T03:06:00"/>
    <m/>
    <d v="1899-12-30T03:06:00"/>
    <s v="POSITION1"/>
    <x v="6"/>
    <s v="STORE261"/>
  </r>
  <r>
    <n v="232266"/>
    <s v="People813"/>
    <s v="department"/>
    <s v="REGION7"/>
    <s v="STORE253"/>
    <s v="MANAGER91"/>
    <s v="POSITIVO"/>
    <d v="1899-12-30T02:32:00"/>
    <m/>
    <d v="1899-12-30T02:32:00"/>
    <s v="POSITION3"/>
    <x v="6"/>
    <s v="STORE253"/>
  </r>
  <r>
    <n v="203558"/>
    <s v="People814"/>
    <s v="department"/>
    <s v="REGION7"/>
    <s v="STORE250"/>
    <s v="MANAGER90"/>
    <s v="POSITIVO"/>
    <d v="1899-12-30T02:30:00"/>
    <m/>
    <d v="1899-12-30T02:30:00"/>
    <s v="POSITION1"/>
    <x v="6"/>
    <s v="STORE250"/>
  </r>
  <r>
    <n v="236464"/>
    <s v="People815"/>
    <s v="department"/>
    <s v="REGION7"/>
    <s v="STORE261"/>
    <s v="MANAGER88"/>
    <s v="POSITIVO"/>
    <d v="1899-12-30T02:23:00"/>
    <m/>
    <d v="1899-12-30T02:23:00"/>
    <s v="POSITION1"/>
    <x v="6"/>
    <s v="STORE261"/>
  </r>
  <r>
    <n v="232954"/>
    <s v="People816"/>
    <s v="department"/>
    <s v="REGION7"/>
    <s v="STORE245"/>
    <s v="MANAGER92"/>
    <s v="POSITIVO"/>
    <d v="1899-12-30T02:21:00"/>
    <m/>
    <d v="1899-12-30T02:21:00"/>
    <s v="POSITION5"/>
    <x v="6"/>
    <s v="STORE245"/>
  </r>
  <r>
    <n v="202582"/>
    <s v="People817"/>
    <s v="department"/>
    <s v="REGION7"/>
    <s v="STORE265"/>
    <s v="MANAGER96"/>
    <s v="POSITIVO"/>
    <d v="1899-12-30T01:40:00"/>
    <m/>
    <d v="1899-12-30T01:40:00"/>
    <s v="POSITION3"/>
    <x v="6"/>
    <s v="STORE265"/>
  </r>
  <r>
    <n v="237669"/>
    <s v="People818"/>
    <s v="department"/>
    <s v="REGION7"/>
    <s v="STORE248"/>
    <s v="MANAGER94"/>
    <s v="POSITIVO"/>
    <d v="1899-12-30T01:29:00"/>
    <m/>
    <d v="1899-12-30T01:29:00"/>
    <s v="POSITION1"/>
    <x v="6"/>
    <s v="STORE248"/>
  </r>
  <r>
    <n v="200294"/>
    <s v="People819"/>
    <s v="department"/>
    <s v="REGION7"/>
    <s v="STORE240"/>
    <s v="MANAGER86"/>
    <s v="POSITIVO"/>
    <d v="1899-12-30T01:20:00"/>
    <m/>
    <d v="1899-12-30T01:20:00"/>
    <s v="POSITION3"/>
    <x v="6"/>
    <s v="STORE240"/>
  </r>
  <r>
    <n v="203538"/>
    <s v="People820"/>
    <s v="department"/>
    <s v="REGION7"/>
    <s v="STORE235"/>
    <s v="MANAGER86"/>
    <s v="POSITIVO"/>
    <d v="1899-12-30T01:20:00"/>
    <m/>
    <d v="1899-12-30T01:20:00"/>
    <s v="POSITION1"/>
    <x v="6"/>
    <s v="STORE235"/>
  </r>
  <r>
    <n v="218505"/>
    <s v="People821"/>
    <s v="department"/>
    <s v="REGION7"/>
    <s v="STORE238"/>
    <s v="MANAGER88"/>
    <s v="POSITIVO"/>
    <d v="1899-12-30T01:06:00"/>
    <m/>
    <d v="1899-12-30T01:06:00"/>
    <s v="POSITION3"/>
    <x v="6"/>
    <s v="STORE238"/>
  </r>
  <r>
    <n v="215728"/>
    <s v="People822"/>
    <s v="department"/>
    <s v="REGION7"/>
    <s v="STORE267"/>
    <s v="MANAGER95"/>
    <s v="POSITIVO"/>
    <d v="1899-12-30T00:54:00"/>
    <m/>
    <d v="1899-12-30T00:54:00"/>
    <s v="POSITION7"/>
    <x v="6"/>
    <s v="STORE267"/>
  </r>
  <r>
    <n v="225908"/>
    <s v="People823"/>
    <s v="department"/>
    <s v="REGION7"/>
    <s v="STORE247"/>
    <s v="MANAGER93"/>
    <s v="POSITIVO"/>
    <d v="1899-12-30T00:53:00"/>
    <m/>
    <d v="1899-12-30T00:53:00"/>
    <s v="POSITION1"/>
    <x v="6"/>
    <s v="STORE247"/>
  </r>
  <r>
    <n v="202398"/>
    <s v="People824"/>
    <s v="department"/>
    <s v="REGION7"/>
    <s v="STORE239"/>
    <s v="MANAGER89"/>
    <s v="POSITIVO"/>
    <d v="1899-12-30T00:45:00"/>
    <m/>
    <d v="1899-12-30T00:45:00"/>
    <s v="POSITION4"/>
    <x v="6"/>
    <s v="STORE239"/>
  </r>
  <r>
    <n v="200335"/>
    <s v="People825"/>
    <s v="department"/>
    <s v="REGION7"/>
    <s v="STORE240"/>
    <s v="MANAGER86"/>
    <s v="POSITIVO"/>
    <d v="1899-12-30T00:28:00"/>
    <m/>
    <d v="1899-12-30T00:28:00"/>
    <s v="POSITION4"/>
    <x v="6"/>
    <s v="STORE240"/>
  </r>
  <r>
    <n v="200336"/>
    <s v="People826"/>
    <s v="department"/>
    <s v="REGION7"/>
    <s v="STORE240"/>
    <s v="MANAGER86"/>
    <s v="POSITIVO"/>
    <d v="1899-12-30T00:25:00"/>
    <m/>
    <d v="1899-12-30T00:25:00"/>
    <s v="POSITION4"/>
    <x v="6"/>
    <s v="STORE240"/>
  </r>
  <r>
    <n v="220568"/>
    <s v="People827"/>
    <s v="department"/>
    <s v="REGION7"/>
    <s v="STORE240"/>
    <s v="MANAGER86"/>
    <s v="POSITIVO"/>
    <d v="1899-12-30T00:24:00"/>
    <m/>
    <d v="1899-12-30T00:24:00"/>
    <s v="POSITION3"/>
    <x v="6"/>
    <s v="STORE240"/>
  </r>
  <r>
    <n v="233032"/>
    <s v="People828"/>
    <s v="department"/>
    <s v="REGION7"/>
    <s v="STORE239"/>
    <s v="MANAGER89"/>
    <s v="POSITIVO"/>
    <d v="1899-12-30T00:23:00"/>
    <m/>
    <d v="1899-12-30T00:23:00"/>
    <s v="POSITION5"/>
    <x v="6"/>
    <s v="STORE239"/>
  </r>
  <r>
    <n v="235264"/>
    <s v="People829"/>
    <s v="department"/>
    <s v="REGION7"/>
    <s v="STORE248"/>
    <s v="MANAGER94"/>
    <s v="POSITIVO"/>
    <d v="1899-12-30T00:18:00"/>
    <m/>
    <d v="1899-12-30T00:18:00"/>
    <s v="POSITION1"/>
    <x v="6"/>
    <s v="STORE248"/>
  </r>
  <r>
    <n v="230842"/>
    <s v="People830"/>
    <s v="department"/>
    <s v="REGION8"/>
    <s v="STORE268"/>
    <s v="MANAGER97"/>
    <s v="NEGATIVO"/>
    <d v="1900-01-09T14:05:00"/>
    <d v="1900-01-09T14:05:00"/>
    <m/>
    <s v="POSITION3"/>
    <x v="7"/>
    <s v="STORE268"/>
  </r>
  <r>
    <n v="232059"/>
    <s v="People831"/>
    <s v="department"/>
    <s v="REGION8"/>
    <s v="STORE268"/>
    <s v="MANAGER97"/>
    <s v="NEGATIVO"/>
    <d v="1900-01-01T01:33:00"/>
    <d v="1900-01-01T01:33:00"/>
    <m/>
    <s v="POSITION3"/>
    <x v="7"/>
    <s v="STORE268"/>
  </r>
  <r>
    <n v="232763"/>
    <s v="People832"/>
    <s v="department"/>
    <s v="REGION8"/>
    <s v="STORE268"/>
    <s v="MANAGER97"/>
    <s v="NEGATIVO"/>
    <d v="1899-12-30T14:06:00"/>
    <d v="1899-12-30T14:06:00"/>
    <m/>
    <s v="POSITION4"/>
    <x v="7"/>
    <s v="STORE268"/>
  </r>
  <r>
    <n v="237508"/>
    <s v="People833"/>
    <s v="department"/>
    <s v="REGION8"/>
    <s v="STORE269"/>
    <s v="MANAGER97"/>
    <s v="POSITIVO"/>
    <d v="1899-12-30T13:48:00"/>
    <m/>
    <d v="1899-12-30T13:48:00"/>
    <s v="POSITION1"/>
    <x v="7"/>
    <s v="STORE269"/>
  </r>
  <r>
    <n v="230040"/>
    <s v="People834"/>
    <s v="department"/>
    <s v="REGION8"/>
    <s v="STORE269"/>
    <s v="MANAGER97"/>
    <s v="POSITIVO"/>
    <d v="1899-12-30T09:47:00"/>
    <m/>
    <d v="1899-12-30T09:47:00"/>
    <s v="POSITION1"/>
    <x v="7"/>
    <s v="STORE269"/>
  </r>
  <r>
    <n v="233896"/>
    <s v="People835"/>
    <s v="department"/>
    <s v="REGION8"/>
    <s v="STORE269"/>
    <s v="MANAGER97"/>
    <s v="POSITIVO"/>
    <d v="1899-12-30T07:59:00"/>
    <m/>
    <d v="1899-12-30T07:59:00"/>
    <s v="POSITION1"/>
    <x v="7"/>
    <s v="STORE269"/>
  </r>
  <r>
    <n v="222018"/>
    <s v="People836"/>
    <s v="department"/>
    <s v="REGION8"/>
    <s v="STORE270"/>
    <s v="MANAGER98"/>
    <s v="POSITIVO"/>
    <d v="1899-12-30T06:07:00"/>
    <m/>
    <d v="1899-12-30T06:07:00"/>
    <s v="POSITION2"/>
    <x v="7"/>
    <s v="STORE270"/>
  </r>
  <r>
    <n v="237584"/>
    <s v="People837"/>
    <s v="department"/>
    <s v="REGION8"/>
    <s v="STORE269"/>
    <s v="MANAGER97"/>
    <s v="POSITIVO"/>
    <d v="1899-12-30T01:14:00"/>
    <m/>
    <d v="1899-12-30T01:14:00"/>
    <s v="POSITION1"/>
    <x v="7"/>
    <s v="STORE269"/>
  </r>
  <r>
    <n v="237211"/>
    <s v="People838"/>
    <s v="department"/>
    <s v="REGION8"/>
    <s v="STORE271"/>
    <s v="MANAGER99"/>
    <s v="NEGATIVO"/>
    <d v="1900-01-05T19:50:00"/>
    <d v="1900-01-05T19:50:00"/>
    <m/>
    <s v="POSITION4"/>
    <x v="7"/>
    <s v="STORE271"/>
  </r>
  <r>
    <n v="225332"/>
    <s v="People839"/>
    <s v="department"/>
    <s v="REGION8"/>
    <s v="STORE272"/>
    <s v="MANAGER98"/>
    <s v="NEGATIVO"/>
    <d v="1899-12-30T02:24:00"/>
    <d v="1899-12-30T02:24:00"/>
    <m/>
    <s v="POSITION2"/>
    <x v="7"/>
    <s v="STORE272"/>
  </r>
  <r>
    <n v="230746"/>
    <s v="People840"/>
    <s v="department"/>
    <s v="REGION8"/>
    <s v="STORE273"/>
    <s v="MANAGER99"/>
    <s v="POSITIVO"/>
    <d v="1900-01-01T12:35:00"/>
    <m/>
    <d v="1900-01-01T12:35:00"/>
    <s v="POSITION1"/>
    <x v="7"/>
    <s v="STORE273"/>
  </r>
  <r>
    <n v="231009"/>
    <s v="People841"/>
    <s v="department"/>
    <s v="REGION8"/>
    <s v="STORE273"/>
    <s v="MANAGER99"/>
    <s v="POSITIVO"/>
    <d v="1899-12-31T14:54:00"/>
    <m/>
    <d v="1899-12-31T14:54:00"/>
    <s v="POSITION1"/>
    <x v="7"/>
    <s v="STORE273"/>
  </r>
  <r>
    <n v="230739"/>
    <s v="People842"/>
    <s v="department"/>
    <s v="REGION8"/>
    <s v="STORE273"/>
    <s v="MANAGER99"/>
    <s v="POSITIVO"/>
    <d v="1899-12-30T09:58:00"/>
    <m/>
    <d v="1899-12-30T09:58:00"/>
    <s v="POSITION1"/>
    <x v="7"/>
    <s v="STORE273"/>
  </r>
  <r>
    <n v="225622"/>
    <s v="People843"/>
    <s v="department"/>
    <s v="REGION8"/>
    <s v="STORE273"/>
    <s v="MANAGER99"/>
    <s v="POSITIVO"/>
    <d v="1899-12-30T01:57:00"/>
    <m/>
    <d v="1899-12-30T01:57:00"/>
    <s v="POSITION1"/>
    <x v="7"/>
    <s v="STORE273"/>
  </r>
  <r>
    <n v="234680"/>
    <s v="People844"/>
    <s v="department"/>
    <s v="REGION8"/>
    <s v="STORE271"/>
    <s v="MANAGER99"/>
    <s v="POSITIVO"/>
    <d v="1899-12-30T00:23:00"/>
    <m/>
    <d v="1899-12-30T00:23:00"/>
    <s v="POSITION3"/>
    <x v="7"/>
    <s v="STORE271"/>
  </r>
  <r>
    <n v="237314"/>
    <s v="People845"/>
    <s v="department"/>
    <s v="REGION8"/>
    <s v="STORE274"/>
    <s v="MANAGER100"/>
    <s v="POSITIVO"/>
    <d v="1899-12-31T07:21:00"/>
    <m/>
    <d v="1899-12-31T07:21:00"/>
    <s v="POSITION1"/>
    <x v="7"/>
    <s v="STORE274"/>
  </r>
  <r>
    <n v="237313"/>
    <s v="People846"/>
    <s v="department"/>
    <s v="REGION8"/>
    <s v="STORE274"/>
    <s v="MANAGER100"/>
    <s v="POSITIVO"/>
    <d v="1899-12-31T06:15:00"/>
    <m/>
    <d v="1899-12-31T06:15:00"/>
    <s v="POSITION1"/>
    <x v="7"/>
    <s v="STORE274"/>
  </r>
  <r>
    <n v="237315"/>
    <s v="People847"/>
    <s v="department"/>
    <s v="REGION8"/>
    <s v="STORE274"/>
    <s v="MANAGER100"/>
    <s v="POSITIVO"/>
    <d v="1899-12-30T15:52:00"/>
    <m/>
    <d v="1899-12-30T15:52:00"/>
    <s v="POSITION1"/>
    <x v="7"/>
    <s v="STORE274"/>
  </r>
  <r>
    <n v="237324"/>
    <s v="People848"/>
    <s v="department"/>
    <s v="REGION8"/>
    <s v="STORE275"/>
    <s v="MANAGER100"/>
    <s v="POSITIVO"/>
    <d v="1899-12-30T08:00:00"/>
    <m/>
    <d v="1899-12-30T08:00:00"/>
    <s v="POSITION4"/>
    <x v="7"/>
    <s v="STORE275"/>
  </r>
  <r>
    <n v="237325"/>
    <s v="People849"/>
    <s v="department"/>
    <s v="REGION8"/>
    <s v="STORE275"/>
    <s v="MANAGER100"/>
    <s v="POSITIVO"/>
    <d v="1899-12-30T08:00:00"/>
    <m/>
    <d v="1899-12-30T08:00:00"/>
    <s v="POSITION3"/>
    <x v="7"/>
    <s v="STORE275"/>
  </r>
  <r>
    <n v="237507"/>
    <s v="People850"/>
    <s v="department"/>
    <s v="REGION8"/>
    <s v="STORE276"/>
    <s v="MANAGER98"/>
    <s v="POSITIVO"/>
    <d v="1899-12-30T00:59:00"/>
    <m/>
    <d v="1899-12-30T00:59:00"/>
    <s v="POSITION2"/>
    <x v="7"/>
    <s v="STORE276"/>
  </r>
  <r>
    <n v="235729"/>
    <s v="People851"/>
    <s v="department"/>
    <s v="REGION8"/>
    <s v="STORE277"/>
    <s v="MANAGER101"/>
    <s v="NEGATIVO"/>
    <d v="1899-12-30T19:33:00"/>
    <d v="1899-12-30T19:33:00"/>
    <m/>
    <s v="POSITION1"/>
    <x v="7"/>
    <s v="STORE277"/>
  </r>
  <r>
    <n v="233628"/>
    <s v="People852"/>
    <s v="department"/>
    <s v="REGION8"/>
    <s v="STORE277"/>
    <s v="MANAGER101"/>
    <s v="NEGATIVO"/>
    <d v="1900-01-02T11:22:00"/>
    <d v="1900-01-02T11:22:00"/>
    <m/>
    <s v="POSITION1"/>
    <x v="7"/>
    <s v="STORE277"/>
  </r>
  <r>
    <n v="229872"/>
    <s v="People853"/>
    <s v="department"/>
    <s v="REGION8"/>
    <s v="STORE277"/>
    <s v="MANAGER101"/>
    <s v="NEGATIVO"/>
    <d v="1899-12-31T03:07:00"/>
    <d v="1899-12-31T03:07:00"/>
    <m/>
    <s v="POSITION1"/>
    <x v="7"/>
    <s v="STORE277"/>
  </r>
  <r>
    <n v="218563"/>
    <s v="People854"/>
    <s v="department"/>
    <s v="REGION8"/>
    <s v="STORE278"/>
    <s v="MANAGER98"/>
    <s v="POSITIVO"/>
    <d v="1899-12-31T04:50:00"/>
    <m/>
    <d v="1899-12-31T04:50:00"/>
    <s v="POSITION9"/>
    <x v="7"/>
    <s v="STORE278"/>
  </r>
  <r>
    <n v="232766"/>
    <s v="People855"/>
    <s v="department"/>
    <s v="REGION8"/>
    <s v="STORE277"/>
    <s v="MANAGER101"/>
    <s v="POSITIVO"/>
    <d v="1899-12-31T04:34:00"/>
    <m/>
    <d v="1899-12-31T04:34:00"/>
    <s v="POSITION1"/>
    <x v="7"/>
    <s v="STORE277"/>
  </r>
  <r>
    <n v="233559"/>
    <s v="People856"/>
    <s v="department"/>
    <s v="REGION8"/>
    <s v="STORE279"/>
    <s v="MANAGER101"/>
    <s v="POSITIVO"/>
    <d v="1899-12-30T21:06:00"/>
    <m/>
    <d v="1899-12-30T21:06:00"/>
    <s v="POSITION3"/>
    <x v="7"/>
    <s v="STORE279"/>
  </r>
  <r>
    <n v="231169"/>
    <s v="People857"/>
    <s v="department"/>
    <s v="REGION8"/>
    <s v="STORE277"/>
    <s v="MANAGER101"/>
    <s v="POSITIVO"/>
    <d v="1899-12-30T11:55:00"/>
    <m/>
    <d v="1899-12-30T11:55:00"/>
    <s v="POSITION1"/>
    <x v="7"/>
    <s v="STORE277"/>
  </r>
  <r>
    <n v="203351"/>
    <s v="People858"/>
    <s v="department"/>
    <s v="REGION8"/>
    <s v="STORE277"/>
    <s v="MANAGER101"/>
    <s v="POSITIVO"/>
    <d v="1899-12-30T11:08:00"/>
    <m/>
    <d v="1899-12-30T11:08:00"/>
    <s v="POSITION1"/>
    <x v="7"/>
    <s v="STORE277"/>
  </r>
  <r>
    <n v="231447"/>
    <s v="People859"/>
    <s v="department"/>
    <s v="REGION8"/>
    <s v="STORE279"/>
    <s v="MANAGER101"/>
    <s v="POSITIVO"/>
    <d v="1899-12-30T04:46:00"/>
    <m/>
    <d v="1899-12-30T04:46:00"/>
    <s v="POSITION3"/>
    <x v="7"/>
    <s v="STORE279"/>
  </r>
  <r>
    <n v="219325"/>
    <s v="People860"/>
    <s v="department"/>
    <s v="REGION8"/>
    <s v="STORE279"/>
    <s v="MANAGER101"/>
    <s v="POSITIVO"/>
    <d v="1899-12-30T00:43:00"/>
    <m/>
    <d v="1899-12-30T00:43:00"/>
    <s v="POSITION4"/>
    <x v="7"/>
    <s v="STORE279"/>
  </r>
  <r>
    <n v="235743"/>
    <s v="People861"/>
    <s v="department"/>
    <s v="REGION8"/>
    <s v="STORE280"/>
    <s v="MANAGER102"/>
    <s v="NEGATIVO"/>
    <d v="1899-12-30T06:19:00"/>
    <d v="1899-12-30T06:19:00"/>
    <m/>
    <s v="POSITION3"/>
    <x v="7"/>
    <s v="STORE280"/>
  </r>
  <r>
    <n v="232809"/>
    <s v="People862"/>
    <s v="department"/>
    <s v="REGION8"/>
    <s v="STORE281"/>
    <s v="MANAGER102"/>
    <s v="NEGATIVO"/>
    <d v="1899-12-30T10:31:00"/>
    <d v="1899-12-30T10:31:00"/>
    <m/>
    <s v="POSITION1"/>
    <x v="7"/>
    <s v="STORE281"/>
  </r>
  <r>
    <n v="225679"/>
    <s v="People863"/>
    <s v="department"/>
    <s v="REGION8"/>
    <s v="STORE281"/>
    <s v="MANAGER102"/>
    <s v="POSITIVO"/>
    <d v="1899-12-31T03:49:00"/>
    <m/>
    <d v="1899-12-31T03:49:00"/>
    <s v="POSITION1"/>
    <x v="7"/>
    <s v="STORE281"/>
  </r>
  <r>
    <n v="236862"/>
    <s v="People864"/>
    <s v="department"/>
    <s v="REGION8"/>
    <s v="STORE280"/>
    <s v="MANAGER102"/>
    <s v="POSITIVO"/>
    <d v="1899-12-31T02:15:00"/>
    <m/>
    <d v="1899-12-31T02:15:00"/>
    <s v="POSITION3"/>
    <x v="7"/>
    <s v="STORE280"/>
  </r>
  <r>
    <n v="203513"/>
    <s v="People865"/>
    <s v="department"/>
    <s v="REGION8"/>
    <s v="STORE281"/>
    <s v="MANAGER102"/>
    <s v="POSITIVO"/>
    <d v="1899-12-30T14:56:00"/>
    <m/>
    <d v="1899-12-30T14:56:00"/>
    <s v="POSITION1"/>
    <x v="7"/>
    <s v="STORE281"/>
  </r>
  <r>
    <n v="225543"/>
    <s v="People866"/>
    <s v="department"/>
    <s v="REGION8"/>
    <s v="STORE282"/>
    <s v="MANAGER98"/>
    <s v="POSITIVO"/>
    <d v="1899-12-30T12:59:00"/>
    <m/>
    <d v="1899-12-30T12:59:00"/>
    <s v="POSITION2"/>
    <x v="7"/>
    <s v="STORE282"/>
  </r>
  <r>
    <n v="236788"/>
    <s v="People867"/>
    <s v="department"/>
    <s v="REGION8"/>
    <s v="STORE280"/>
    <s v="MANAGER102"/>
    <s v="POSITIVO"/>
    <d v="1899-12-30T08:01:00"/>
    <m/>
    <d v="1899-12-30T08:01:00"/>
    <s v="POSITION4"/>
    <x v="7"/>
    <s v="STORE280"/>
  </r>
  <r>
    <n v="233634"/>
    <s v="People868"/>
    <s v="department"/>
    <s v="REGION8"/>
    <s v="STORE281"/>
    <s v="MANAGER102"/>
    <s v="POSITIVO"/>
    <d v="1899-12-30T05:11:00"/>
    <m/>
    <d v="1899-12-30T05:11:00"/>
    <s v="POSITION1"/>
    <x v="7"/>
    <s v="STORE281"/>
  </r>
  <r>
    <n v="234171"/>
    <s v="People869"/>
    <s v="department"/>
    <s v="REGION8"/>
    <s v="STORE281"/>
    <s v="MANAGER102"/>
    <s v="POSITIVO"/>
    <d v="1899-12-30T03:59:00"/>
    <m/>
    <d v="1899-12-30T03:59:00"/>
    <s v="POSITION1"/>
    <x v="7"/>
    <s v="STORE281"/>
  </r>
  <r>
    <n v="237934"/>
    <s v="People870"/>
    <s v="department"/>
    <s v="REGION8"/>
    <s v="STORE283"/>
    <s v="MANAGER103"/>
    <s v="NEGATIVO"/>
    <d v="1899-12-30T12:00:00"/>
    <d v="1899-12-30T12:00:00"/>
    <m/>
    <s v="POSITION3"/>
    <x v="7"/>
    <s v="STORE283"/>
  </r>
  <r>
    <n v="237565"/>
    <s v="People871"/>
    <s v="department"/>
    <s v="REGION8"/>
    <s v="STORE283"/>
    <s v="MANAGER103"/>
    <s v="NEGATIVO"/>
    <d v="1899-12-31T11:03:00"/>
    <d v="1899-12-31T11:03:00"/>
    <m/>
    <s v="POSITION4"/>
    <x v="7"/>
    <s v="STORE283"/>
  </r>
  <r>
    <n v="237380"/>
    <s v="People872"/>
    <s v="department"/>
    <s v="REGION8"/>
    <s v="STORE283"/>
    <s v="MANAGER103"/>
    <s v="NEGATIVO"/>
    <d v="1900-01-03T17:36:00"/>
    <d v="1900-01-03T17:36:00"/>
    <m/>
    <s v="POSITION3"/>
    <x v="7"/>
    <s v="STORE283"/>
  </r>
  <r>
    <n v="235838"/>
    <s v="People873"/>
    <s v="department"/>
    <s v="REGION8"/>
    <s v="STORE284"/>
    <s v="MANAGER103"/>
    <s v="POSITIVO"/>
    <d v="1900-01-06T02:12:00"/>
    <m/>
    <d v="1900-01-06T02:12:00"/>
    <s v="POSITION1"/>
    <x v="7"/>
    <s v="STORE284"/>
  </r>
  <r>
    <n v="237704"/>
    <s v="People874"/>
    <s v="department"/>
    <s v="REGION8"/>
    <s v="STORE284"/>
    <s v="MANAGER103"/>
    <s v="POSITIVO"/>
    <d v="1900-01-01T22:24:00"/>
    <m/>
    <d v="1900-01-01T22:24:00"/>
    <s v="POSITION1"/>
    <x v="7"/>
    <s v="STORE284"/>
  </r>
  <r>
    <n v="236626"/>
    <s v="People875"/>
    <s v="department"/>
    <s v="REGION8"/>
    <s v="STORE284"/>
    <s v="MANAGER103"/>
    <s v="POSITIVO"/>
    <d v="1899-12-31T08:05:00"/>
    <m/>
    <d v="1899-12-31T08:05:00"/>
    <s v="POSITION1"/>
    <x v="7"/>
    <s v="STORE284"/>
  </r>
  <r>
    <n v="201441"/>
    <s v="People876"/>
    <s v="department"/>
    <s v="REGION8"/>
    <s v="STORE285"/>
    <s v="MANAGER104"/>
    <s v="NEGATIVO"/>
    <d v="1900-01-05T02:27:00"/>
    <d v="1900-01-05T02:27:00"/>
    <m/>
    <s v="POSITION3"/>
    <x v="7"/>
    <s v="STORE285"/>
  </r>
  <r>
    <n v="232418"/>
    <s v="People877"/>
    <s v="department"/>
    <s v="REGION8"/>
    <s v="STORE286"/>
    <s v="MANAGER104"/>
    <s v="NEGATIVO"/>
    <d v="1900-01-09T13:17:00"/>
    <d v="1900-01-09T13:17:00"/>
    <m/>
    <s v="POSITION1"/>
    <x v="7"/>
    <s v="STORE286"/>
  </r>
  <r>
    <n v="233959"/>
    <s v="People878"/>
    <s v="department"/>
    <s v="REGION8"/>
    <s v="STORE286"/>
    <s v="MANAGER104"/>
    <s v="NEGATIVO"/>
    <d v="1900-01-07T14:24:00"/>
    <d v="1900-01-07T14:24:00"/>
    <m/>
    <s v="POSITION1"/>
    <x v="7"/>
    <s v="STORE286"/>
  </r>
  <r>
    <n v="229701"/>
    <s v="People879"/>
    <s v="department"/>
    <s v="REGION8"/>
    <s v="STORE286"/>
    <s v="MANAGER104"/>
    <s v="NEGATIVO"/>
    <d v="1900-01-06T23:22:00"/>
    <d v="1900-01-06T23:22:00"/>
    <m/>
    <s v="POSITION1"/>
    <x v="7"/>
    <s v="STORE286"/>
  </r>
  <r>
    <n v="201126"/>
    <s v="People880"/>
    <s v="department"/>
    <s v="REGION8"/>
    <s v="STORE285"/>
    <s v="MANAGER104"/>
    <s v="NEGATIVO"/>
    <d v="1899-12-30T00:09:00"/>
    <d v="1899-12-30T00:09:00"/>
    <m/>
    <s v="POSITION4"/>
    <x v="7"/>
    <s v="STORE285"/>
  </r>
  <r>
    <n v="203531"/>
    <s v="People881"/>
    <s v="department"/>
    <s v="REGION8"/>
    <s v="STORE286"/>
    <s v="MANAGER104"/>
    <s v="NEGATIVO"/>
    <d v="1900-01-04T09:45:00"/>
    <d v="1900-01-04T09:45:00"/>
    <m/>
    <s v="POSITION1"/>
    <x v="7"/>
    <s v="STORE286"/>
  </r>
  <r>
    <n v="202742"/>
    <s v="People882"/>
    <s v="department"/>
    <s v="REGION8"/>
    <s v="STORE286"/>
    <s v="MANAGER104"/>
    <s v="NEGATIVO"/>
    <d v="1900-01-06T17:12:00"/>
    <d v="1900-01-06T17:12:00"/>
    <m/>
    <s v="POSITION1"/>
    <x v="7"/>
    <s v="STORE286"/>
  </r>
  <r>
    <n v="200117"/>
    <s v="People883"/>
    <s v="department"/>
    <s v="REGION8"/>
    <s v="STORE287"/>
    <s v="MANAGER98"/>
    <s v="POSITIVO"/>
    <d v="1899-12-30T20:32:00"/>
    <m/>
    <d v="1899-12-30T20:32:00"/>
    <s v="POSITION9"/>
    <x v="7"/>
    <s v="STORE287"/>
  </r>
  <r>
    <n v="232818"/>
    <s v="People884"/>
    <s v="department"/>
    <s v="REGION8"/>
    <s v="STORE288"/>
    <s v="MANAGER105"/>
    <s v="NEGATIVO"/>
    <d v="1899-12-30T12:45:00"/>
    <d v="1899-12-30T12:45:00"/>
    <m/>
    <s v="POSITION1"/>
    <x v="7"/>
    <s v="STORE288"/>
  </r>
  <r>
    <n v="234576"/>
    <s v="People885"/>
    <s v="department"/>
    <s v="REGION8"/>
    <s v="STORE288"/>
    <s v="MANAGER105"/>
    <s v="NEGATIVO"/>
    <d v="1899-12-30T02:03:00"/>
    <d v="1899-12-30T02:03:00"/>
    <m/>
    <s v="POSITION1"/>
    <x v="7"/>
    <s v="STORE288"/>
  </r>
  <r>
    <n v="232817"/>
    <s v="People886"/>
    <s v="department"/>
    <s v="REGION8"/>
    <s v="STORE289"/>
    <s v="MANAGER105"/>
    <s v="NEGATIVO"/>
    <d v="1899-12-31T18:15:00"/>
    <d v="1899-12-31T18:15:00"/>
    <m/>
    <s v="POSITION4"/>
    <x v="7"/>
    <s v="STORE289"/>
  </r>
  <r>
    <n v="233016"/>
    <s v="People887"/>
    <s v="department"/>
    <s v="REGION8"/>
    <s v="STORE290"/>
    <s v="MANAGER98"/>
    <s v="NEGATIVO"/>
    <d v="1899-12-30T06:36:00"/>
    <d v="1899-12-30T06:36:00"/>
    <m/>
    <s v="POSITION2"/>
    <x v="7"/>
    <s v="STORE290"/>
  </r>
  <r>
    <n v="222225"/>
    <s v="People888"/>
    <s v="department"/>
    <s v="REGION8"/>
    <s v="STORE289"/>
    <s v="MANAGER105"/>
    <s v="NEGATIVO"/>
    <d v="1899-12-30T04:33:00"/>
    <d v="1899-12-30T04:33:00"/>
    <m/>
    <s v="POSITION3"/>
    <x v="7"/>
    <s v="STORE289"/>
  </r>
  <r>
    <n v="232796"/>
    <s v="People889"/>
    <s v="department"/>
    <s v="REGION8"/>
    <s v="STORE288"/>
    <s v="MANAGER105"/>
    <s v="NEGATIVO"/>
    <d v="1899-12-31T14:07:00"/>
    <d v="1899-12-31T14:07:00"/>
    <m/>
    <s v="POSITION1"/>
    <x v="7"/>
    <s v="STORE288"/>
  </r>
  <r>
    <n v="232797"/>
    <s v="People890"/>
    <s v="department"/>
    <s v="REGION8"/>
    <s v="STORE288"/>
    <s v="MANAGER105"/>
    <s v="POSITIVO"/>
    <d v="1900-01-02T02:06:00"/>
    <m/>
    <d v="1900-01-02T02:06:00"/>
    <s v="POSITION1"/>
    <x v="7"/>
    <s v="STORE288"/>
  </r>
  <r>
    <n v="225454"/>
    <s v="People891"/>
    <s v="department"/>
    <s v="REGION8"/>
    <s v="STORE291"/>
    <s v="MANAGER106"/>
    <s v="NEGATIVO"/>
    <d v="1900-01-04T09:53:00"/>
    <d v="1900-01-04T09:53:00"/>
    <m/>
    <s v="POSITION4"/>
    <x v="7"/>
    <s v="STORE291"/>
  </r>
  <r>
    <n v="225453"/>
    <s v="People892"/>
    <s v="department"/>
    <s v="REGION8"/>
    <s v="STORE291"/>
    <s v="MANAGER106"/>
    <s v="NEGATIVO"/>
    <d v="1900-01-07T12:16:00"/>
    <d v="1900-01-07T12:16:00"/>
    <m/>
    <s v="POSITION3"/>
    <x v="7"/>
    <s v="STORE291"/>
  </r>
  <r>
    <n v="231115"/>
    <s v="People893"/>
    <s v="department"/>
    <s v="REGION8"/>
    <s v="STORE292"/>
    <s v="MANAGER106"/>
    <s v="NEGATIVO"/>
    <d v="1900-01-03T08:23:00"/>
    <d v="1900-01-03T08:23:00"/>
    <m/>
    <s v="POSITION1"/>
    <x v="7"/>
    <s v="STORE292"/>
  </r>
  <r>
    <n v="231116"/>
    <s v="People894"/>
    <s v="department"/>
    <s v="REGION8"/>
    <s v="STORE292"/>
    <s v="MANAGER106"/>
    <s v="POSITIVO"/>
    <d v="1900-01-03T12:51:00"/>
    <m/>
    <d v="1900-01-03T12:51:00"/>
    <s v="POSITION1"/>
    <x v="7"/>
    <s v="STORE292"/>
  </r>
  <r>
    <n v="225392"/>
    <s v="People895"/>
    <s v="department"/>
    <s v="REGION8"/>
    <s v="STORE292"/>
    <s v="MANAGER106"/>
    <s v="POSITIVO"/>
    <d v="1900-01-03T05:52:00"/>
    <m/>
    <d v="1900-01-03T05:52:00"/>
    <s v="POSITION1"/>
    <x v="7"/>
    <s v="STORE292"/>
  </r>
  <r>
    <n v="234533"/>
    <s v="People896"/>
    <s v="department"/>
    <s v="REGION8"/>
    <s v="STORE292"/>
    <s v="MANAGER106"/>
    <s v="POSITIVO"/>
    <d v="1900-01-02T16:30:00"/>
    <m/>
    <d v="1900-01-02T16:30:00"/>
    <s v="POSITION1"/>
    <x v="7"/>
    <s v="STORE292"/>
  </r>
  <r>
    <n v="229447"/>
    <s v="People897"/>
    <s v="department"/>
    <s v="REGION8"/>
    <s v="STORE292"/>
    <s v="MANAGER106"/>
    <s v="POSITIVO"/>
    <d v="1900-01-02T15:32:00"/>
    <m/>
    <d v="1900-01-02T15:32:00"/>
    <s v="POSITION1"/>
    <x v="7"/>
    <s v="STORE292"/>
  </r>
  <r>
    <n v="234938"/>
    <s v="People898"/>
    <s v="department"/>
    <s v="REGION8"/>
    <s v="STORE293"/>
    <s v="MANAGER98"/>
    <s v="POSITIVO"/>
    <d v="1899-12-31T00:07:00"/>
    <m/>
    <d v="1899-12-31T00:07:00"/>
    <s v="POSITION2"/>
    <x v="7"/>
    <s v="STORE293"/>
  </r>
  <r>
    <n v="238220"/>
    <s v="People899"/>
    <s v="department"/>
    <s v="REGION8"/>
    <s v="STORE294"/>
    <s v="MANAGER107"/>
    <s v="NEGATIVO"/>
    <d v="1899-12-30T08:48:00"/>
    <d v="1899-12-30T08:48:00"/>
    <m/>
    <s v="POSITION1"/>
    <x v="7"/>
    <s v="STORE294"/>
  </r>
  <r>
    <n v="237209"/>
    <s v="People900"/>
    <s v="department"/>
    <s v="REGION8"/>
    <s v="STORE294"/>
    <s v="MANAGER107"/>
    <s v="NEGATIVO"/>
    <d v="1899-12-31T09:32:00"/>
    <d v="1899-12-31T09:32:00"/>
    <m/>
    <s v="POSITION1"/>
    <x v="7"/>
    <s v="STORE294"/>
  </r>
  <r>
    <n v="235804"/>
    <s v="People901"/>
    <s v="department"/>
    <s v="REGION8"/>
    <s v="STORE295"/>
    <s v="MANAGER107"/>
    <s v="NEGATIVO"/>
    <d v="1900-01-08T21:17:00"/>
    <d v="1900-01-08T21:17:00"/>
    <m/>
    <s v="POSITION4"/>
    <x v="7"/>
    <s v="STORE295"/>
  </r>
  <r>
    <n v="235432"/>
    <s v="People902"/>
    <s v="department"/>
    <s v="REGION8"/>
    <s v="STORE294"/>
    <s v="MANAGER107"/>
    <s v="POSITIVO"/>
    <d v="1899-12-31T08:21:00"/>
    <m/>
    <d v="1899-12-31T08:21:00"/>
    <s v="POSITION1"/>
    <x v="7"/>
    <s v="STORE294"/>
  </r>
  <r>
    <n v="238218"/>
    <s v="People903"/>
    <s v="department"/>
    <s v="REGION8"/>
    <s v="STORE295"/>
    <s v="MANAGER107"/>
    <s v="POSITIVO"/>
    <d v="1899-12-30T06:35:00"/>
    <m/>
    <d v="1899-12-30T06:35:00"/>
    <s v="POSITION3"/>
    <x v="7"/>
    <s v="STORE295"/>
  </r>
  <r>
    <n v="225462"/>
    <s v="People904"/>
    <s v="department"/>
    <s v="REGION8"/>
    <s v="STORE296"/>
    <s v="MANAGER108"/>
    <s v="NEGATIVO"/>
    <d v="1899-12-30T01:52:00"/>
    <d v="1899-12-30T01:52:00"/>
    <m/>
    <s v="POSITION3"/>
    <x v="7"/>
    <s v="STORE296"/>
  </r>
  <r>
    <n v="223055"/>
    <s v="People905"/>
    <s v="department"/>
    <s v="REGION8"/>
    <s v="STORE297"/>
    <s v="MANAGER108"/>
    <s v="NEGATIVO"/>
    <d v="1899-12-30T18:13:00"/>
    <d v="1899-12-30T18:13:00"/>
    <m/>
    <s v="POSITION1"/>
    <x v="7"/>
    <s v="STORE297"/>
  </r>
  <r>
    <n v="223287"/>
    <s v="People906"/>
    <s v="department"/>
    <s v="REGION8"/>
    <s v="STORE296"/>
    <s v="MANAGER108"/>
    <s v="NEGATIVO"/>
    <d v="1900-01-07T22:01:00"/>
    <d v="1900-01-07T22:01:00"/>
    <m/>
    <s v="POSITION4"/>
    <x v="7"/>
    <s v="STORE296"/>
  </r>
  <r>
    <n v="236032"/>
    <s v="People907"/>
    <s v="department"/>
    <s v="REGION8"/>
    <s v="STORE297"/>
    <s v="MANAGER108"/>
    <s v="NEGATIVO"/>
    <d v="1899-12-30T02:15:00"/>
    <d v="1899-12-30T02:15:00"/>
    <m/>
    <s v="POSITION1"/>
    <x v="7"/>
    <s v="STORE297"/>
  </r>
  <r>
    <n v="229770"/>
    <s v="People908"/>
    <s v="department"/>
    <s v="REGION8"/>
    <s v="STORE298"/>
    <s v="MANAGER98"/>
    <s v="POSITIVO"/>
    <d v="1899-12-31T08:14:00"/>
    <m/>
    <d v="1899-12-31T08:14:00"/>
    <s v="POSITION2"/>
    <x v="7"/>
    <s v="STORE298"/>
  </r>
  <r>
    <n v="230261"/>
    <s v="People909"/>
    <s v="department"/>
    <s v="REGION8"/>
    <s v="STORE297"/>
    <s v="MANAGER108"/>
    <s v="POSITIVO"/>
    <d v="1899-12-30T06:56:00"/>
    <m/>
    <d v="1899-12-30T06:56:00"/>
    <s v="POSITION1"/>
    <x v="7"/>
    <s v="STORE297"/>
  </r>
  <r>
    <n v="230277"/>
    <s v="People910"/>
    <s v="department"/>
    <s v="REGION8"/>
    <s v="STORE297"/>
    <s v="MANAGER108"/>
    <s v="POSITIVO"/>
    <d v="1899-12-30T04:04:00"/>
    <m/>
    <d v="1899-12-30T04:04:00"/>
    <s v="POSITION1"/>
    <x v="7"/>
    <s v="STORE297"/>
  </r>
  <r>
    <n v="225539"/>
    <s v="People911"/>
    <s v="department"/>
    <s v="REGION8"/>
    <s v="STORE299"/>
    <s v="MANAGER109"/>
    <s v="NEGATIVO"/>
    <d v="1899-12-30T07:13:00"/>
    <d v="1899-12-30T07:13:00"/>
    <m/>
    <s v="POSITION1"/>
    <x v="7"/>
    <s v="STORE299"/>
  </r>
  <r>
    <n v="235710"/>
    <s v="People912"/>
    <s v="department"/>
    <s v="REGION8"/>
    <s v="STORE299"/>
    <s v="MANAGER109"/>
    <s v="NEGATIVO"/>
    <d v="1899-12-30T11:03:00"/>
    <d v="1899-12-30T11:03:00"/>
    <m/>
    <s v="POSITION1"/>
    <x v="7"/>
    <s v="STORE299"/>
  </r>
  <r>
    <n v="231230"/>
    <s v="People913"/>
    <s v="department"/>
    <s v="REGION8"/>
    <s v="STORE300"/>
    <s v="MANAGER109"/>
    <s v="POSITIVO"/>
    <d v="1900-01-02T03:07:00"/>
    <m/>
    <d v="1900-01-02T03:07:00"/>
    <s v="POSITION3"/>
    <x v="7"/>
    <s v="STORE300"/>
  </r>
  <r>
    <n v="237791"/>
    <s v="People914"/>
    <s v="department"/>
    <s v="REGION8"/>
    <s v="STORE299"/>
    <s v="MANAGER109"/>
    <s v="POSITIVO"/>
    <d v="1900-01-01T04:04:00"/>
    <m/>
    <d v="1900-01-01T04:04:00"/>
    <s v="POSITION1"/>
    <x v="7"/>
    <s v="STORE299"/>
  </r>
  <r>
    <n v="234626"/>
    <s v="People915"/>
    <s v="department"/>
    <s v="REGION8"/>
    <s v="STORE299"/>
    <s v="MANAGER109"/>
    <s v="POSITIVO"/>
    <d v="1900-01-01T03:46:00"/>
    <m/>
    <d v="1900-01-01T03:46:00"/>
    <s v="POSITION1"/>
    <x v="7"/>
    <s v="STORE299"/>
  </r>
  <r>
    <n v="216552"/>
    <s v="People916"/>
    <s v="department"/>
    <s v="REGION8"/>
    <s v="STORE301"/>
    <s v="MANAGER98"/>
    <s v="POSITIVO"/>
    <d v="1899-12-31T05:40:00"/>
    <m/>
    <d v="1899-12-31T05:40:00"/>
    <s v="POSITION9"/>
    <x v="7"/>
    <s v="STORE301"/>
  </r>
  <r>
    <n v="238036"/>
    <s v="People917"/>
    <s v="department"/>
    <s v="REGION8"/>
    <s v="STORE299"/>
    <s v="MANAGER109"/>
    <s v="POSITIVO"/>
    <d v="1899-12-30T08:48:00"/>
    <m/>
    <d v="1899-12-30T08:48:00"/>
    <s v="POSITION1"/>
    <x v="7"/>
    <s v="STORE299"/>
  </r>
  <r>
    <n v="218097"/>
    <s v="People918"/>
    <s v="department"/>
    <s v="REGION8"/>
    <s v="STORE300"/>
    <s v="MANAGER109"/>
    <s v="POSITIVO"/>
    <d v="1899-12-30T08:06:00"/>
    <m/>
    <d v="1899-12-30T08:06:00"/>
    <s v="POSITION3"/>
    <x v="7"/>
    <s v="STORE300"/>
  </r>
  <r>
    <n v="224508"/>
    <s v="People919"/>
    <s v="department"/>
    <s v="REGION8"/>
    <s v="STORE300"/>
    <s v="MANAGER109"/>
    <s v="POSITIVO"/>
    <d v="1899-12-30T05:20:00"/>
    <m/>
    <d v="1899-12-30T05:20:00"/>
    <s v="POSITION4"/>
    <x v="7"/>
    <s v="STORE300"/>
  </r>
  <r>
    <n v="229847"/>
    <s v="People920"/>
    <s v="department"/>
    <s v="REGION8"/>
    <s v="STORE299"/>
    <s v="MANAGER109"/>
    <s v="POSITIVO"/>
    <d v="1899-12-30T04:24:00"/>
    <m/>
    <d v="1899-12-30T04:24:00"/>
    <s v="POSITION1"/>
    <x v="7"/>
    <s v="STORE299"/>
  </r>
  <r>
    <n v="235376"/>
    <s v="People921"/>
    <s v="department"/>
    <s v="REGION8"/>
    <s v="STORE302"/>
    <s v="MANAGER110"/>
    <s v="NEGATIVO"/>
    <d v="1899-12-30T11:42:00"/>
    <d v="1899-12-30T11:42:00"/>
    <m/>
    <s v="POSITION1"/>
    <x v="7"/>
    <s v="STORE302"/>
  </r>
  <r>
    <n v="237697"/>
    <s v="People922"/>
    <s v="department"/>
    <s v="REGION8"/>
    <s v="STORE302"/>
    <s v="MANAGER110"/>
    <s v="NEGATIVO"/>
    <d v="1899-12-30T11:28:00"/>
    <d v="1899-12-30T11:28:00"/>
    <m/>
    <s v="POSITION1"/>
    <x v="7"/>
    <s v="STORE302"/>
  </r>
  <r>
    <n v="234143"/>
    <s v="People923"/>
    <s v="department"/>
    <s v="REGION8"/>
    <s v="STORE302"/>
    <s v="MANAGER110"/>
    <s v="NEGATIVO"/>
    <d v="1899-12-30T15:54:00"/>
    <d v="1899-12-30T15:54:00"/>
    <m/>
    <s v="POSITION1"/>
    <x v="7"/>
    <s v="STORE302"/>
  </r>
  <r>
    <n v="234141"/>
    <s v="People924"/>
    <s v="department"/>
    <s v="REGION8"/>
    <s v="STORE302"/>
    <s v="MANAGER110"/>
    <s v="NEGATIVO"/>
    <d v="1899-12-31T22:49:00"/>
    <d v="1899-12-31T22:49:00"/>
    <m/>
    <s v="POSITION1"/>
    <x v="7"/>
    <s v="STORE302"/>
  </r>
  <r>
    <n v="237707"/>
    <s v="People925"/>
    <s v="department"/>
    <s v="REGION8"/>
    <s v="STORE302"/>
    <s v="MANAGER110"/>
    <s v="NEGATIVO"/>
    <d v="1899-12-31T07:03:00"/>
    <d v="1899-12-31T07:03:00"/>
    <m/>
    <s v="POSITION1"/>
    <x v="7"/>
    <s v="STORE302"/>
  </r>
  <r>
    <n v="234142"/>
    <s v="People926"/>
    <s v="department"/>
    <s v="REGION8"/>
    <s v="STORE303"/>
    <s v="MANAGER110"/>
    <s v="NEGATIVO"/>
    <d v="1899-12-30T03:47:00"/>
    <d v="1899-12-30T03:47:00"/>
    <m/>
    <s v="POSITION3"/>
    <x v="7"/>
    <s v="STORE303"/>
  </r>
  <r>
    <n v="236401"/>
    <s v="People927"/>
    <s v="department"/>
    <s v="REGION8"/>
    <s v="STORE303"/>
    <s v="MANAGER110"/>
    <s v="NEGATIVO"/>
    <d v="1899-12-30T22:09:00"/>
    <d v="1899-12-30T22:09:00"/>
    <m/>
    <s v="POSITION3"/>
    <x v="7"/>
    <s v="STORE303"/>
  </r>
  <r>
    <n v="234144"/>
    <s v="People928"/>
    <s v="department"/>
    <s v="REGION8"/>
    <s v="STORE304"/>
    <s v="MANAGER98"/>
    <s v="POSITIVO"/>
    <d v="1899-12-30T16:44:00"/>
    <m/>
    <d v="1899-12-30T16:44:00"/>
    <s v="POSITION2"/>
    <x v="7"/>
    <s v="STORE304"/>
  </r>
  <r>
    <n v="236130"/>
    <s v="People929"/>
    <s v="department"/>
    <s v="REGION8"/>
    <s v="STORE303"/>
    <s v="MANAGER110"/>
    <s v="POSITIVO"/>
    <d v="1899-12-30T07:26:00"/>
    <m/>
    <d v="1899-12-30T07:26:00"/>
    <s v="POSITION4"/>
    <x v="7"/>
    <s v="STORE303"/>
  </r>
  <r>
    <n v="237232"/>
    <s v="People930"/>
    <s v="department"/>
    <s v="REGION8"/>
    <s v="STORE305"/>
    <s v="MANAGER111"/>
    <s v="NEGATIVO"/>
    <d v="1899-12-30T01:48:00"/>
    <d v="1899-12-30T01:48:00"/>
    <m/>
    <s v="POSITION3"/>
    <x v="7"/>
    <s v="STORE305"/>
  </r>
  <r>
    <n v="237318"/>
    <s v="People931"/>
    <s v="department"/>
    <s v="REGION8"/>
    <s v="STORE306"/>
    <s v="MANAGER111"/>
    <s v="POSITIVO"/>
    <d v="1899-12-31T20:00:00"/>
    <m/>
    <d v="1899-12-31T20:00:00"/>
    <s v="POSITION1"/>
    <x v="7"/>
    <s v="STORE306"/>
  </r>
  <r>
    <n v="237563"/>
    <s v="People932"/>
    <s v="department"/>
    <s v="REGION8"/>
    <s v="STORE306"/>
    <s v="MANAGER111"/>
    <s v="POSITIVO"/>
    <d v="1899-12-30T11:00:00"/>
    <m/>
    <d v="1899-12-30T11:00:00"/>
    <s v="POSITION1"/>
    <x v="7"/>
    <s v="STORE306"/>
  </r>
  <r>
    <n v="237564"/>
    <s v="People933"/>
    <s v="department"/>
    <s v="REGION8"/>
    <s v="STORE305"/>
    <s v="MANAGER111"/>
    <s v="POSITIVO"/>
    <d v="1899-12-30T04:00:00"/>
    <m/>
    <d v="1899-12-30T04:00:00"/>
    <s v="POSITION4"/>
    <x v="7"/>
    <s v="STORE305"/>
  </r>
  <r>
    <n v="234668"/>
    <s v="People934"/>
    <s v="department"/>
    <s v="REGION8"/>
    <s v="STORE307"/>
    <s v="MANAGER112"/>
    <s v="NEGATIVO"/>
    <d v="1899-12-31T05:42:00"/>
    <d v="1899-12-31T05:42:00"/>
    <m/>
    <s v="POSITION4"/>
    <x v="7"/>
    <s v="STORE307"/>
  </r>
  <r>
    <n v="234161"/>
    <s v="People935"/>
    <s v="department"/>
    <s v="REGION8"/>
    <s v="STORE308"/>
    <s v="MANAGER112"/>
    <s v="NEGATIVO"/>
    <d v="1899-12-31T08:31:00"/>
    <d v="1899-12-31T08:31:00"/>
    <m/>
    <s v="POSITION1"/>
    <x v="7"/>
    <s v="STORE308"/>
  </r>
  <r>
    <n v="235725"/>
    <s v="People936"/>
    <s v="department"/>
    <s v="REGION8"/>
    <s v="STORE308"/>
    <s v="MANAGER112"/>
    <s v="NEGATIVO"/>
    <d v="1899-12-30T20:08:00"/>
    <d v="1899-12-30T20:08:00"/>
    <m/>
    <s v="POSITION1"/>
    <x v="7"/>
    <s v="STORE308"/>
  </r>
  <r>
    <n v="234146"/>
    <s v="People937"/>
    <s v="department"/>
    <s v="REGION8"/>
    <s v="STORE308"/>
    <s v="MANAGER112"/>
    <s v="POSITIVO"/>
    <d v="1900-01-05T06:26:00"/>
    <m/>
    <d v="1900-01-05T06:26:00"/>
    <s v="POSITION1"/>
    <x v="7"/>
    <s v="STORE308"/>
  </r>
  <r>
    <n v="235711"/>
    <s v="People938"/>
    <s v="department"/>
    <s v="REGION8"/>
    <s v="STORE308"/>
    <s v="MANAGER112"/>
    <s v="POSITIVO"/>
    <d v="1900-01-02T08:26:00"/>
    <m/>
    <d v="1900-01-02T08:26:00"/>
    <s v="POSITION1"/>
    <x v="7"/>
    <s v="STORE308"/>
  </r>
  <r>
    <n v="234165"/>
    <s v="People939"/>
    <s v="department"/>
    <s v="REGION8"/>
    <s v="STORE307"/>
    <s v="MANAGER112"/>
    <s v="POSITIVO"/>
    <d v="1899-12-31T21:46:00"/>
    <m/>
    <d v="1899-12-31T21:46:00"/>
    <s v="POSITION3"/>
    <x v="7"/>
    <s v="STORE307"/>
  </r>
  <r>
    <n v="235375"/>
    <s v="People940"/>
    <s v="department"/>
    <s v="REGION8"/>
    <s v="STORE309"/>
    <s v="MANAGER98"/>
    <s v="POSITIVO"/>
    <d v="1899-12-31T00:40:00"/>
    <m/>
    <d v="1899-12-31T00:40:00"/>
    <s v="POSITION2"/>
    <x v="7"/>
    <s v="STORE309"/>
  </r>
  <r>
    <n v="236084"/>
    <s v="People941"/>
    <s v="department"/>
    <s v="REGION8"/>
    <s v="STORE308"/>
    <s v="MANAGER112"/>
    <s v="POSITIVO"/>
    <d v="1899-12-30T09:24:00"/>
    <m/>
    <d v="1899-12-30T09:24:00"/>
    <s v="POSITION1"/>
    <x v="7"/>
    <s v="STORE308"/>
  </r>
  <r>
    <n v="230276"/>
    <s v="People942"/>
    <s v="department"/>
    <s v="REGION8"/>
    <s v="STORE310"/>
    <s v="MANAGER98"/>
    <s v="POSITIVO"/>
    <d v="1899-12-30T14:09:00"/>
    <m/>
    <d v="1899-12-30T14:09:00"/>
    <s v="POSITION2"/>
    <x v="7"/>
    <s v="STORE310"/>
  </r>
  <r>
    <n v="235023"/>
    <s v="People943"/>
    <s v="department"/>
    <s v="REGION8"/>
    <s v="STORE311"/>
    <s v="MANAGER113"/>
    <s v="NEGATIVO"/>
    <d v="1899-12-30T11:34:00"/>
    <d v="1899-12-30T11:34:00"/>
    <m/>
    <s v="POSITION1"/>
    <x v="7"/>
    <s v="STORE311"/>
  </r>
  <r>
    <n v="235819"/>
    <s v="People944"/>
    <s v="department"/>
    <s v="REGION8"/>
    <s v="STORE312"/>
    <s v="MANAGER113"/>
    <s v="NEGATIVO"/>
    <d v="1899-12-30T02:44:00"/>
    <d v="1899-12-30T02:44:00"/>
    <m/>
    <s v="POSITION5"/>
    <x v="7"/>
    <s v="STORE312"/>
  </r>
  <r>
    <n v="232716"/>
    <s v="People945"/>
    <s v="department"/>
    <s v="REGION8"/>
    <s v="STORE311"/>
    <s v="MANAGER113"/>
    <s v="POSITIVO"/>
    <d v="1899-12-31T02:49:00"/>
    <m/>
    <d v="1899-12-31T02:49:00"/>
    <s v="POSITION1"/>
    <x v="7"/>
    <s v="STORE311"/>
  </r>
  <r>
    <n v="231776"/>
    <s v="People946"/>
    <s v="department"/>
    <s v="REGION8"/>
    <s v="STORE311"/>
    <s v="MANAGER113"/>
    <s v="POSITIVO"/>
    <d v="1899-12-30T22:58:00"/>
    <m/>
    <d v="1899-12-30T22:58:00"/>
    <s v="POSITION1"/>
    <x v="7"/>
    <s v="STORE311"/>
  </r>
  <r>
    <n v="232842"/>
    <s v="People947"/>
    <s v="department"/>
    <s v="REGION8"/>
    <s v="STORE311"/>
    <s v="MANAGER113"/>
    <s v="POSITIVO"/>
    <d v="1899-12-30T20:54:00"/>
    <m/>
    <d v="1899-12-30T20:54:00"/>
    <s v="POSITION1"/>
    <x v="7"/>
    <s v="STORE311"/>
  </r>
  <r>
    <n v="234739"/>
    <s v="People948"/>
    <s v="department"/>
    <s v="REGION8"/>
    <s v="STORE311"/>
    <s v="MANAGER113"/>
    <s v="POSITIVO"/>
    <d v="1899-12-30T17:03:00"/>
    <m/>
    <d v="1899-12-30T17:03:00"/>
    <s v="POSITION1"/>
    <x v="7"/>
    <s v="STORE311"/>
  </r>
  <r>
    <n v="231223"/>
    <s v="People949"/>
    <s v="department"/>
    <s v="REGION8"/>
    <s v="STORE311"/>
    <s v="MANAGER113"/>
    <s v="POSITIVO"/>
    <d v="1899-12-30T16:36:00"/>
    <m/>
    <d v="1899-12-30T16:36:00"/>
    <s v="POSITION1"/>
    <x v="7"/>
    <s v="STORE311"/>
  </r>
  <r>
    <n v="219894"/>
    <s v="People950"/>
    <s v="department"/>
    <s v="REGION8"/>
    <s v="STORE313"/>
    <s v="MANAGER98"/>
    <s v="POSITIVO"/>
    <d v="1899-12-30T14:17:00"/>
    <m/>
    <d v="1899-12-30T14:17:00"/>
    <s v="POSITION2"/>
    <x v="7"/>
    <s v="STORE313"/>
  </r>
  <r>
    <n v="229385"/>
    <s v="People951"/>
    <s v="department"/>
    <s v="REGION8"/>
    <s v="STORE312"/>
    <s v="MANAGER113"/>
    <s v="POSITIVO"/>
    <d v="1899-12-30T12:26:00"/>
    <m/>
    <d v="1899-12-30T12:26:00"/>
    <s v="POSITION3"/>
    <x v="7"/>
    <s v="STORE312"/>
  </r>
  <r>
    <n v="229584"/>
    <s v="People952"/>
    <s v="department"/>
    <s v="REGION8"/>
    <s v="STORE312"/>
    <s v="MANAGER113"/>
    <s v="POSITIVO"/>
    <d v="1899-12-30T10:09:00"/>
    <m/>
    <d v="1899-12-30T10:09:00"/>
    <s v="POSITION3"/>
    <x v="7"/>
    <s v="STORE312"/>
  </r>
  <r>
    <n v="235844"/>
    <s v="People953"/>
    <s v="department"/>
    <s v="REGION8"/>
    <s v="STORE311"/>
    <s v="MANAGER113"/>
    <s v="POSITIVO"/>
    <d v="1899-12-30T08:22:00"/>
    <m/>
    <d v="1899-12-30T08:22:00"/>
    <s v="POSITION1"/>
    <x v="7"/>
    <s v="STORE311"/>
  </r>
  <r>
    <n v="217966"/>
    <s v="People954"/>
    <s v="department"/>
    <s v="REGION8"/>
    <s v="STORE312"/>
    <s v="MANAGER113"/>
    <s v="POSITIVO"/>
    <d v="1899-12-30T06:42:00"/>
    <m/>
    <d v="1899-12-30T06:42:00"/>
    <s v="POSITION4"/>
    <x v="7"/>
    <s v="STORE312"/>
  </r>
  <r>
    <n v="203594"/>
    <s v="People955"/>
    <s v="department"/>
    <s v="REGION9"/>
    <s v="STORE314"/>
    <s v="MANAGER114"/>
    <s v="NEGATIVO"/>
    <d v="1899-12-31T09:14:00"/>
    <d v="1899-12-31T09:14:00"/>
    <m/>
    <s v="POSITION1"/>
    <x v="8"/>
    <s v="STORE314"/>
  </r>
  <r>
    <n v="235756"/>
    <s v="People956"/>
    <s v="department"/>
    <s v="REGION9"/>
    <s v="STORE315"/>
    <s v="MANAGER115"/>
    <s v="NEGATIVO"/>
    <d v="1899-12-31T10:09:00"/>
    <d v="1899-12-31T10:09:00"/>
    <m/>
    <s v="POSITION1"/>
    <x v="8"/>
    <s v="STORE315"/>
  </r>
  <r>
    <n v="221016"/>
    <s v="People957"/>
    <s v="department"/>
    <s v="REGION9"/>
    <s v="STORE316"/>
    <s v="MANAGER116"/>
    <s v="NEGATIVO"/>
    <d v="1900-01-02T08:12:00"/>
    <d v="1900-01-02T08:12:00"/>
    <m/>
    <s v="POSITION4"/>
    <x v="8"/>
    <s v="STORE316"/>
  </r>
  <r>
    <n v="224468"/>
    <s v="People958"/>
    <s v="department"/>
    <s v="REGION9"/>
    <s v="STORE317"/>
    <s v="MANAGER117"/>
    <s v="NEGATIVO"/>
    <d v="1899-12-31T03:14:00"/>
    <d v="1899-12-31T03:14:00"/>
    <m/>
    <s v="POSITION3"/>
    <x v="8"/>
    <s v="STORE317"/>
  </r>
  <r>
    <n v="230583"/>
    <s v="People959"/>
    <s v="department"/>
    <s v="REGION9"/>
    <s v="STORE318"/>
    <s v="MANAGER116"/>
    <s v="NEGATIVO"/>
    <d v="1900-01-03T18:52:00"/>
    <d v="1900-01-03T18:52:00"/>
    <m/>
    <s v="POSITION1"/>
    <x v="8"/>
    <s v="STORE318"/>
  </r>
  <r>
    <n v="223539"/>
    <s v="People960"/>
    <s v="department"/>
    <s v="REGION9"/>
    <s v="STORE319"/>
    <s v="MANAGER118"/>
    <s v="NEGATIVO"/>
    <d v="1900-01-11T09:37:00"/>
    <d v="1900-01-11T09:37:00"/>
    <m/>
    <s v="POSITION4"/>
    <x v="8"/>
    <s v="STORE319"/>
  </r>
  <r>
    <n v="218444"/>
    <s v="People961"/>
    <s v="department"/>
    <s v="REGION8"/>
    <s v="STORE320"/>
    <s v="MANAGER119"/>
    <s v="NEGATIVO"/>
    <d v="1899-12-31T00:25:00"/>
    <d v="1899-12-31T00:25:00"/>
    <m/>
    <s v="POSITION3"/>
    <x v="7"/>
    <s v="STORE320"/>
  </r>
  <r>
    <n v="229828"/>
    <s v="People962"/>
    <s v="department"/>
    <s v="REGION9"/>
    <s v="STORE315"/>
    <s v="MANAGER115"/>
    <s v="NEGATIVO"/>
    <d v="1899-12-30T23:34:00"/>
    <d v="1899-12-30T23:34:00"/>
    <m/>
    <s v="POSITION1"/>
    <x v="8"/>
    <s v="STORE315"/>
  </r>
  <r>
    <n v="235499"/>
    <s v="People963"/>
    <s v="department"/>
    <s v="REGION9"/>
    <s v="STORE321"/>
    <s v="MANAGER117"/>
    <s v="NEGATIVO"/>
    <d v="1899-12-30T18:15:00"/>
    <d v="1899-12-30T18:15:00"/>
    <m/>
    <s v="POSITION1"/>
    <x v="8"/>
    <s v="STORE321"/>
  </r>
  <r>
    <n v="237491"/>
    <s v="People964"/>
    <s v="department"/>
    <s v="REGION9"/>
    <s v="STORE314"/>
    <s v="MANAGER114"/>
    <s v="NEGATIVO"/>
    <d v="1899-12-30T05:50:00"/>
    <d v="1899-12-30T05:50:00"/>
    <m/>
    <s v="POSITION1"/>
    <x v="8"/>
    <s v="STORE314"/>
  </r>
  <r>
    <n v="233434"/>
    <s v="People965"/>
    <s v="department"/>
    <s v="REGION9"/>
    <s v="STORE315"/>
    <s v="MANAGER115"/>
    <s v="NEGATIVO"/>
    <d v="1899-12-31T20:01:00"/>
    <d v="1899-12-31T20:01:00"/>
    <m/>
    <s v="POSITION1"/>
    <x v="8"/>
    <s v="STORE315"/>
  </r>
  <r>
    <n v="203339"/>
    <s v="People966"/>
    <s v="department"/>
    <s v="REGION9"/>
    <s v="STORE322"/>
    <s v="MANAGER120"/>
    <s v="NEGATIVO"/>
    <d v="1899-12-31T09:10:00"/>
    <d v="1899-12-31T09:10:00"/>
    <m/>
    <s v="POSITION2"/>
    <x v="8"/>
    <s v="STORE322"/>
  </r>
  <r>
    <n v="235957"/>
    <s v="People967"/>
    <s v="department"/>
    <s v="REGION9"/>
    <s v="STORE323"/>
    <s v="MANAGER121"/>
    <s v="NEGATIVO"/>
    <d v="1900-01-19T04:18:00"/>
    <d v="1900-01-19T04:18:00"/>
    <m/>
    <s v="POSITION3"/>
    <x v="8"/>
    <s v="STORE323"/>
  </r>
  <r>
    <n v="233380"/>
    <s v="People968"/>
    <s v="department"/>
    <s v="REGION9"/>
    <s v="STORE324"/>
    <s v="MANAGER122"/>
    <s v="NEGATIVO"/>
    <d v="1899-12-30T10:36:00"/>
    <d v="1899-12-30T10:36:00"/>
    <m/>
    <s v="POSITION1"/>
    <x v="8"/>
    <s v="STORE324"/>
  </r>
  <r>
    <n v="238191"/>
    <s v="People969"/>
    <s v="department"/>
    <s v="REGION8"/>
    <s v="STORE325"/>
    <s v="MANAGER119"/>
    <s v="NEGATIVO"/>
    <d v="1899-12-30T09:04:00"/>
    <d v="1899-12-30T09:04:00"/>
    <m/>
    <s v="POSITION1"/>
    <x v="7"/>
    <s v="STORE325"/>
  </r>
  <r>
    <n v="235966"/>
    <s v="People970"/>
    <s v="department"/>
    <s v="REGION9"/>
    <s v="STORE323"/>
    <s v="MANAGER121"/>
    <s v="NEGATIVO"/>
    <d v="1899-12-31T23:31:00"/>
    <d v="1899-12-31T23:31:00"/>
    <m/>
    <s v="POSITION4"/>
    <x v="8"/>
    <s v="STORE323"/>
  </r>
  <r>
    <n v="202925"/>
    <s v="People971"/>
    <s v="department"/>
    <s v="REGION9"/>
    <s v="STORE326"/>
    <s v="MANAGER122"/>
    <s v="NEGATIVO"/>
    <d v="1900-01-31T06:24:00"/>
    <d v="1900-01-31T06:24:00"/>
    <m/>
    <s v="POSITION3"/>
    <x v="8"/>
    <s v="STORE326"/>
  </r>
  <r>
    <n v="230518"/>
    <s v="People972"/>
    <s v="department"/>
    <s v="REGION9"/>
    <s v="STORE314"/>
    <s v="MANAGER114"/>
    <s v="NEGATIVO"/>
    <d v="1900-01-01T21:01:00"/>
    <d v="1900-01-01T21:01:00"/>
    <m/>
    <s v="POSITION1"/>
    <x v="8"/>
    <s v="STORE314"/>
  </r>
  <r>
    <n v="232506"/>
    <s v="People973"/>
    <s v="department"/>
    <s v="REGION9"/>
    <s v="STORE321"/>
    <s v="MANAGER117"/>
    <s v="NEGATIVO"/>
    <d v="1899-12-30T11:19:00"/>
    <d v="1899-12-30T11:19:00"/>
    <m/>
    <s v="POSITION1"/>
    <x v="8"/>
    <s v="STORE321"/>
  </r>
  <r>
    <n v="230559"/>
    <s v="People974"/>
    <s v="department"/>
    <s v="REGION9"/>
    <s v="STORE321"/>
    <s v="MANAGER117"/>
    <s v="NEGATIVO"/>
    <d v="1900-01-01T19:22:00"/>
    <d v="1900-01-01T19:22:00"/>
    <m/>
    <s v="POSITION1"/>
    <x v="8"/>
    <s v="STORE321"/>
  </r>
  <r>
    <n v="232249"/>
    <s v="People975"/>
    <s v="department"/>
    <s v="REGION9"/>
    <s v="STORE326"/>
    <s v="MANAGER122"/>
    <s v="NEGATIVO"/>
    <d v="1899-12-30T00:11:00"/>
    <d v="1899-12-30T00:11:00"/>
    <m/>
    <s v="POSITION3"/>
    <x v="8"/>
    <s v="STORE326"/>
  </r>
  <r>
    <n v="235963"/>
    <s v="People976"/>
    <s v="department"/>
    <s v="REGION9"/>
    <s v="STORE327"/>
    <s v="MANAGER121"/>
    <s v="NEGATIVO"/>
    <d v="1900-01-21T15:09:00"/>
    <d v="1900-01-21T15:09:00"/>
    <m/>
    <s v="POSITION1"/>
    <x v="8"/>
    <s v="STORE327"/>
  </r>
  <r>
    <n v="236870"/>
    <s v="People977"/>
    <s v="department"/>
    <s v="REGION9"/>
    <s v="STORE315"/>
    <s v="MANAGER115"/>
    <s v="NEGATIVO"/>
    <d v="1900-01-04T23:03:00"/>
    <d v="1900-01-04T23:03:00"/>
    <m/>
    <s v="POSITION1"/>
    <x v="8"/>
    <s v="STORE315"/>
  </r>
  <r>
    <n v="230403"/>
    <s v="People978"/>
    <s v="department"/>
    <s v="REGION9"/>
    <s v="STORE321"/>
    <s v="MANAGER117"/>
    <s v="NEGATIVO"/>
    <d v="1899-12-30T13:24:00"/>
    <d v="1899-12-30T13:24:00"/>
    <m/>
    <s v="POSITION1"/>
    <x v="8"/>
    <s v="STORE321"/>
  </r>
  <r>
    <n v="233457"/>
    <s v="People979"/>
    <s v="department"/>
    <s v="REGION9"/>
    <s v="STORE315"/>
    <s v="MANAGER115"/>
    <s v="NEGATIVO"/>
    <d v="1900-01-02T16:28:00"/>
    <d v="1900-01-02T16:28:00"/>
    <m/>
    <s v="POSITION1"/>
    <x v="8"/>
    <s v="STORE315"/>
  </r>
  <r>
    <n v="231739"/>
    <s v="People980"/>
    <s v="department"/>
    <s v="REGION8"/>
    <s v="STORE328"/>
    <s v="MANAGER123"/>
    <s v="NEGATIVO"/>
    <d v="1899-12-30T09:50:00"/>
    <d v="1899-12-30T09:50:00"/>
    <m/>
    <s v="POSITION3"/>
    <x v="7"/>
    <s v="STORE328"/>
  </r>
  <r>
    <n v="236617"/>
    <s v="People981"/>
    <s v="department"/>
    <s v="REGION9"/>
    <s v="STORE316"/>
    <s v="MANAGER116"/>
    <s v="NEGATIVO"/>
    <d v="1900-01-10T19:20:00"/>
    <d v="1900-01-10T19:20:00"/>
    <m/>
    <s v="POSITION3"/>
    <x v="8"/>
    <s v="STORE316"/>
  </r>
  <r>
    <n v="234608"/>
    <s v="People982"/>
    <s v="department"/>
    <s v="REGION8"/>
    <s v="STORE329"/>
    <s v="MANAGER123"/>
    <s v="NEGATIVO"/>
    <d v="1899-12-30T01:38:00"/>
    <d v="1899-12-30T01:38:00"/>
    <m/>
    <s v="POSITION1"/>
    <x v="7"/>
    <s v="STORE329"/>
  </r>
  <r>
    <n v="217928"/>
    <s v="People983"/>
    <s v="department"/>
    <s v="REGION8"/>
    <s v="STORE320"/>
    <s v="MANAGER119"/>
    <s v="NEGATIVO"/>
    <d v="1900-01-01T11:36:00"/>
    <d v="1900-01-01T11:36:00"/>
    <m/>
    <s v="POSITION4"/>
    <x v="7"/>
    <s v="STORE320"/>
  </r>
  <r>
    <n v="201004"/>
    <s v="People984"/>
    <s v="department"/>
    <s v="REGION9"/>
    <s v="STORE317"/>
    <s v="MANAGER117"/>
    <s v="NEGATIVO"/>
    <d v="1899-12-30T06:50:00"/>
    <d v="1899-12-30T06:50:00"/>
    <m/>
    <s v="POSITION4"/>
    <x v="8"/>
    <s v="STORE317"/>
  </r>
  <r>
    <n v="234530"/>
    <s v="People985"/>
    <s v="department"/>
    <s v="REGION9"/>
    <s v="STORE324"/>
    <s v="MANAGER122"/>
    <s v="NEGATIVO"/>
    <d v="1899-12-30T09:58:00"/>
    <d v="1899-12-30T09:58:00"/>
    <m/>
    <s v="POSITION1"/>
    <x v="8"/>
    <s v="STORE324"/>
  </r>
  <r>
    <n v="218005"/>
    <s v="People986"/>
    <s v="department"/>
    <s v="REGION9"/>
    <s v="STORE317"/>
    <s v="MANAGER117"/>
    <s v="NEGATIVO"/>
    <d v="1900-01-01T09:32:00"/>
    <d v="1900-01-01T09:32:00"/>
    <m/>
    <s v="POSITION3"/>
    <x v="8"/>
    <s v="STORE317"/>
  </r>
  <r>
    <n v="236042"/>
    <s v="People987"/>
    <s v="department"/>
    <s v="REGION9"/>
    <s v="STORE324"/>
    <s v="MANAGER122"/>
    <s v="NEGATIVO"/>
    <d v="1899-12-30T11:41:00"/>
    <d v="1899-12-30T11:41:00"/>
    <m/>
    <s v="POSITION1"/>
    <x v="8"/>
    <s v="STORE324"/>
  </r>
  <r>
    <n v="219308"/>
    <s v="People988"/>
    <s v="department"/>
    <s v="REGION9"/>
    <s v="STORE319"/>
    <s v="MANAGER118"/>
    <s v="NEGATIVO"/>
    <d v="1899-12-30T01:32:00"/>
    <d v="1899-12-30T01:32:00"/>
    <m/>
    <s v="POSITION3"/>
    <x v="8"/>
    <s v="STORE319"/>
  </r>
  <r>
    <n v="230388"/>
    <s v="People989"/>
    <s v="department"/>
    <s v="REGION9"/>
    <s v="STORE321"/>
    <s v="MANAGER117"/>
    <s v="NEGATIVO"/>
    <d v="1900-01-01T11:59:00"/>
    <d v="1900-01-01T11:59:00"/>
    <m/>
    <s v="POSITION1"/>
    <x v="8"/>
    <s v="STORE321"/>
  </r>
  <r>
    <n v="203583"/>
    <s v="People990"/>
    <s v="department"/>
    <s v="REGION9"/>
    <s v="STORE315"/>
    <s v="MANAGER115"/>
    <s v="NEGATIVO"/>
    <d v="1900-01-02T20:04:00"/>
    <d v="1900-01-02T20:04:00"/>
    <m/>
    <s v="POSITION1"/>
    <x v="8"/>
    <s v="STORE315"/>
  </r>
  <r>
    <n v="220228"/>
    <s v="People991"/>
    <s v="department"/>
    <s v="REGION8"/>
    <s v="STORE330"/>
    <s v="MANAGER98"/>
    <s v="NEGATIVO"/>
    <d v="1900-01-03T11:05:00"/>
    <d v="1900-01-03T11:05:00"/>
    <m/>
    <s v="POSITION9"/>
    <x v="7"/>
    <s v="STORE330"/>
  </r>
  <r>
    <n v="221057"/>
    <s v="People992"/>
    <s v="department"/>
    <s v="REGION8"/>
    <s v="STORE320"/>
    <s v="MANAGER119"/>
    <s v="NEGATIVO"/>
    <d v="1900-01-02T12:21:00"/>
    <d v="1900-01-02T12:21:00"/>
    <m/>
    <s v="POSITION3"/>
    <x v="7"/>
    <s v="STORE320"/>
  </r>
  <r>
    <n v="236411"/>
    <s v="People993"/>
    <s v="department"/>
    <s v="REGION8"/>
    <s v="STORE329"/>
    <s v="MANAGER123"/>
    <s v="POSITIVO"/>
    <d v="1899-12-31T21:34:00"/>
    <m/>
    <d v="1899-12-31T21:34:00"/>
    <s v="POSITION1"/>
    <x v="7"/>
    <s v="STORE329"/>
  </r>
  <r>
    <n v="237670"/>
    <s v="People994"/>
    <s v="department"/>
    <s v="REGION8"/>
    <s v="STORE329"/>
    <s v="MANAGER123"/>
    <s v="POSITIVO"/>
    <d v="1899-12-31T17:10:00"/>
    <m/>
    <d v="1899-12-31T17:10:00"/>
    <s v="POSITION1"/>
    <x v="7"/>
    <s v="STORE329"/>
  </r>
  <r>
    <n v="225547"/>
    <s v="People995"/>
    <s v="department"/>
    <s v="REGION9"/>
    <s v="STORE331"/>
    <s v="MANAGER118"/>
    <s v="POSITIVO"/>
    <d v="1899-12-31T15:38:00"/>
    <m/>
    <d v="1899-12-31T15:38:00"/>
    <s v="POSITION1"/>
    <x v="8"/>
    <s v="STORE331"/>
  </r>
  <r>
    <n v="237666"/>
    <s v="People996"/>
    <s v="department"/>
    <s v="REGION8"/>
    <s v="STORE329"/>
    <s v="MANAGER123"/>
    <s v="POSITIVO"/>
    <d v="1899-12-31T14:35:00"/>
    <m/>
    <d v="1899-12-31T14:35:00"/>
    <s v="POSITION1"/>
    <x v="7"/>
    <s v="STORE329"/>
  </r>
  <r>
    <n v="203231"/>
    <s v="People997"/>
    <s v="department"/>
    <s v="REGION9"/>
    <s v="STORE331"/>
    <s v="MANAGER118"/>
    <s v="POSITIVO"/>
    <d v="1899-12-31T05:49:00"/>
    <m/>
    <d v="1899-12-31T05:49:00"/>
    <s v="POSITION1"/>
    <x v="8"/>
    <s v="STORE331"/>
  </r>
  <r>
    <n v="231271"/>
    <s v="People998"/>
    <s v="department"/>
    <s v="REGION8"/>
    <s v="STORE329"/>
    <s v="MANAGER123"/>
    <s v="POSITIVO"/>
    <d v="1899-12-31T03:06:00"/>
    <m/>
    <d v="1899-12-31T03:06:00"/>
    <s v="POSITION1"/>
    <x v="7"/>
    <s v="STORE329"/>
  </r>
  <r>
    <n v="220205"/>
    <s v="People999"/>
    <s v="department"/>
    <s v="REGION8"/>
    <s v="STORE332"/>
    <s v="MANAGER98"/>
    <s v="POSITIVO"/>
    <d v="1899-12-31T01:50:00"/>
    <m/>
    <d v="1899-12-31T01:50:00"/>
    <s v="POSITION9"/>
    <x v="7"/>
    <s v="STORE332"/>
  </r>
  <r>
    <n v="216570"/>
    <s v="People1000"/>
    <s v="department"/>
    <s v="REGION9"/>
    <s v="STORE333"/>
    <s v="MANAGER120"/>
    <s v="POSITIVO"/>
    <d v="1899-12-31T00:19:00"/>
    <m/>
    <d v="1899-12-31T00:19:00"/>
    <s v="POSITION9"/>
    <x v="8"/>
    <s v="STORE333"/>
  </r>
  <r>
    <n v="219156"/>
    <s v="People1001"/>
    <s v="department"/>
    <s v="REGION8"/>
    <s v="STORE328"/>
    <s v="MANAGER123"/>
    <s v="POSITIVO"/>
    <d v="1899-12-30T23:44:00"/>
    <m/>
    <d v="1899-12-30T23:44:00"/>
    <s v="POSITION3"/>
    <x v="7"/>
    <s v="STORE328"/>
  </r>
  <r>
    <n v="238053"/>
    <s v="People1002"/>
    <s v="department"/>
    <s v="REGION9"/>
    <s v="STORE327"/>
    <s v="MANAGER121"/>
    <s v="POSITIVO"/>
    <d v="1899-12-30T23:22:00"/>
    <m/>
    <d v="1899-12-30T23:22:00"/>
    <s v="POSITION1"/>
    <x v="8"/>
    <s v="STORE327"/>
  </r>
  <r>
    <n v="237937"/>
    <s v="People1003"/>
    <s v="department"/>
    <s v="REGION9"/>
    <s v="STORE334"/>
    <s v="MANAGER114"/>
    <s v="POSITIVO"/>
    <d v="1899-12-30T20:42:00"/>
    <m/>
    <d v="1899-12-30T20:42:00"/>
    <s v="POSITION3"/>
    <x v="8"/>
    <s v="STORE334"/>
  </r>
  <r>
    <n v="237901"/>
    <s v="People1004"/>
    <s v="department"/>
    <s v="REGION8"/>
    <s v="STORE335"/>
    <s v="MANAGER124"/>
    <s v="POSITIVO"/>
    <d v="1899-12-30T19:24:00"/>
    <m/>
    <d v="1899-12-30T19:24:00"/>
    <s v="POSITION1"/>
    <x v="7"/>
    <s v="STORE335"/>
  </r>
  <r>
    <n v="203638"/>
    <s v="People1005"/>
    <s v="department"/>
    <s v="REGION9"/>
    <s v="STORE318"/>
    <s v="MANAGER116"/>
    <s v="POSITIVO"/>
    <d v="1899-12-30T19:09:00"/>
    <m/>
    <d v="1899-12-30T19:09:00"/>
    <s v="POSITION1"/>
    <x v="8"/>
    <s v="STORE318"/>
  </r>
  <r>
    <n v="237715"/>
    <s v="People1006"/>
    <s v="department"/>
    <s v="REGION8"/>
    <s v="STORE329"/>
    <s v="MANAGER123"/>
    <s v="POSITIVO"/>
    <d v="1899-12-30T18:46:00"/>
    <m/>
    <d v="1899-12-30T18:46:00"/>
    <s v="POSITION1"/>
    <x v="7"/>
    <s v="STORE329"/>
  </r>
  <r>
    <n v="237754"/>
    <s v="People1007"/>
    <s v="department"/>
    <s v="REGION8"/>
    <s v="STORE335"/>
    <s v="MANAGER124"/>
    <s v="POSITIVO"/>
    <d v="1899-12-30T16:48:00"/>
    <m/>
    <d v="1899-12-30T16:48:00"/>
    <s v="POSITION1"/>
    <x v="7"/>
    <s v="STORE335"/>
  </r>
  <r>
    <n v="223959"/>
    <s v="People1008"/>
    <s v="department"/>
    <s v="REGION9"/>
    <s v="STORE321"/>
    <s v="MANAGER117"/>
    <s v="POSITIVO"/>
    <d v="1899-12-30T15:32:00"/>
    <m/>
    <d v="1899-12-30T15:32:00"/>
    <s v="POSITION1"/>
    <x v="8"/>
    <s v="STORE321"/>
  </r>
  <r>
    <n v="237900"/>
    <s v="People1009"/>
    <s v="department"/>
    <s v="REGION8"/>
    <s v="STORE335"/>
    <s v="MANAGER124"/>
    <s v="POSITIVO"/>
    <d v="1899-12-30T15:24:00"/>
    <m/>
    <d v="1899-12-30T15:24:00"/>
    <s v="POSITION1"/>
    <x v="7"/>
    <s v="STORE335"/>
  </r>
  <r>
    <n v="232004"/>
    <s v="People1010"/>
    <s v="department"/>
    <s v="REGION8"/>
    <s v="STORE325"/>
    <s v="MANAGER119"/>
    <s v="POSITIVO"/>
    <d v="1899-12-30T15:19:00"/>
    <m/>
    <d v="1899-12-30T15:19:00"/>
    <s v="POSITION1"/>
    <x v="7"/>
    <s v="STORE325"/>
  </r>
  <r>
    <n v="235178"/>
    <s v="People1011"/>
    <s v="department"/>
    <s v="REGION9"/>
    <s v="STORE331"/>
    <s v="MANAGER118"/>
    <s v="POSITIVO"/>
    <d v="1899-12-30T13:43:00"/>
    <m/>
    <d v="1899-12-30T13:43:00"/>
    <s v="POSITION1"/>
    <x v="8"/>
    <s v="STORE331"/>
  </r>
  <r>
    <n v="225892"/>
    <s v="People1012"/>
    <s v="department"/>
    <s v="REGION9"/>
    <s v="STORE336"/>
    <s v="MANAGER115"/>
    <s v="POSITIVO"/>
    <d v="1899-12-30T13:15:00"/>
    <m/>
    <d v="1899-12-30T13:15:00"/>
    <s v="POSITION3"/>
    <x v="8"/>
    <s v="STORE336"/>
  </r>
  <r>
    <n v="203488"/>
    <s v="People1013"/>
    <s v="department"/>
    <s v="REGION9"/>
    <s v="STORE318"/>
    <s v="MANAGER116"/>
    <s v="POSITIVO"/>
    <d v="1899-12-30T12:24:00"/>
    <m/>
    <d v="1899-12-30T12:24:00"/>
    <s v="POSITION1"/>
    <x v="8"/>
    <s v="STORE318"/>
  </r>
  <r>
    <n v="229919"/>
    <s v="People1014"/>
    <s v="department"/>
    <s v="REGION9"/>
    <s v="STORE324"/>
    <s v="MANAGER122"/>
    <s v="POSITIVO"/>
    <d v="1899-12-30T11:11:00"/>
    <m/>
    <d v="1899-12-30T11:11:00"/>
    <s v="POSITION1"/>
    <x v="8"/>
    <s v="STORE324"/>
  </r>
  <r>
    <n v="203407"/>
    <s v="People1015"/>
    <s v="department"/>
    <s v="REGION8"/>
    <s v="STORE325"/>
    <s v="MANAGER119"/>
    <s v="POSITIVO"/>
    <d v="1899-12-30T11:05:00"/>
    <m/>
    <d v="1899-12-30T11:05:00"/>
    <s v="POSITION1"/>
    <x v="7"/>
    <s v="STORE325"/>
  </r>
  <r>
    <n v="237157"/>
    <s v="People1016"/>
    <s v="department"/>
    <s v="REGION9"/>
    <s v="STORE336"/>
    <s v="MANAGER115"/>
    <s v="POSITIVO"/>
    <d v="1899-12-30T10:46:00"/>
    <m/>
    <d v="1899-12-30T10:46:00"/>
    <s v="POSITION3"/>
    <x v="8"/>
    <s v="STORE336"/>
  </r>
  <r>
    <n v="238046"/>
    <s v="People1017"/>
    <s v="department"/>
    <s v="REGION9"/>
    <s v="STORE327"/>
    <s v="MANAGER121"/>
    <s v="POSITIVO"/>
    <d v="1899-12-30T10:44:00"/>
    <m/>
    <d v="1899-12-30T10:44:00"/>
    <s v="POSITION1"/>
    <x v="8"/>
    <s v="STORE327"/>
  </r>
  <r>
    <n v="232279"/>
    <s v="People1018"/>
    <s v="department"/>
    <s v="REGION9"/>
    <s v="STORE337"/>
    <s v="MANAGER120"/>
    <s v="POSITIVO"/>
    <d v="1899-12-30T10:00:00"/>
    <m/>
    <d v="1899-12-30T10:00:00"/>
    <s v="POSITION2"/>
    <x v="8"/>
    <s v="STORE337"/>
  </r>
  <r>
    <n v="230461"/>
    <s v="People1019"/>
    <s v="department"/>
    <s v="REGION8"/>
    <s v="STORE325"/>
    <s v="MANAGER119"/>
    <s v="POSITIVO"/>
    <d v="1899-12-30T08:04:00"/>
    <m/>
    <d v="1899-12-30T08:04:00"/>
    <s v="POSITION1"/>
    <x v="7"/>
    <s v="STORE325"/>
  </r>
  <r>
    <n v="229410"/>
    <s v="People1020"/>
    <s v="department"/>
    <s v="REGION8"/>
    <s v="STORE325"/>
    <s v="MANAGER119"/>
    <s v="POSITIVO"/>
    <d v="1899-12-30T06:43:00"/>
    <m/>
    <d v="1899-12-30T06:43:00"/>
    <s v="POSITION1"/>
    <x v="7"/>
    <s v="STORE325"/>
  </r>
  <r>
    <n v="237161"/>
    <s v="People1021"/>
    <s v="department"/>
    <s v="REGION9"/>
    <s v="STORE336"/>
    <s v="MANAGER115"/>
    <s v="POSITIVO"/>
    <d v="1899-12-30T06:29:00"/>
    <m/>
    <d v="1899-12-30T06:29:00"/>
    <s v="POSITION4"/>
    <x v="8"/>
    <s v="STORE336"/>
  </r>
  <r>
    <n v="236378"/>
    <s v="People1022"/>
    <s v="department"/>
    <s v="REGION9"/>
    <s v="STORE338"/>
    <s v="MANAGER120"/>
    <s v="POSITIVO"/>
    <d v="1899-12-30T05:49:00"/>
    <m/>
    <d v="1899-12-30T05:49:00"/>
    <s v="POSITION2"/>
    <x v="8"/>
    <s v="STORE338"/>
  </r>
  <r>
    <n v="202825"/>
    <s v="People1023"/>
    <s v="department"/>
    <s v="REGION8"/>
    <s v="STORE328"/>
    <s v="MANAGER123"/>
    <s v="POSITIVO"/>
    <d v="1899-12-30T05:22:00"/>
    <m/>
    <d v="1899-12-30T05:22:00"/>
    <s v="POSITION4"/>
    <x v="7"/>
    <s v="STORE328"/>
  </r>
  <r>
    <n v="220933"/>
    <s v="People1024"/>
    <s v="department"/>
    <s v="REGION9"/>
    <s v="STORE339"/>
    <s v="MANAGER120"/>
    <s v="POSITIVO"/>
    <d v="1899-12-30T05:14:00"/>
    <m/>
    <d v="1899-12-30T05:14:00"/>
    <s v="POSITION2"/>
    <x v="8"/>
    <s v="STORE339"/>
  </r>
  <r>
    <n v="221161"/>
    <s v="People1025"/>
    <s v="department"/>
    <s v="REGION9"/>
    <s v="STORE340"/>
    <s v="MANAGER120"/>
    <s v="POSITIVO"/>
    <d v="1899-12-30T04:21:00"/>
    <m/>
    <d v="1899-12-30T04:21:00"/>
    <s v="POSITION7"/>
    <x v="8"/>
    <s v="STORE340"/>
  </r>
  <r>
    <n v="225196"/>
    <s v="People1026"/>
    <s v="department"/>
    <s v="REGION9"/>
    <s v="STORE318"/>
    <s v="MANAGER116"/>
    <s v="POSITIVO"/>
    <d v="1899-12-30T04:06:00"/>
    <m/>
    <d v="1899-12-30T04:06:00"/>
    <s v="POSITION1"/>
    <x v="8"/>
    <s v="STORE318"/>
  </r>
  <r>
    <n v="237635"/>
    <s v="People1027"/>
    <s v="department"/>
    <s v="REGION9"/>
    <s v="STORE314"/>
    <s v="MANAGER114"/>
    <s v="POSITIVO"/>
    <d v="1899-12-30T03:06:00"/>
    <m/>
    <d v="1899-12-30T03:06:00"/>
    <s v="POSITION1"/>
    <x v="8"/>
    <s v="STORE314"/>
  </r>
  <r>
    <n v="237730"/>
    <s v="People1028"/>
    <s v="department"/>
    <s v="REGION8"/>
    <s v="STORE325"/>
    <s v="MANAGER119"/>
    <s v="POSITIVO"/>
    <d v="1899-12-30T03:06:00"/>
    <m/>
    <d v="1899-12-30T03:06:00"/>
    <s v="POSITION1"/>
    <x v="7"/>
    <s v="STORE325"/>
  </r>
  <r>
    <n v="225764"/>
    <s v="People1029"/>
    <s v="department"/>
    <s v="REGION9"/>
    <s v="STORE324"/>
    <s v="MANAGER122"/>
    <s v="POSITIVO"/>
    <d v="1899-12-30T02:36:00"/>
    <m/>
    <d v="1899-12-30T02:36:00"/>
    <s v="POSITION1"/>
    <x v="8"/>
    <s v="STORE324"/>
  </r>
  <r>
    <n v="237629"/>
    <s v="People1030"/>
    <s v="department"/>
    <s v="REGION9"/>
    <s v="STORE334"/>
    <s v="MANAGER114"/>
    <s v="POSITIVO"/>
    <d v="1899-12-30T01:41:00"/>
    <m/>
    <d v="1899-12-30T01:41:00"/>
    <s v="POSITION3"/>
    <x v="8"/>
    <s v="STORE334"/>
  </r>
  <r>
    <n v="237899"/>
    <s v="People1031"/>
    <s v="department"/>
    <s v="REGION8"/>
    <s v="STORE341"/>
    <s v="MANAGER124"/>
    <s v="POSITIVO"/>
    <d v="1899-12-30T01:36:00"/>
    <m/>
    <d v="1899-12-30T01:36:00"/>
    <s v="POSITION3"/>
    <x v="7"/>
    <s v="STORE341"/>
  </r>
  <r>
    <n v="237897"/>
    <s v="People1032"/>
    <s v="department"/>
    <s v="REGION8"/>
    <s v="STORE341"/>
    <s v="MANAGER124"/>
    <s v="POSITIVO"/>
    <d v="1899-12-30T01:24:00"/>
    <m/>
    <d v="1899-12-30T01:24:00"/>
    <s v="POSITION4"/>
    <x v="7"/>
    <s v="STORE341"/>
  </r>
  <r>
    <n v="232036"/>
    <s v="People1033"/>
    <s v="department"/>
    <s v="REGION9"/>
    <s v="STORE326"/>
    <s v="MANAGER122"/>
    <s v="POSITIVO"/>
    <d v="1899-12-30T00:53:00"/>
    <m/>
    <d v="1899-12-30T00:53:00"/>
    <s v="POSITION4"/>
    <x v="8"/>
    <s v="STORE326"/>
  </r>
  <r>
    <n v="237330"/>
    <s v="People1034"/>
    <s v="department"/>
    <s v="REGION9"/>
    <s v="STORE342"/>
    <s v="MANAGER120"/>
    <s v="POSITIVO"/>
    <d v="1899-12-30T00:25:00"/>
    <m/>
    <d v="1899-12-30T00:25:00"/>
    <s v="POSITION2"/>
    <x v="8"/>
    <s v="STORE342"/>
  </r>
  <r>
    <n v="237329"/>
    <s v="People1035"/>
    <s v="department"/>
    <s v="REGION9"/>
    <s v="STORE334"/>
    <s v="MANAGER114"/>
    <s v="POSITIVO"/>
    <d v="1899-12-30T00:03:00"/>
    <m/>
    <d v="1899-12-30T00:03:00"/>
    <s v="POSITION4"/>
    <x v="8"/>
    <s v="STORE334"/>
  </r>
  <r>
    <n v="236974"/>
    <s v="People1036"/>
    <s v="department"/>
    <s v="REGION9"/>
    <s v="STORE343"/>
    <s v="MANAGER121"/>
    <s v="NEGATIVO"/>
    <d v="1899-12-30T21:34:00"/>
    <d v="1899-12-30T21:34:00"/>
    <m/>
    <s v="POSITION1"/>
    <x v="8"/>
    <s v="STORE343"/>
  </r>
  <r>
    <n v="233635"/>
    <s v="People1037"/>
    <s v="department"/>
    <s v="REGION9"/>
    <s v="STORE344"/>
    <s v="MANAGER125"/>
    <s v="NEGATIVO"/>
    <d v="1899-12-30T06:24:00"/>
    <d v="1899-12-30T06:24:00"/>
    <m/>
    <s v="POSITION1"/>
    <x v="8"/>
    <s v="STORE344"/>
  </r>
  <r>
    <n v="231649"/>
    <s v="People1038"/>
    <s v="department"/>
    <s v="REGION9"/>
    <s v="STORE345"/>
    <s v="MANAGER126"/>
    <s v="NEGATIVO"/>
    <d v="1899-12-30T01:06:00"/>
    <d v="1899-12-30T01:06:00"/>
    <m/>
    <s v="POSITION4"/>
    <x v="8"/>
    <s v="STORE345"/>
  </r>
  <r>
    <n v="237566"/>
    <s v="People1039"/>
    <s v="department"/>
    <s v="REGION9"/>
    <s v="STORE346"/>
    <s v="MANAGER114"/>
    <s v="NEGATIVO"/>
    <d v="1899-12-31T10:40:00"/>
    <d v="1899-12-31T10:40:00"/>
    <m/>
    <s v="POSITION1"/>
    <x v="8"/>
    <s v="STORE346"/>
  </r>
  <r>
    <n v="229924"/>
    <s v="People1040"/>
    <s v="department"/>
    <s v="REGION9"/>
    <s v="STORE347"/>
    <s v="MANAGER127"/>
    <s v="NEGATIVO"/>
    <d v="1899-12-30T12:36:00"/>
    <d v="1899-12-30T12:36:00"/>
    <m/>
    <s v="POSITION4"/>
    <x v="8"/>
    <s v="STORE347"/>
  </r>
  <r>
    <n v="231877"/>
    <s v="People1041"/>
    <s v="department"/>
    <s v="REGION9"/>
    <s v="STORE348"/>
    <s v="MANAGER120"/>
    <s v="NEGATIVO"/>
    <d v="1899-12-30T03:15:00"/>
    <d v="1899-12-30T03:15:00"/>
    <m/>
    <s v="POSITION2"/>
    <x v="8"/>
    <s v="STORE348"/>
  </r>
  <r>
    <n v="237011"/>
    <s v="People1042"/>
    <s v="department"/>
    <s v="REGION9"/>
    <s v="STORE343"/>
    <s v="MANAGER121"/>
    <s v="NEGATIVO"/>
    <d v="1900-01-07T16:25:00"/>
    <d v="1900-01-07T16:25:00"/>
    <m/>
    <s v="POSITION1"/>
    <x v="8"/>
    <s v="STORE343"/>
  </r>
  <r>
    <n v="229745"/>
    <s v="People1043"/>
    <s v="department"/>
    <s v="REGION9"/>
    <s v="STORE349"/>
    <s v="MANAGER127"/>
    <s v="NEGATIVO"/>
    <d v="1899-12-30T00:12:00"/>
    <d v="1899-12-30T00:12:00"/>
    <m/>
    <s v="POSITION1"/>
    <x v="8"/>
    <s v="STORE349"/>
  </r>
  <r>
    <n v="230386"/>
    <s v="People1044"/>
    <s v="department"/>
    <s v="REGION9"/>
    <s v="STORE350"/>
    <s v="MANAGER128"/>
    <s v="NEGATIVO"/>
    <d v="1900-01-04T19:42:00"/>
    <d v="1900-01-04T19:42:00"/>
    <m/>
    <s v="POSITION1"/>
    <x v="8"/>
    <s v="STORE350"/>
  </r>
  <r>
    <n v="225270"/>
    <s v="People1045"/>
    <s v="department"/>
    <s v="REGION9"/>
    <s v="STORE351"/>
    <s v="MANAGER129"/>
    <s v="NEGATIVO"/>
    <d v="1899-12-30T04:12:00"/>
    <d v="1899-12-30T04:12:00"/>
    <m/>
    <s v="POSITION4"/>
    <x v="8"/>
    <s v="STORE351"/>
  </r>
  <r>
    <n v="224085"/>
    <s v="People1046"/>
    <s v="department"/>
    <s v="REGION9"/>
    <s v="STORE352"/>
    <s v="MANAGER125"/>
    <s v="NEGATIVO"/>
    <d v="1900-01-01T00:48:00"/>
    <d v="1900-01-01T00:48:00"/>
    <m/>
    <s v="POSITION4"/>
    <x v="8"/>
    <s v="STORE352"/>
  </r>
  <r>
    <n v="235552"/>
    <s v="People1047"/>
    <s v="department"/>
    <s v="REGION9"/>
    <s v="STORE353"/>
    <s v="MANAGER130"/>
    <s v="NEGATIVO"/>
    <d v="1900-01-01T01:21:00"/>
    <d v="1900-01-01T01:21:00"/>
    <m/>
    <s v="POSITION3"/>
    <x v="8"/>
    <s v="STORE353"/>
  </r>
  <r>
    <n v="236881"/>
    <s v="People1048"/>
    <s v="department"/>
    <s v="REGION9"/>
    <s v="STORE352"/>
    <s v="MANAGER125"/>
    <s v="NEGATIVO"/>
    <d v="1899-12-30T08:27:00"/>
    <d v="1899-12-30T08:27:00"/>
    <m/>
    <s v="POSITION3"/>
    <x v="8"/>
    <s v="STORE352"/>
  </r>
  <r>
    <n v="222289"/>
    <s v="People1049"/>
    <s v="department"/>
    <s v="REGION9"/>
    <s v="STORE354"/>
    <s v="MANAGER131"/>
    <s v="NEGATIVO"/>
    <d v="1900-01-11T10:41:00"/>
    <d v="1900-01-11T10:41:00"/>
    <m/>
    <s v="POSITION3"/>
    <x v="8"/>
    <s v="STORE354"/>
  </r>
  <r>
    <n v="229864"/>
    <s v="People1050"/>
    <s v="department"/>
    <s v="REGION9"/>
    <s v="STORE350"/>
    <s v="MANAGER128"/>
    <s v="NEGATIVO"/>
    <d v="1899-12-30T18:31:00"/>
    <d v="1899-12-30T18:31:00"/>
    <m/>
    <s v="POSITION1"/>
    <x v="8"/>
    <s v="STORE350"/>
  </r>
  <r>
    <n v="234743"/>
    <s v="People1051"/>
    <s v="department"/>
    <s v="REGION9"/>
    <s v="STORE355"/>
    <s v="MANAGER121"/>
    <s v="NEGATIVO"/>
    <d v="1899-12-30T19:12:00"/>
    <d v="1899-12-30T19:12:00"/>
    <m/>
    <s v="POSITION1"/>
    <x v="8"/>
    <s v="STORE355"/>
  </r>
  <r>
    <n v="225122"/>
    <s v="People1052"/>
    <s v="department"/>
    <s v="REGION9"/>
    <s v="STORE356"/>
    <s v="MANAGER132"/>
    <s v="NEGATIVO"/>
    <d v="1900-01-15T04:44:00"/>
    <d v="1900-01-15T04:44:00"/>
    <m/>
    <s v="POSITION11"/>
    <x v="8"/>
    <s v="STORE356"/>
  </r>
  <r>
    <n v="232479"/>
    <s v="People1053"/>
    <s v="department"/>
    <s v="REGION9"/>
    <s v="STORE357"/>
    <s v="MANAGER133"/>
    <s v="NEGATIVO"/>
    <d v="1900-01-08T17:36:00"/>
    <d v="1900-01-08T17:36:00"/>
    <m/>
    <s v="POSITION4"/>
    <x v="8"/>
    <s v="STORE357"/>
  </r>
  <r>
    <n v="236253"/>
    <s v="People1054"/>
    <s v="department"/>
    <s v="REGION9"/>
    <s v="STORE358"/>
    <s v="MANAGER114"/>
    <s v="NEGATIVO"/>
    <d v="1899-12-30T12:40:00"/>
    <d v="1899-12-30T12:40:00"/>
    <m/>
    <s v="POSITION3"/>
    <x v="8"/>
    <s v="STORE358"/>
  </r>
  <r>
    <n v="229844"/>
    <s v="People1055"/>
    <s v="department"/>
    <s v="REGION9"/>
    <s v="STORE359"/>
    <s v="MANAGER121"/>
    <s v="NEGATIVO"/>
    <d v="1899-12-30T06:51:00"/>
    <d v="1899-12-30T06:51:00"/>
    <m/>
    <s v="POSITION4"/>
    <x v="8"/>
    <s v="STORE359"/>
  </r>
  <r>
    <n v="223219"/>
    <s v="People1056"/>
    <s v="department"/>
    <s v="REGION9"/>
    <s v="STORE360"/>
    <s v="MANAGER133"/>
    <s v="NEGATIVO"/>
    <d v="1900-01-11T23:57:00"/>
    <d v="1900-01-11T23:57:00"/>
    <m/>
    <s v="POSITION1"/>
    <x v="8"/>
    <s v="STORE360"/>
  </r>
  <r>
    <n v="201292"/>
    <s v="People1057"/>
    <s v="department"/>
    <s v="REGION9"/>
    <s v="STORE361"/>
    <s v="MANAGER129"/>
    <s v="NEGATIVO"/>
    <d v="1899-12-30T06:39:00"/>
    <d v="1899-12-30T06:39:00"/>
    <m/>
    <s v="POSITION1"/>
    <x v="8"/>
    <s v="STORE361"/>
  </r>
  <r>
    <n v="230848"/>
    <s v="People1058"/>
    <s v="department"/>
    <s v="REGION9"/>
    <s v="STORE362"/>
    <s v="MANAGER131"/>
    <s v="NEGATIVO"/>
    <d v="1899-12-30T04:59:00"/>
    <d v="1899-12-30T04:59:00"/>
    <m/>
    <s v="POSITION1"/>
    <x v="8"/>
    <s v="STORE362"/>
  </r>
  <r>
    <n v="201416"/>
    <s v="People1059"/>
    <s v="department"/>
    <s v="REGION9"/>
    <s v="STORE354"/>
    <s v="MANAGER131"/>
    <s v="NEGATIVO"/>
    <d v="1900-01-03T00:45:00"/>
    <d v="1900-01-03T00:45:00"/>
    <m/>
    <s v="POSITION4"/>
    <x v="8"/>
    <s v="STORE354"/>
  </r>
  <r>
    <n v="224469"/>
    <s v="People1060"/>
    <s v="department"/>
    <s v="REGION9"/>
    <s v="STORE363"/>
    <s v="MANAGER120"/>
    <s v="NEGATIVO"/>
    <d v="1899-12-31T09:19:00"/>
    <d v="1899-12-31T09:19:00"/>
    <m/>
    <s v="POSITION9"/>
    <x v="8"/>
    <s v="STORE363"/>
  </r>
  <r>
    <n v="237008"/>
    <s v="People1061"/>
    <s v="department"/>
    <s v="REGION9"/>
    <s v="STORE343"/>
    <s v="MANAGER121"/>
    <s v="NEGATIVO"/>
    <d v="1899-12-30T01:46:00"/>
    <d v="1899-12-30T01:46:00"/>
    <m/>
    <s v="POSITION1"/>
    <x v="8"/>
    <s v="STORE343"/>
  </r>
  <r>
    <n v="237138"/>
    <s v="People1062"/>
    <s v="department"/>
    <s v="REGION9"/>
    <s v="STORE364"/>
    <s v="MANAGER121"/>
    <s v="NEGATIVO"/>
    <d v="1899-12-30T01:10:00"/>
    <d v="1899-12-30T01:10:00"/>
    <m/>
    <s v="POSITION3"/>
    <x v="8"/>
    <s v="STORE364"/>
  </r>
  <r>
    <n v="232028"/>
    <s v="People1063"/>
    <s v="department"/>
    <s v="REGION9"/>
    <s v="STORE345"/>
    <s v="MANAGER126"/>
    <s v="NEGATIVO"/>
    <d v="1899-12-31T10:05:00"/>
    <d v="1899-12-31T10:05:00"/>
    <m/>
    <s v="POSITION3"/>
    <x v="8"/>
    <s v="STORE345"/>
  </r>
  <r>
    <n v="236239"/>
    <s v="People1064"/>
    <s v="department"/>
    <s v="REGION9"/>
    <s v="STORE353"/>
    <s v="MANAGER130"/>
    <s v="NEGATIVO"/>
    <d v="1900-01-15T10:07:00"/>
    <d v="1900-01-15T10:07:00"/>
    <m/>
    <s v="POSITION11"/>
    <x v="8"/>
    <s v="STORE353"/>
  </r>
  <r>
    <n v="238038"/>
    <s v="People1065"/>
    <s v="department"/>
    <s v="REGION9"/>
    <s v="STORE355"/>
    <s v="MANAGER121"/>
    <s v="NEGATIVO"/>
    <d v="1899-12-30T04:22:00"/>
    <d v="1899-12-30T04:22:00"/>
    <m/>
    <s v="POSITION1"/>
    <x v="8"/>
    <s v="STORE355"/>
  </r>
  <r>
    <n v="230648"/>
    <s v="People1066"/>
    <s v="department"/>
    <s v="REGION9"/>
    <s v="STORE365"/>
    <s v="MANAGER121"/>
    <s v="NEGATIVO"/>
    <d v="1899-12-30T18:56:00"/>
    <d v="1899-12-30T18:56:00"/>
    <m/>
    <s v="POSITION3"/>
    <x v="8"/>
    <s v="STORE365"/>
  </r>
  <r>
    <n v="223356"/>
    <s v="People1067"/>
    <s v="department"/>
    <s v="REGION9"/>
    <s v="STORE362"/>
    <s v="MANAGER131"/>
    <s v="NEGATIVO"/>
    <d v="1899-12-31T04:12:00"/>
    <d v="1899-12-31T04:12:00"/>
    <m/>
    <s v="POSITION1"/>
    <x v="8"/>
    <s v="STORE362"/>
  </r>
  <r>
    <n v="232547"/>
    <s v="People1068"/>
    <s v="department"/>
    <s v="REGION9"/>
    <s v="STORE366"/>
    <s v="MANAGER120"/>
    <s v="NEGATIVO"/>
    <d v="1899-12-30T11:06:00"/>
    <d v="1899-12-30T11:06:00"/>
    <m/>
    <s v="POSITION2"/>
    <x v="8"/>
    <s v="STORE366"/>
  </r>
  <r>
    <n v="231093"/>
    <s v="People1069"/>
    <s v="department"/>
    <s v="REGION9"/>
    <s v="STORE367"/>
    <s v="MANAGER121"/>
    <s v="NEGATIVO"/>
    <d v="1899-12-30T21:31:00"/>
    <d v="1899-12-30T21:31:00"/>
    <m/>
    <s v="POSITION1"/>
    <x v="8"/>
    <s v="STORE367"/>
  </r>
  <r>
    <n v="222991"/>
    <s v="People1070"/>
    <s v="department"/>
    <s v="REGION9"/>
    <s v="STORE354"/>
    <s v="MANAGER131"/>
    <s v="NEGATIVO"/>
    <d v="1900-01-04T09:46:00"/>
    <d v="1900-01-04T09:46:00"/>
    <m/>
    <s v="POSITION3"/>
    <x v="8"/>
    <s v="STORE354"/>
  </r>
  <r>
    <n v="220368"/>
    <s v="People1071"/>
    <s v="department"/>
    <s v="REGION9"/>
    <s v="STORE345"/>
    <s v="MANAGER126"/>
    <s v="NEGATIVO"/>
    <d v="1899-12-30T07:44:00"/>
    <d v="1899-12-30T07:44:00"/>
    <m/>
    <s v="POSITION3"/>
    <x v="8"/>
    <s v="STORE345"/>
  </r>
  <r>
    <n v="225266"/>
    <s v="People1072"/>
    <s v="department"/>
    <s v="REGION9"/>
    <s v="STORE351"/>
    <s v="MANAGER129"/>
    <s v="NEGATIVO"/>
    <d v="1899-12-30T05:38:00"/>
    <d v="1899-12-30T05:38:00"/>
    <m/>
    <s v="POSITION3"/>
    <x v="8"/>
    <s v="STORE351"/>
  </r>
  <r>
    <n v="232411"/>
    <s v="People1073"/>
    <s v="department"/>
    <s v="REGION9"/>
    <s v="STORE360"/>
    <s v="MANAGER133"/>
    <s v="NEGATIVO"/>
    <d v="1900-01-11T08:06:00"/>
    <d v="1900-01-11T08:06:00"/>
    <m/>
    <s v="POSITION1"/>
    <x v="8"/>
    <s v="STORE360"/>
  </r>
  <r>
    <n v="233355"/>
    <s v="People1074"/>
    <s v="department"/>
    <s v="REGION9"/>
    <s v="STORE368"/>
    <s v="MANAGER132"/>
    <s v="NEGATIVO"/>
    <d v="1899-12-31T04:57:00"/>
    <d v="1899-12-31T04:57:00"/>
    <m/>
    <s v="POSITION1"/>
    <x v="8"/>
    <s v="STORE368"/>
  </r>
  <r>
    <n v="224556"/>
    <s v="People1075"/>
    <s v="department"/>
    <s v="REGION9"/>
    <s v="STORE362"/>
    <s v="MANAGER131"/>
    <s v="NEGATIVO"/>
    <d v="1899-12-30T07:09:00"/>
    <d v="1899-12-30T07:09:00"/>
    <m/>
    <s v="POSITION1"/>
    <x v="8"/>
    <s v="STORE362"/>
  </r>
  <r>
    <n v="236352"/>
    <s v="People1076"/>
    <s v="department"/>
    <s v="REGION9"/>
    <s v="STORE368"/>
    <s v="MANAGER132"/>
    <s v="NEGATIVO"/>
    <d v="1899-12-30T13:05:00"/>
    <d v="1899-12-30T13:05:00"/>
    <m/>
    <s v="POSITION1"/>
    <x v="8"/>
    <s v="STORE368"/>
  </r>
  <r>
    <n v="236246"/>
    <s v="People1077"/>
    <s v="department"/>
    <s v="REGION9"/>
    <s v="STORE350"/>
    <s v="MANAGER128"/>
    <s v="POSITIVO"/>
    <d v="1900-01-01T20:48:00"/>
    <m/>
    <d v="1900-01-01T20:48:00"/>
    <s v="POSITION1"/>
    <x v="8"/>
    <s v="STORE350"/>
  </r>
  <r>
    <n v="236512"/>
    <s v="People1078"/>
    <s v="department"/>
    <s v="REGION9"/>
    <s v="STORE350"/>
    <s v="MANAGER128"/>
    <s v="POSITIVO"/>
    <d v="1900-01-01T12:01:00"/>
    <m/>
    <d v="1900-01-01T12:01:00"/>
    <s v="POSITION1"/>
    <x v="8"/>
    <s v="STORE350"/>
  </r>
  <r>
    <n v="236158"/>
    <s v="People1079"/>
    <s v="department"/>
    <s v="REGION9"/>
    <s v="STORE363"/>
    <s v="MANAGER120"/>
    <s v="POSITIVO"/>
    <d v="1900-01-01T01:44:00"/>
    <m/>
    <d v="1900-01-01T01:44:00"/>
    <s v="POSITION9"/>
    <x v="8"/>
    <s v="STORE363"/>
  </r>
  <r>
    <n v="236518"/>
    <s v="People1080"/>
    <s v="department"/>
    <s v="REGION9"/>
    <s v="STORE350"/>
    <s v="MANAGER128"/>
    <s v="POSITIVO"/>
    <d v="1899-12-31T11:35:00"/>
    <m/>
    <d v="1899-12-31T11:35:00"/>
    <s v="POSITION1"/>
    <x v="8"/>
    <s v="STORE350"/>
  </r>
  <r>
    <n v="223207"/>
    <s v="People1081"/>
    <s v="department"/>
    <s v="REGION9"/>
    <s v="STORE360"/>
    <s v="MANAGER133"/>
    <s v="POSITIVO"/>
    <d v="1899-12-31T09:26:00"/>
    <m/>
    <d v="1899-12-31T09:26:00"/>
    <s v="POSITION1"/>
    <x v="8"/>
    <s v="STORE360"/>
  </r>
  <r>
    <n v="235747"/>
    <s v="People1082"/>
    <s v="department"/>
    <s v="REGION9"/>
    <s v="STORE362"/>
    <s v="MANAGER131"/>
    <s v="POSITIVO"/>
    <d v="1899-12-31T08:28:00"/>
    <m/>
    <d v="1899-12-31T08:28:00"/>
    <s v="POSITION1"/>
    <x v="8"/>
    <s v="STORE362"/>
  </r>
  <r>
    <n v="235367"/>
    <s v="People1083"/>
    <s v="department"/>
    <s v="REGION9"/>
    <s v="STORE369"/>
    <s v="MANAGER130"/>
    <s v="POSITIVO"/>
    <d v="1899-12-31T06:12:00"/>
    <m/>
    <d v="1899-12-31T06:12:00"/>
    <s v="POSITION1"/>
    <x v="8"/>
    <s v="STORE369"/>
  </r>
  <r>
    <n v="235490"/>
    <s v="People1084"/>
    <s v="department"/>
    <s v="REGION9"/>
    <s v="STORE350"/>
    <s v="MANAGER128"/>
    <s v="POSITIVO"/>
    <d v="1899-12-31T03:43:00"/>
    <m/>
    <d v="1899-12-31T03:43:00"/>
    <s v="POSITION1"/>
    <x v="8"/>
    <s v="STORE350"/>
  </r>
  <r>
    <n v="235366"/>
    <s v="People1085"/>
    <s v="department"/>
    <s v="REGION9"/>
    <s v="STORE370"/>
    <s v="MANAGER126"/>
    <s v="POSITIVO"/>
    <d v="1899-12-30T23:49:00"/>
    <m/>
    <d v="1899-12-30T23:49:00"/>
    <s v="POSITION1"/>
    <x v="8"/>
    <s v="STORE370"/>
  </r>
  <r>
    <n v="231420"/>
    <s v="People1086"/>
    <s v="department"/>
    <s v="REGION9"/>
    <s v="STORE370"/>
    <s v="MANAGER126"/>
    <s v="POSITIVO"/>
    <d v="1899-12-30T21:59:00"/>
    <m/>
    <d v="1899-12-30T21:59:00"/>
    <s v="POSITION1"/>
    <x v="8"/>
    <s v="STORE370"/>
  </r>
  <r>
    <n v="224602"/>
    <s v="People1087"/>
    <s v="department"/>
    <s v="REGION9"/>
    <s v="STORE350"/>
    <s v="MANAGER128"/>
    <s v="POSITIVO"/>
    <d v="1899-12-30T21:22:00"/>
    <m/>
    <d v="1899-12-30T21:22:00"/>
    <s v="POSITION1"/>
    <x v="8"/>
    <s v="STORE350"/>
  </r>
  <r>
    <n v="232184"/>
    <s v="People1088"/>
    <s v="department"/>
    <s v="REGION9"/>
    <s v="STORE368"/>
    <s v="MANAGER132"/>
    <s v="POSITIVO"/>
    <d v="1899-12-30T21:01:00"/>
    <m/>
    <d v="1899-12-30T21:01:00"/>
    <s v="POSITION1"/>
    <x v="8"/>
    <s v="STORE368"/>
  </r>
  <r>
    <n v="224321"/>
    <s v="People1089"/>
    <s v="department"/>
    <s v="REGION9"/>
    <s v="STORE347"/>
    <s v="MANAGER127"/>
    <s v="POSITIVO"/>
    <d v="1899-12-30T20:53:00"/>
    <m/>
    <d v="1899-12-30T20:53:00"/>
    <s v="POSITION3"/>
    <x v="8"/>
    <s v="STORE347"/>
  </r>
  <r>
    <n v="200763"/>
    <s v="People1090"/>
    <s v="department"/>
    <s v="REGION9"/>
    <s v="STORE371"/>
    <s v="MANAGER120"/>
    <s v="POSITIVO"/>
    <d v="1899-12-30T19:45:00"/>
    <m/>
    <d v="1899-12-30T19:45:00"/>
    <s v="POSITION7"/>
    <x v="8"/>
    <s v="STORE371"/>
  </r>
  <r>
    <n v="235697"/>
    <s v="People1091"/>
    <s v="department"/>
    <s v="REGION9"/>
    <s v="STORE372"/>
    <s v="MANAGER120"/>
    <s v="POSITIVO"/>
    <d v="1899-12-30T19:17:00"/>
    <m/>
    <d v="1899-12-30T19:17:00"/>
    <s v="POSITION2"/>
    <x v="8"/>
    <s v="STORE372"/>
  </r>
  <r>
    <n v="236484"/>
    <s v="People1092"/>
    <s v="department"/>
    <s v="REGION9"/>
    <s v="STORE355"/>
    <s v="MANAGER121"/>
    <s v="POSITIVO"/>
    <d v="1899-12-30T19:14:00"/>
    <m/>
    <d v="1899-12-30T19:14:00"/>
    <s v="POSITION1"/>
    <x v="8"/>
    <s v="STORE355"/>
  </r>
  <r>
    <n v="235528"/>
    <s v="People1093"/>
    <s v="department"/>
    <s v="REGION9"/>
    <s v="STORE361"/>
    <s v="MANAGER129"/>
    <s v="POSITIVO"/>
    <d v="1899-12-30T17:35:00"/>
    <m/>
    <d v="1899-12-30T17:35:00"/>
    <s v="POSITION1"/>
    <x v="8"/>
    <s v="STORE361"/>
  </r>
  <r>
    <n v="201809"/>
    <s v="People1094"/>
    <s v="department"/>
    <s v="REGION9"/>
    <s v="STORE349"/>
    <s v="MANAGER127"/>
    <s v="POSITIVO"/>
    <d v="1899-12-30T17:22:00"/>
    <m/>
    <d v="1899-12-30T17:22:00"/>
    <s v="POSITION1"/>
    <x v="8"/>
    <s v="STORE349"/>
  </r>
  <r>
    <n v="235529"/>
    <s v="People1095"/>
    <s v="department"/>
    <s v="REGION9"/>
    <s v="STORE369"/>
    <s v="MANAGER130"/>
    <s v="POSITIVO"/>
    <d v="1899-12-30T17:05:00"/>
    <m/>
    <d v="1899-12-30T17:05:00"/>
    <s v="POSITION1"/>
    <x v="8"/>
    <s v="STORE369"/>
  </r>
  <r>
    <n v="233584"/>
    <s v="People1096"/>
    <s v="department"/>
    <s v="REGION9"/>
    <s v="STORE361"/>
    <s v="MANAGER129"/>
    <s v="POSITIVO"/>
    <d v="1899-12-30T16:43:00"/>
    <m/>
    <d v="1899-12-30T16:43:00"/>
    <s v="POSITION1"/>
    <x v="8"/>
    <s v="STORE361"/>
  </r>
  <r>
    <n v="238051"/>
    <s v="People1097"/>
    <s v="department"/>
    <s v="REGION9"/>
    <s v="STORE367"/>
    <s v="MANAGER121"/>
    <s v="POSITIVO"/>
    <d v="1899-12-30T16:21:00"/>
    <m/>
    <d v="1899-12-30T16:21:00"/>
    <s v="POSITION1"/>
    <x v="8"/>
    <s v="STORE367"/>
  </r>
  <r>
    <n v="233799"/>
    <s v="People1098"/>
    <s v="department"/>
    <s v="REGION9"/>
    <s v="STORE373"/>
    <s v="MANAGER120"/>
    <s v="POSITIVO"/>
    <d v="1899-12-30T15:54:00"/>
    <m/>
    <d v="1899-12-30T15:54:00"/>
    <s v="POSITION2"/>
    <x v="8"/>
    <s v="STORE373"/>
  </r>
  <r>
    <n v="233600"/>
    <s v="People1099"/>
    <s v="department"/>
    <s v="REGION9"/>
    <s v="STORE352"/>
    <s v="MANAGER125"/>
    <s v="POSITIVO"/>
    <d v="1899-12-30T14:50:00"/>
    <m/>
    <d v="1899-12-30T14:50:00"/>
    <s v="POSITION3"/>
    <x v="8"/>
    <s v="STORE352"/>
  </r>
  <r>
    <n v="235471"/>
    <s v="People1100"/>
    <s v="department"/>
    <s v="REGION9"/>
    <s v="STORE358"/>
    <s v="MANAGER114"/>
    <s v="POSITIVO"/>
    <d v="1899-12-30T13:46:00"/>
    <m/>
    <d v="1899-12-30T13:46:00"/>
    <s v="POSITION4"/>
    <x v="8"/>
    <s v="STORE358"/>
  </r>
  <r>
    <n v="225154"/>
    <s v="People1101"/>
    <s v="department"/>
    <s v="REGION9"/>
    <s v="STORE361"/>
    <s v="MANAGER129"/>
    <s v="POSITIVO"/>
    <d v="1899-12-30T13:14:00"/>
    <m/>
    <d v="1899-12-30T13:14:00"/>
    <s v="POSITION1"/>
    <x v="8"/>
    <s v="STORE361"/>
  </r>
  <r>
    <n v="218087"/>
    <s v="People1102"/>
    <s v="department"/>
    <s v="REGION9"/>
    <s v="STORE374"/>
    <s v="MANAGER120"/>
    <s v="POSITIVO"/>
    <d v="1899-12-30T12:24:00"/>
    <m/>
    <d v="1899-12-30T12:24:00"/>
    <s v="POSITION7"/>
    <x v="8"/>
    <s v="STORE374"/>
  </r>
  <r>
    <n v="229850"/>
    <s v="People1103"/>
    <s v="department"/>
    <s v="REGION9"/>
    <s v="STORE375"/>
    <s v="MANAGER120"/>
    <s v="POSITIVO"/>
    <d v="1899-12-30T12:12:00"/>
    <m/>
    <d v="1899-12-30T12:12:00"/>
    <s v="POSITION2"/>
    <x v="8"/>
    <s v="STORE375"/>
  </r>
  <r>
    <n v="224461"/>
    <s v="People1104"/>
    <s v="department"/>
    <s v="REGION9"/>
    <s v="STORE376"/>
    <s v="MANAGER120"/>
    <s v="POSITIVO"/>
    <d v="1899-12-30T12:02:00"/>
    <m/>
    <d v="1899-12-30T12:02:00"/>
    <s v="POSITION9"/>
    <x v="8"/>
    <s v="STORE376"/>
  </r>
  <r>
    <n v="233199"/>
    <s v="People1105"/>
    <s v="department"/>
    <s v="REGION9"/>
    <s v="STORE346"/>
    <s v="MANAGER114"/>
    <s v="POSITIVO"/>
    <d v="1899-12-30T11:42:00"/>
    <m/>
    <d v="1899-12-30T11:42:00"/>
    <s v="POSITION1"/>
    <x v="8"/>
    <s v="STORE346"/>
  </r>
  <r>
    <n v="235651"/>
    <s v="People1106"/>
    <s v="department"/>
    <s v="REGION9"/>
    <s v="STORE361"/>
    <s v="MANAGER129"/>
    <s v="POSITIVO"/>
    <d v="1899-12-30T10:54:00"/>
    <m/>
    <d v="1899-12-30T10:54:00"/>
    <s v="POSITION1"/>
    <x v="8"/>
    <s v="STORE361"/>
  </r>
  <r>
    <n v="236003"/>
    <s v="People1107"/>
    <s v="department"/>
    <s v="REGION9"/>
    <s v="STORE377"/>
    <s v="MANAGER120"/>
    <s v="POSITIVO"/>
    <d v="1899-12-30T10:52:00"/>
    <m/>
    <d v="1899-12-30T10:52:00"/>
    <s v="POSITION2"/>
    <x v="8"/>
    <s v="STORE377"/>
  </r>
  <r>
    <n v="235491"/>
    <s v="People1108"/>
    <s v="department"/>
    <s v="REGION9"/>
    <s v="STORE346"/>
    <s v="MANAGER114"/>
    <s v="POSITIVO"/>
    <d v="1899-12-30T10:25:00"/>
    <m/>
    <d v="1899-12-30T10:25:00"/>
    <s v="POSITION1"/>
    <x v="8"/>
    <s v="STORE346"/>
  </r>
  <r>
    <n v="234591"/>
    <s v="People1109"/>
    <s v="department"/>
    <s v="REGION9"/>
    <s v="STORE367"/>
    <s v="MANAGER121"/>
    <s v="POSITIVO"/>
    <d v="1899-12-30T09:45:00"/>
    <m/>
    <d v="1899-12-30T09:45:00"/>
    <s v="POSITION1"/>
    <x v="8"/>
    <s v="STORE367"/>
  </r>
  <r>
    <n v="230636"/>
    <s v="People1110"/>
    <s v="department"/>
    <s v="REGION9"/>
    <s v="STORE367"/>
    <s v="MANAGER121"/>
    <s v="POSITIVO"/>
    <d v="1899-12-30T09:37:00"/>
    <m/>
    <d v="1899-12-30T09:37:00"/>
    <s v="POSITION1"/>
    <x v="8"/>
    <s v="STORE367"/>
  </r>
  <r>
    <n v="234270"/>
    <s v="People1111"/>
    <s v="department"/>
    <s v="REGION9"/>
    <s v="STORE365"/>
    <s v="MANAGER121"/>
    <s v="POSITIVO"/>
    <d v="1899-12-30T09:12:00"/>
    <m/>
    <d v="1899-12-30T09:12:00"/>
    <s v="POSITION4"/>
    <x v="8"/>
    <s v="STORE365"/>
  </r>
  <r>
    <n v="236248"/>
    <s v="People1112"/>
    <s v="department"/>
    <s v="REGION9"/>
    <s v="STORE369"/>
    <s v="MANAGER130"/>
    <s v="POSITIVO"/>
    <d v="1899-12-30T09:05:00"/>
    <m/>
    <d v="1899-12-30T09:05:00"/>
    <s v="POSITION1"/>
    <x v="8"/>
    <s v="STORE369"/>
  </r>
  <r>
    <n v="234328"/>
    <s v="People1113"/>
    <s v="department"/>
    <s v="REGION9"/>
    <s v="STORE344"/>
    <s v="MANAGER125"/>
    <s v="POSITIVO"/>
    <d v="1899-12-30T08:58:00"/>
    <m/>
    <d v="1899-12-30T08:58:00"/>
    <s v="POSITION1"/>
    <x v="8"/>
    <s v="STORE344"/>
  </r>
  <r>
    <n v="237191"/>
    <s v="People1114"/>
    <s v="department"/>
    <s v="REGION9"/>
    <s v="STORE364"/>
    <s v="MANAGER121"/>
    <s v="POSITIVO"/>
    <d v="1899-12-30T08:54:00"/>
    <m/>
    <d v="1899-12-30T08:54:00"/>
    <s v="POSITION4"/>
    <x v="8"/>
    <s v="STORE364"/>
  </r>
  <r>
    <n v="236207"/>
    <s v="People1115"/>
    <s v="department"/>
    <s v="REGION9"/>
    <s v="STORE360"/>
    <s v="MANAGER133"/>
    <s v="POSITIVO"/>
    <d v="1899-12-30T08:26:00"/>
    <m/>
    <d v="1899-12-30T08:26:00"/>
    <s v="POSITION1"/>
    <x v="8"/>
    <s v="STORE360"/>
  </r>
  <r>
    <n v="235474"/>
    <s v="People1116"/>
    <s v="department"/>
    <s v="REGION9"/>
    <s v="STORE349"/>
    <s v="MANAGER127"/>
    <s v="POSITIVO"/>
    <d v="1899-12-30T08:25:00"/>
    <m/>
    <d v="1899-12-30T08:25:00"/>
    <s v="POSITION1"/>
    <x v="8"/>
    <s v="STORE349"/>
  </r>
  <r>
    <n v="234860"/>
    <s v="People1117"/>
    <s v="department"/>
    <s v="REGION9"/>
    <s v="STORE349"/>
    <s v="MANAGER127"/>
    <s v="POSITIVO"/>
    <d v="1899-12-30T08:00:00"/>
    <m/>
    <d v="1899-12-30T08:00:00"/>
    <s v="POSITION1"/>
    <x v="8"/>
    <s v="STORE349"/>
  </r>
  <r>
    <n v="237381"/>
    <s v="People1118"/>
    <s v="department"/>
    <s v="REGION9"/>
    <s v="STORE378"/>
    <s v="MANAGER120"/>
    <s v="POSITIVO"/>
    <d v="1899-12-30T07:50:00"/>
    <m/>
    <d v="1899-12-30T07:50:00"/>
    <s v="POSITION2"/>
    <x v="8"/>
    <s v="STORE378"/>
  </r>
  <r>
    <n v="225791"/>
    <s v="People1119"/>
    <s v="department"/>
    <s v="REGION9"/>
    <s v="STORE379"/>
    <s v="MANAGER128"/>
    <s v="POSITIVO"/>
    <d v="1899-12-30T07:17:00"/>
    <m/>
    <d v="1899-12-30T07:17:00"/>
    <s v="POSITION3"/>
    <x v="8"/>
    <s v="STORE379"/>
  </r>
  <r>
    <n v="231888"/>
    <s v="People1120"/>
    <s v="department"/>
    <s v="REGION9"/>
    <s v="STORE344"/>
    <s v="MANAGER125"/>
    <s v="POSITIVO"/>
    <d v="1899-12-30T06:49:00"/>
    <m/>
    <d v="1899-12-30T06:49:00"/>
    <s v="POSITION1"/>
    <x v="8"/>
    <s v="STORE344"/>
  </r>
  <r>
    <n v="231545"/>
    <s v="People1121"/>
    <s v="department"/>
    <s v="REGION9"/>
    <s v="STORE359"/>
    <s v="MANAGER121"/>
    <s v="POSITIVO"/>
    <d v="1899-12-30T05:34:00"/>
    <m/>
    <d v="1899-12-30T05:34:00"/>
    <s v="POSITION3"/>
    <x v="8"/>
    <s v="STORE359"/>
  </r>
  <r>
    <n v="237163"/>
    <s v="People1122"/>
    <s v="department"/>
    <s v="REGION9"/>
    <s v="STORE356"/>
    <s v="MANAGER132"/>
    <s v="POSITIVO"/>
    <d v="1899-12-30T05:16:00"/>
    <m/>
    <d v="1899-12-30T05:16:00"/>
    <s v="POSITION3"/>
    <x v="8"/>
    <s v="STORE356"/>
  </r>
  <r>
    <n v="223364"/>
    <s v="People1123"/>
    <s v="department"/>
    <s v="REGION9"/>
    <s v="STORE357"/>
    <s v="MANAGER133"/>
    <s v="POSITIVO"/>
    <d v="1899-12-30T05:05:00"/>
    <m/>
    <d v="1899-12-30T05:05:00"/>
    <s v="POSITION3"/>
    <x v="8"/>
    <s v="STORE357"/>
  </r>
  <r>
    <n v="231797"/>
    <s v="People1124"/>
    <s v="department"/>
    <s v="REGION9"/>
    <s v="STORE355"/>
    <s v="MANAGER121"/>
    <s v="POSITIVO"/>
    <d v="1899-12-30T05:03:00"/>
    <m/>
    <d v="1899-12-30T05:03:00"/>
    <s v="POSITION1"/>
    <x v="8"/>
    <s v="STORE355"/>
  </r>
  <r>
    <n v="236316"/>
    <s v="People1125"/>
    <s v="department"/>
    <s v="REGION9"/>
    <s v="STORE367"/>
    <s v="MANAGER121"/>
    <s v="POSITIVO"/>
    <d v="1899-12-30T05:00:00"/>
    <m/>
    <d v="1899-12-30T05:00:00"/>
    <s v="POSITION1"/>
    <x v="8"/>
    <s v="STORE367"/>
  </r>
  <r>
    <n v="233306"/>
    <s v="People1126"/>
    <s v="department"/>
    <s v="REGION9"/>
    <s v="STORE349"/>
    <s v="MANAGER127"/>
    <s v="POSITIVO"/>
    <d v="1899-12-30T04:57:00"/>
    <m/>
    <d v="1899-12-30T04:57:00"/>
    <s v="POSITION1"/>
    <x v="8"/>
    <s v="STORE349"/>
  </r>
  <r>
    <n v="225852"/>
    <s v="People1127"/>
    <s v="department"/>
    <s v="REGION9"/>
    <s v="STORE370"/>
    <s v="MANAGER126"/>
    <s v="POSITIVO"/>
    <d v="1899-12-30T03:49:00"/>
    <m/>
    <d v="1899-12-30T03:49:00"/>
    <s v="POSITION1"/>
    <x v="8"/>
    <s v="STORE370"/>
  </r>
  <r>
    <n v="231591"/>
    <s v="People1128"/>
    <s v="department"/>
    <s v="REGION9"/>
    <s v="STORE349"/>
    <s v="MANAGER127"/>
    <s v="POSITIVO"/>
    <d v="1899-12-30T03:20:00"/>
    <m/>
    <d v="1899-12-30T03:20:00"/>
    <s v="POSITION1"/>
    <x v="8"/>
    <s v="STORE349"/>
  </r>
  <r>
    <n v="221647"/>
    <s v="People1129"/>
    <s v="department"/>
    <s v="REGION9"/>
    <s v="STORE379"/>
    <s v="MANAGER128"/>
    <s v="POSITIVO"/>
    <d v="1899-12-30T03:18:00"/>
    <m/>
    <d v="1899-12-30T03:18:00"/>
    <s v="POSITION4"/>
    <x v="8"/>
    <s v="STORE379"/>
  </r>
  <r>
    <n v="233436"/>
    <s v="People1130"/>
    <s v="department"/>
    <s v="REGION9"/>
    <s v="STORE360"/>
    <s v="MANAGER133"/>
    <s v="POSITIVO"/>
    <d v="1899-12-30T03:04:00"/>
    <m/>
    <d v="1899-12-30T03:04:00"/>
    <s v="POSITION1"/>
    <x v="8"/>
    <s v="STORE360"/>
  </r>
  <r>
    <n v="200805"/>
    <s v="People1131"/>
    <s v="department"/>
    <s v="REGION9"/>
    <s v="STORE379"/>
    <s v="MANAGER128"/>
    <s v="POSITIVO"/>
    <d v="1899-12-30T03:01:00"/>
    <m/>
    <d v="1899-12-30T03:01:00"/>
    <s v="POSITION3"/>
    <x v="8"/>
    <s v="STORE379"/>
  </r>
  <r>
    <n v="234208"/>
    <s v="People1132"/>
    <s v="department"/>
    <s v="REGION9"/>
    <s v="STORE361"/>
    <s v="MANAGER129"/>
    <s v="POSITIVO"/>
    <d v="1899-12-30T02:33:00"/>
    <m/>
    <d v="1899-12-30T02:33:00"/>
    <s v="POSITION1"/>
    <x v="8"/>
    <s v="STORE361"/>
  </r>
  <r>
    <n v="233956"/>
    <s v="People1133"/>
    <s v="department"/>
    <s v="REGION9"/>
    <s v="STORE362"/>
    <s v="MANAGER131"/>
    <s v="POSITIVO"/>
    <d v="1899-12-30T02:29:00"/>
    <m/>
    <d v="1899-12-30T02:29:00"/>
    <s v="POSITION1"/>
    <x v="8"/>
    <s v="STORE362"/>
  </r>
  <r>
    <n v="238241"/>
    <s v="People1134"/>
    <s v="department"/>
    <s v="REGION9"/>
    <s v="STORE343"/>
    <s v="MANAGER121"/>
    <s v="POSITIVO"/>
    <d v="1899-12-30T02:25:00"/>
    <m/>
    <d v="1899-12-30T02:25:00"/>
    <s v="POSITION1"/>
    <x v="8"/>
    <s v="STORE343"/>
  </r>
  <r>
    <n v="233576"/>
    <s v="People1135"/>
    <s v="department"/>
    <s v="REGION9"/>
    <s v="STORE351"/>
    <s v="MANAGER129"/>
    <s v="POSITIVO"/>
    <d v="1899-12-30T01:57:00"/>
    <m/>
    <d v="1899-12-30T01:57:00"/>
    <s v="POSITION3"/>
    <x v="8"/>
    <s v="STORE351"/>
  </r>
  <r>
    <n v="224226"/>
    <s v="People1136"/>
    <s v="department"/>
    <s v="REGION9"/>
    <s v="STORE380"/>
    <s v="MANAGER120"/>
    <s v="POSITIVO"/>
    <d v="1899-12-30T01:44:00"/>
    <m/>
    <d v="1899-12-30T01:44:00"/>
    <s v="POSITION2"/>
    <x v="8"/>
    <s v="STORE380"/>
  </r>
  <r>
    <n v="233698"/>
    <s v="People1137"/>
    <s v="department"/>
    <s v="REGION9"/>
    <s v="STORE344"/>
    <s v="MANAGER125"/>
    <s v="POSITIVO"/>
    <d v="1899-12-30T01:21:00"/>
    <m/>
    <d v="1899-12-30T01:21:00"/>
    <s v="POSITION1"/>
    <x v="8"/>
    <s v="STORE344"/>
  </r>
  <r>
    <n v="232718"/>
    <s v="People1138"/>
    <s v="department"/>
    <s v="REGION9"/>
    <s v="STORE344"/>
    <s v="MANAGER125"/>
    <s v="POSITIVO"/>
    <d v="1899-12-30T00:33:00"/>
    <m/>
    <d v="1899-12-30T00:33:00"/>
    <s v="POSITION1"/>
    <x v="8"/>
    <s v="STORE344"/>
  </r>
  <r>
    <n v="223688"/>
    <s v="People1139"/>
    <s v="department"/>
    <s v="REGION9"/>
    <s v="STORE349"/>
    <s v="MANAGER127"/>
    <s v="POSITIVO"/>
    <d v="1899-12-30T00:31:00"/>
    <m/>
    <d v="1899-12-30T00:31:00"/>
    <s v="POSITION1"/>
    <x v="8"/>
    <s v="STORE349"/>
  </r>
  <r>
    <n v="237031"/>
    <s v="People1140"/>
    <s v="department"/>
    <s v="REGION9"/>
    <s v="STORE359"/>
    <s v="MANAGER121"/>
    <s v="POSITIVO"/>
    <d v="1899-12-30T00:18:00"/>
    <m/>
    <d v="1899-12-30T00:18:00"/>
    <s v="POSITION4"/>
    <x v="8"/>
    <s v="STORE359"/>
  </r>
  <r>
    <n v="225494"/>
    <s v="People1141"/>
    <s v="department"/>
    <s v="REGION9"/>
    <s v="STORE362"/>
    <s v="MANAGER131"/>
    <s v="POSITIVO"/>
    <d v="1899-12-30T00:06:00"/>
    <m/>
    <d v="1899-12-30T00:06:00"/>
    <s v="POSITION1"/>
    <x v="8"/>
    <s v="STORE362"/>
  </r>
  <r>
    <n v="233302"/>
    <s v="People1142"/>
    <s v="department"/>
    <s v="REGION9"/>
    <s v="STORE347"/>
    <s v="MANAGER127"/>
    <s v="POSITIVO"/>
    <d v="1899-12-30T00:04:00"/>
    <m/>
    <d v="1899-12-30T00:04:00"/>
    <s v="POSITION3"/>
    <x v="8"/>
    <s v="STORE3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1">
  <r>
    <n v="211623"/>
    <s v="People1"/>
    <s v="department"/>
    <s v="REGION1"/>
    <s v="STORE1"/>
    <s v="MANAGER1"/>
    <s v="NEGATIVO"/>
    <d v="1900-01-07T01:12:00"/>
    <d v="1900-01-07T01:12:00"/>
    <m/>
    <s v="POSITION1"/>
    <x v="0"/>
    <s v="STORE1"/>
  </r>
  <r>
    <n v="212201"/>
    <s v="People2"/>
    <s v="department"/>
    <s v="REGION2"/>
    <s v="STORE2"/>
    <s v="MANAGER2"/>
    <s v="NEGATIVO"/>
    <d v="1899-12-31T13:17:00"/>
    <d v="1899-12-31T13:17:00"/>
    <m/>
    <s v="POSITION2"/>
    <x v="1"/>
    <s v="STORE2"/>
  </r>
  <r>
    <n v="212202"/>
    <s v="People3"/>
    <s v="department"/>
    <s v="REGION2"/>
    <s v="STORE3"/>
    <s v="MANAGER2"/>
    <s v="POSITIVO"/>
    <d v="1899-12-30T19:01:00"/>
    <m/>
    <d v="1899-12-30T19:01:00"/>
    <s v="POSITION2"/>
    <x v="1"/>
    <s v="STORE3"/>
  </r>
  <r>
    <n v="212530"/>
    <s v="People4"/>
    <s v="department"/>
    <s v="REGION2"/>
    <s v="STORE4"/>
    <s v="MANAGER2"/>
    <s v="NEGATIVO"/>
    <d v="1899-12-30T03:41:00"/>
    <d v="1899-12-30T03:41:00"/>
    <m/>
    <s v="POSITION3"/>
    <x v="1"/>
    <s v="STORE4"/>
  </r>
  <r>
    <n v="212691"/>
    <s v="People5"/>
    <s v="department"/>
    <s v="REGION2"/>
    <s v="STORE5"/>
    <s v="MANAGER2"/>
    <s v="NEGATIVO"/>
    <d v="1899-12-30T00:46:00"/>
    <d v="1899-12-30T00:46:00"/>
    <m/>
    <s v="POSITION2"/>
    <x v="1"/>
    <s v="STORE5"/>
  </r>
  <r>
    <n v="212713"/>
    <s v="People6"/>
    <s v="department"/>
    <s v="REGION2"/>
    <s v="STORE6"/>
    <s v="MANAGER2"/>
    <s v="POSITIVO"/>
    <d v="1899-12-30T03:13:00"/>
    <m/>
    <d v="1899-12-30T03:13:00"/>
    <s v="POSITION2"/>
    <x v="1"/>
    <s v="STORE6"/>
  </r>
  <r>
    <n v="213970"/>
    <s v="People7"/>
    <s v="department"/>
    <s v="REGION3"/>
    <s v="STORE7"/>
    <s v="MANAGER3"/>
    <s v="POSITIVO"/>
    <d v="1899-12-31T05:57:00"/>
    <m/>
    <d v="1899-12-31T05:57:00"/>
    <s v="POSITION4"/>
    <x v="2"/>
    <s v="STORE7"/>
  </r>
  <r>
    <n v="214135"/>
    <s v="People8"/>
    <s v="department"/>
    <s v="REGION4"/>
    <s v="STORE8"/>
    <s v="MANAGER4"/>
    <s v="NEGATIVO"/>
    <d v="1899-12-31T16:31:00"/>
    <d v="1899-12-31T16:31:00"/>
    <m/>
    <s v="POSITION1"/>
    <x v="3"/>
    <s v="STORE8"/>
  </r>
  <r>
    <n v="214218"/>
    <s v="People9"/>
    <s v="department"/>
    <s v="REGION5"/>
    <s v="STORE9"/>
    <s v="MANAGER5"/>
    <s v="NEGATIVO"/>
    <d v="1899-12-31T00:07:00"/>
    <d v="1899-12-31T00:07:00"/>
    <m/>
    <s v="POSITION5"/>
    <x v="4"/>
    <s v="STORE9"/>
  </r>
  <r>
    <n v="215092"/>
    <s v="People10"/>
    <s v="department"/>
    <s v="REGION6"/>
    <s v="STORE10"/>
    <s v="MANAGER6"/>
    <s v="POSITIVO"/>
    <d v="1899-12-30T07:29:00"/>
    <m/>
    <d v="1899-12-30T07:29:00"/>
    <s v="POSITION4"/>
    <x v="5"/>
    <s v="STORE10"/>
  </r>
  <r>
    <n v="215480"/>
    <s v="People11"/>
    <s v="department"/>
    <s v="REGION5"/>
    <s v="STORE11"/>
    <s v="MANAGER7"/>
    <s v="NEGATIVO"/>
    <d v="1899-12-31T15:03:00"/>
    <d v="1899-12-31T15:03:00"/>
    <m/>
    <s v="POSITION4"/>
    <x v="4"/>
    <s v="STORE11"/>
  </r>
  <r>
    <n v="215728"/>
    <s v="People12"/>
    <s v="department"/>
    <s v="REGION7"/>
    <s v="STORE12"/>
    <s v="MANAGER8"/>
    <s v="POSITIVO"/>
    <d v="1899-12-30T02:16:00"/>
    <m/>
    <d v="1899-12-30T02:16:00"/>
    <s v="POSITION2"/>
    <x v="6"/>
    <s v="STORE12"/>
  </r>
  <r>
    <n v="215783"/>
    <s v="People13"/>
    <s v="department"/>
    <s v="REGION7"/>
    <s v="STORE13"/>
    <s v="MANAGER8"/>
    <s v="POSITIVO"/>
    <d v="1899-12-30T07:35:00"/>
    <m/>
    <d v="1899-12-30T07:35:00"/>
    <s v="POSITION2"/>
    <x v="6"/>
    <s v="STORE13"/>
  </r>
  <r>
    <n v="215784"/>
    <s v="People14"/>
    <s v="department"/>
    <s v="REGION2"/>
    <s v="STORE14"/>
    <s v="MANAGER2"/>
    <s v="POSITIVO"/>
    <d v="1899-12-30T01:07:00"/>
    <m/>
    <d v="1899-12-30T01:07:00"/>
    <s v="POSITION2"/>
    <x v="1"/>
    <s v="STORE14"/>
  </r>
  <r>
    <n v="216190"/>
    <s v="People15"/>
    <s v="department"/>
    <s v="REGION3"/>
    <s v="STORE15"/>
    <s v="MANAGER3"/>
    <s v="POSITIVO"/>
    <d v="1899-12-30T23:15:00"/>
    <m/>
    <d v="1899-12-30T23:15:00"/>
    <s v="POSITION4"/>
    <x v="2"/>
    <s v="STORE15"/>
  </r>
  <r>
    <n v="216277"/>
    <s v="People16"/>
    <s v="department"/>
    <s v="REGION7"/>
    <s v="STORE16"/>
    <s v="MANAGER8"/>
    <s v="POSITIVO"/>
    <d v="1899-12-30T04:44:00"/>
    <m/>
    <d v="1899-12-30T04:44:00"/>
    <s v="POSITION2"/>
    <x v="6"/>
    <s v="STORE16"/>
  </r>
  <r>
    <n v="216552"/>
    <s v="People17"/>
    <s v="department"/>
    <s v="REGION8"/>
    <s v="STORE17"/>
    <s v="MANAGER9"/>
    <s v="POSITIVO"/>
    <d v="1899-12-31T05:40:00"/>
    <m/>
    <d v="1899-12-31T05:40:00"/>
    <s v="POSITION4"/>
    <x v="7"/>
    <s v="STORE17"/>
  </r>
  <r>
    <n v="216570"/>
    <s v="People18"/>
    <s v="department"/>
    <s v="REGION9"/>
    <s v="STORE18"/>
    <s v="MANAGER10"/>
    <s v="POSITIVO"/>
    <d v="1899-12-30T19:28:00"/>
    <m/>
    <d v="1899-12-30T19:28:00"/>
    <s v="POSITION4"/>
    <x v="8"/>
    <s v="STORE18"/>
  </r>
  <r>
    <n v="216584"/>
    <s v="People19"/>
    <s v="department"/>
    <s v="REGION1"/>
    <s v="STORE19"/>
    <s v="MANAGER11"/>
    <s v="POSITIVO"/>
    <d v="1899-12-30T03:53:00"/>
    <m/>
    <d v="1899-12-30T03:53:00"/>
    <s v="POSITION2"/>
    <x v="0"/>
    <s v="STORE19"/>
  </r>
  <r>
    <n v="216610"/>
    <s v="People20"/>
    <s v="department"/>
    <s v="REGION6"/>
    <s v="STORE20"/>
    <s v="MANAGER6"/>
    <s v="NEGATIVO"/>
    <d v="1899-12-30T04:00:00"/>
    <d v="1899-12-30T04:00:00"/>
    <m/>
    <s v="POSITION4"/>
    <x v="5"/>
    <s v="STORE20"/>
  </r>
  <r>
    <n v="216613"/>
    <s v="People21"/>
    <s v="department"/>
    <s v="REGION6"/>
    <s v="STORE21"/>
    <s v="MANAGER6"/>
    <s v="POSITIVO"/>
    <d v="1899-12-30T10:22:00"/>
    <m/>
    <d v="1899-12-30T10:22:00"/>
    <s v="POSITION4"/>
    <x v="5"/>
    <s v="STORE21"/>
  </r>
  <r>
    <n v="217322"/>
    <s v="People22"/>
    <s v="department"/>
    <s v="REGION3"/>
    <s v="STORE22"/>
    <s v="MANAGER12"/>
    <s v="NEGATIVO"/>
    <d v="1899-12-30T05:37:00"/>
    <d v="1899-12-30T05:37:00"/>
    <m/>
    <s v="POSITION6"/>
    <x v="2"/>
    <s v="STORE22"/>
  </r>
  <r>
    <n v="217689"/>
    <s v="People23"/>
    <s v="department"/>
    <s v="REGION4"/>
    <s v="STORE23"/>
    <s v="MANAGER13"/>
    <s v="NEGATIVO"/>
    <d v="1900-01-17T23:42:00"/>
    <d v="1900-01-17T23:42:00"/>
    <m/>
    <s v="POSITION5"/>
    <x v="3"/>
    <s v="STORE23"/>
  </r>
  <r>
    <n v="217725"/>
    <s v="People24"/>
    <s v="department"/>
    <s v="REGION1"/>
    <s v="STORE24"/>
    <s v="MANAGER1"/>
    <s v="NEGATIVO"/>
    <d v="1900-02-02T20:00:00"/>
    <d v="1900-02-02T20:00:00"/>
    <m/>
    <s v="POSITION5"/>
    <x v="0"/>
    <s v="STORE24"/>
  </r>
  <r>
    <n v="217780"/>
    <s v="People25"/>
    <s v="department"/>
    <s v="REGION4"/>
    <s v="STORE25"/>
    <s v="MANAGER14"/>
    <s v="POSITIVO"/>
    <d v="1899-12-31T09:24:00"/>
    <m/>
    <d v="1899-12-31T09:24:00"/>
    <s v="POSITION4"/>
    <x v="3"/>
    <s v="STORE25"/>
  </r>
  <r>
    <n v="217786"/>
    <s v="People26"/>
    <s v="department"/>
    <s v="REGION2"/>
    <s v="STORE26"/>
    <s v="MANAGER15"/>
    <s v="NEGATIVO"/>
    <d v="1899-12-30T21:13:00"/>
    <d v="1899-12-30T21:13:00"/>
    <m/>
    <s v="POSITION6"/>
    <x v="1"/>
    <s v="STORE26"/>
  </r>
  <r>
    <n v="217788"/>
    <s v="People27"/>
    <s v="department"/>
    <s v="REGION1"/>
    <s v="STORE27"/>
    <s v="MANAGER16"/>
    <s v="NEGATIVO"/>
    <d v="1900-01-27T08:00:00"/>
    <d v="1900-01-27T08:00:00"/>
    <m/>
    <s v="POSITION5"/>
    <x v="0"/>
    <s v="STORE27"/>
  </r>
  <r>
    <n v="217827"/>
    <s v="People28"/>
    <s v="department"/>
    <s v="REGION5"/>
    <s v="STORE28"/>
    <s v="MANAGER17"/>
    <s v="POSITIVO"/>
    <d v="1899-12-30T07:34:00"/>
    <m/>
    <d v="1899-12-30T07:34:00"/>
    <s v="POSITION5"/>
    <x v="4"/>
    <s v="STORE28"/>
  </r>
  <r>
    <n v="217863"/>
    <s v="People29"/>
    <s v="department"/>
    <s v="REGION5"/>
    <s v="STORE29"/>
    <s v="MANAGER7"/>
    <s v="NEGATIVO"/>
    <d v="1899-12-31T01:50:00"/>
    <d v="1899-12-31T01:50:00"/>
    <m/>
    <s v="POSITION4"/>
    <x v="4"/>
    <s v="STORE29"/>
  </r>
  <r>
    <n v="217928"/>
    <s v="People30"/>
    <s v="department"/>
    <s v="REGION8"/>
    <s v="STORE30"/>
    <s v="MANAGER18"/>
    <s v="NEGATIVO"/>
    <d v="1900-01-01T10:17:00"/>
    <d v="1900-01-01T10:17:00"/>
    <m/>
    <s v="POSITION5"/>
    <x v="7"/>
    <s v="STORE30"/>
  </r>
  <r>
    <n v="217948"/>
    <s v="People31"/>
    <s v="department"/>
    <s v="REGION7"/>
    <s v="STORE31"/>
    <s v="MANAGER19"/>
    <s v="NEGATIVO"/>
    <d v="1899-12-30T04:00:00"/>
    <d v="1899-12-30T04:00:00"/>
    <m/>
    <s v="POSITION5"/>
    <x v="6"/>
    <s v="STORE31"/>
  </r>
  <r>
    <n v="217966"/>
    <s v="People32"/>
    <s v="department"/>
    <s v="REGION8"/>
    <s v="STORE32"/>
    <s v="MANAGER20"/>
    <s v="POSITIVO"/>
    <d v="1899-12-30T06:30:00"/>
    <m/>
    <d v="1899-12-30T06:30:00"/>
    <s v="POSITION5"/>
    <x v="7"/>
    <s v="STORE32"/>
  </r>
  <r>
    <n v="217968"/>
    <s v="People33"/>
    <s v="department"/>
    <s v="REGION2"/>
    <s v="STORE33"/>
    <s v="MANAGER21"/>
    <s v="POSITIVO"/>
    <d v="1899-12-31T02:02:00"/>
    <m/>
    <d v="1899-12-31T02:02:00"/>
    <s v="POSITION5"/>
    <x v="1"/>
    <s v="STORE33"/>
  </r>
  <r>
    <n v="217969"/>
    <s v="People34"/>
    <s v="department"/>
    <s v="REGION2"/>
    <s v="STORE34"/>
    <s v="MANAGER22"/>
    <s v="POSITIVO"/>
    <d v="1899-12-30T00:36:00"/>
    <m/>
    <d v="1899-12-30T00:36:00"/>
    <s v="POSITION5"/>
    <x v="1"/>
    <s v="STORE34"/>
  </r>
  <r>
    <n v="217970"/>
    <s v="People35"/>
    <s v="department"/>
    <s v="REGION2"/>
    <s v="STORE35"/>
    <s v="MANAGER23"/>
    <s v="NEGATIVO"/>
    <d v="1899-12-30T20:33:00"/>
    <d v="1899-12-30T20:33:00"/>
    <m/>
    <s v="POSITION5"/>
    <x v="1"/>
    <s v="STORE35"/>
  </r>
  <r>
    <n v="217977"/>
    <s v="People36"/>
    <s v="department"/>
    <s v="REGION5"/>
    <s v="STORE36"/>
    <s v="MANAGER24"/>
    <s v="NEGATIVO"/>
    <d v="1900-01-18T03:05:00"/>
    <d v="1900-01-18T03:05:00"/>
    <m/>
    <s v="POSITION6"/>
    <x v="4"/>
    <s v="STORE36"/>
  </r>
  <r>
    <n v="218005"/>
    <s v="People37"/>
    <s v="department"/>
    <s v="REGION9"/>
    <s v="STORE37"/>
    <s v="MANAGER25"/>
    <s v="NEGATIVO"/>
    <d v="1900-01-01T13:05:00"/>
    <d v="1900-01-01T13:05:00"/>
    <m/>
    <s v="POSITION6"/>
    <x v="8"/>
    <s v="STORE37"/>
  </r>
  <r>
    <n v="218011"/>
    <s v="People38"/>
    <s v="department"/>
    <s v="REGION3"/>
    <s v="STORE38"/>
    <s v="MANAGER26"/>
    <s v="POSITIVO"/>
    <d v="1899-12-30T15:51:00"/>
    <m/>
    <d v="1899-12-30T15:51:00"/>
    <s v="POSITION6"/>
    <x v="2"/>
    <s v="STORE38"/>
  </r>
  <r>
    <n v="218029"/>
    <s v="People39"/>
    <s v="department"/>
    <s v="REGION2"/>
    <s v="STORE39"/>
    <s v="MANAGER27"/>
    <s v="NEGATIVO"/>
    <d v="1899-12-31T01:03:00"/>
    <d v="1899-12-31T01:03:00"/>
    <m/>
    <s v="POSITION6"/>
    <x v="1"/>
    <s v="STORE39"/>
  </r>
  <r>
    <n v="218087"/>
    <s v="People40"/>
    <s v="department"/>
    <s v="REGION9"/>
    <s v="STORE40"/>
    <s v="MANAGER10"/>
    <s v="POSITIVO"/>
    <d v="1899-12-30T12:30:00"/>
    <m/>
    <d v="1899-12-30T12:30:00"/>
    <s v="POSITION2"/>
    <x v="8"/>
    <s v="STORE40"/>
  </r>
  <r>
    <n v="218097"/>
    <s v="People41"/>
    <s v="department"/>
    <s v="REGION8"/>
    <s v="STORE41"/>
    <s v="MANAGER28"/>
    <s v="POSITIVO"/>
    <d v="1899-12-30T07:59:00"/>
    <m/>
    <d v="1899-12-30T07:59:00"/>
    <s v="POSITION6"/>
    <x v="7"/>
    <s v="STORE41"/>
  </r>
  <r>
    <n v="218141"/>
    <s v="People42"/>
    <s v="department"/>
    <s v="REGION4"/>
    <s v="STORE42"/>
    <s v="MANAGER29"/>
    <s v="NEGATIVO"/>
    <d v="1900-01-05T23:04:00"/>
    <d v="1900-01-05T23:04:00"/>
    <m/>
    <s v="POSITION6"/>
    <x v="3"/>
    <s v="STORE42"/>
  </r>
  <r>
    <n v="218278"/>
    <s v="People43"/>
    <s v="department"/>
    <s v="REGION7"/>
    <s v="STORE43"/>
    <s v="MANAGER8"/>
    <s v="POSITIVO"/>
    <d v="1899-12-30T21:08:00"/>
    <m/>
    <d v="1899-12-30T21:08:00"/>
    <s v="POSITION2"/>
    <x v="6"/>
    <s v="STORE43"/>
  </r>
  <r>
    <n v="218444"/>
    <s v="People44"/>
    <s v="department"/>
    <s v="REGION8"/>
    <s v="STORE30"/>
    <s v="MANAGER18"/>
    <s v="NEGATIVO"/>
    <d v="1899-12-31T01:26:00"/>
    <d v="1899-12-31T01:26:00"/>
    <m/>
    <s v="POSITION6"/>
    <x v="7"/>
    <s v="STORE30"/>
  </r>
  <r>
    <n v="218467"/>
    <s v="People45"/>
    <s v="department"/>
    <s v="REGION3"/>
    <s v="STORE44"/>
    <s v="MANAGER3"/>
    <s v="POSITIVO"/>
    <d v="1899-12-30T11:03:00"/>
    <m/>
    <d v="1899-12-30T11:03:00"/>
    <s v="POSITION4"/>
    <x v="2"/>
    <s v="STORE44"/>
  </r>
  <r>
    <n v="218483"/>
    <s v="People46"/>
    <s v="department"/>
    <s v="REGION5"/>
    <s v="STORE45"/>
    <s v="MANAGER30"/>
    <s v="NEGATIVO"/>
    <d v="1899-12-30T04:34:00"/>
    <d v="1899-12-30T04:34:00"/>
    <m/>
    <s v="POSITION6"/>
    <x v="4"/>
    <s v="STORE45"/>
  </r>
  <r>
    <n v="218505"/>
    <s v="People47"/>
    <s v="department"/>
    <s v="REGION7"/>
    <s v="STORE46"/>
    <s v="MANAGER31"/>
    <s v="POSITIVO"/>
    <d v="1899-12-30T01:04:00"/>
    <m/>
    <d v="1899-12-30T01:04:00"/>
    <s v="POSITION6"/>
    <x v="6"/>
    <s v="STORE46"/>
  </r>
  <r>
    <n v="218514"/>
    <s v="People48"/>
    <s v="department"/>
    <s v="REGION5"/>
    <s v="STORE47"/>
    <s v="MANAGER32"/>
    <s v="NEGATIVO"/>
    <d v="1899-12-30T06:14:00"/>
    <d v="1899-12-30T06:14:00"/>
    <m/>
    <s v="POSITION5"/>
    <x v="4"/>
    <s v="STORE47"/>
  </r>
  <r>
    <n v="218528"/>
    <s v="People49"/>
    <s v="department"/>
    <s v="REGION6"/>
    <s v="STORE48"/>
    <s v="MANAGER33"/>
    <s v="NEGATIVO"/>
    <d v="1900-01-01T18:43:00"/>
    <d v="1900-01-01T18:43:00"/>
    <m/>
    <s v="POSITION6"/>
    <x v="5"/>
    <s v="STORE48"/>
  </r>
  <r>
    <n v="218563"/>
    <s v="People50"/>
    <s v="department"/>
    <s v="REGION8"/>
    <s v="STORE49"/>
    <s v="MANAGER9"/>
    <s v="POSITIVO"/>
    <d v="1899-12-31T04:50:00"/>
    <m/>
    <d v="1899-12-31T04:50:00"/>
    <s v="POSITION4"/>
    <x v="7"/>
    <s v="STORE49"/>
  </r>
  <r>
    <n v="218702"/>
    <s v="People51"/>
    <s v="department"/>
    <s v="REGION5"/>
    <s v="STORE28"/>
    <s v="MANAGER17"/>
    <s v="NEGATIVO"/>
    <d v="1900-01-08T19:36:00"/>
    <d v="1900-01-08T19:36:00"/>
    <m/>
    <s v="POSITION6"/>
    <x v="4"/>
    <s v="STORE28"/>
  </r>
  <r>
    <n v="218830"/>
    <s v="People52"/>
    <s v="department"/>
    <s v="REGION6"/>
    <s v="STORE50"/>
    <s v="MANAGER6"/>
    <s v="POSITIVO"/>
    <d v="1899-12-30T11:31:00"/>
    <m/>
    <d v="1899-12-30T11:31:00"/>
    <s v="POSITION4"/>
    <x v="5"/>
    <s v="STORE50"/>
  </r>
  <r>
    <n v="219156"/>
    <s v="People53"/>
    <s v="department"/>
    <s v="REGION8"/>
    <s v="STORE51"/>
    <s v="MANAGER34"/>
    <s v="POSITIVO"/>
    <d v="1899-12-30T19:29:00"/>
    <m/>
    <d v="1899-12-30T19:29:00"/>
    <s v="POSITION6"/>
    <x v="7"/>
    <s v="STORE51"/>
  </r>
  <r>
    <n v="219230"/>
    <s v="People54"/>
    <s v="department"/>
    <s v="REGION5"/>
    <s v="STORE52"/>
    <s v="MANAGER35"/>
    <s v="NEGATIVO"/>
    <d v="1900-01-08T08:19:00"/>
    <d v="1900-01-08T08:19:00"/>
    <m/>
    <s v="POSITION6"/>
    <x v="4"/>
    <s v="STORE52"/>
  </r>
  <r>
    <n v="219308"/>
    <s v="People55"/>
    <s v="department"/>
    <s v="REGION9"/>
    <s v="STORE53"/>
    <s v="MANAGER36"/>
    <s v="NEGATIVO"/>
    <d v="1899-12-30T05:28:00"/>
    <d v="1899-12-30T05:28:00"/>
    <m/>
    <s v="POSITION6"/>
    <x v="8"/>
    <s v="STORE53"/>
  </r>
  <r>
    <n v="219325"/>
    <s v="People56"/>
    <s v="department"/>
    <s v="REGION8"/>
    <s v="STORE54"/>
    <s v="MANAGER37"/>
    <s v="POSITIVO"/>
    <d v="1899-12-30T00:33:00"/>
    <m/>
    <d v="1899-12-30T00:33:00"/>
    <s v="POSITION5"/>
    <x v="7"/>
    <s v="STORE54"/>
  </r>
  <r>
    <n v="219368"/>
    <s v="People57"/>
    <s v="department"/>
    <s v="REGION5"/>
    <s v="STORE55"/>
    <s v="MANAGER7"/>
    <s v="POSITIVO"/>
    <d v="1899-12-30T05:05:00"/>
    <m/>
    <d v="1899-12-30T05:05:00"/>
    <s v="POSITION2"/>
    <x v="4"/>
    <s v="STORE55"/>
  </r>
  <r>
    <n v="219370"/>
    <s v="People58"/>
    <s v="department"/>
    <s v="REGION4"/>
    <s v="STORE56"/>
    <s v="MANAGER14"/>
    <s v="POSITIVO"/>
    <d v="1899-12-30T06:26:00"/>
    <m/>
    <d v="1899-12-30T06:26:00"/>
    <s v="POSITION2"/>
    <x v="3"/>
    <s v="STORE56"/>
  </r>
  <r>
    <n v="219371"/>
    <s v="People59"/>
    <s v="department"/>
    <s v="REGION4"/>
    <s v="STORE57"/>
    <s v="MANAGER14"/>
    <s v="POSITIVO"/>
    <d v="1899-12-30T18:57:00"/>
    <m/>
    <d v="1899-12-30T18:57:00"/>
    <s v="POSITION2"/>
    <x v="3"/>
    <s v="STORE57"/>
  </r>
  <r>
    <n v="219390"/>
    <s v="People60"/>
    <s v="department"/>
    <s v="REGION2"/>
    <s v="STORE35"/>
    <s v="MANAGER23"/>
    <s v="NEGATIVO"/>
    <d v="1899-12-30T13:35:00"/>
    <d v="1899-12-30T13:35:00"/>
    <m/>
    <s v="POSITION6"/>
    <x v="1"/>
    <s v="STORE35"/>
  </r>
  <r>
    <n v="219427"/>
    <s v="People61"/>
    <s v="department"/>
    <s v="REGION4"/>
    <s v="STORE58"/>
    <s v="MANAGER38"/>
    <s v="POSITIVO"/>
    <d v="1899-12-30T23:18:00"/>
    <m/>
    <d v="1899-12-30T23:18:00"/>
    <s v="POSITION6"/>
    <x v="3"/>
    <s v="STORE58"/>
  </r>
  <r>
    <n v="219511"/>
    <s v="People62"/>
    <s v="department"/>
    <s v="REGION7"/>
    <s v="STORE59"/>
    <s v="MANAGER8"/>
    <s v="POSITIVO"/>
    <d v="1899-12-30T06:22:00"/>
    <m/>
    <d v="1899-12-30T06:22:00"/>
    <s v="POSITION2"/>
    <x v="6"/>
    <s v="STORE59"/>
  </r>
  <r>
    <n v="219739"/>
    <s v="People63"/>
    <s v="department"/>
    <s v="REGION1"/>
    <s v="STORE60"/>
    <s v="MANAGER39"/>
    <s v="POSITIVO"/>
    <d v="1899-12-30T11:01:00"/>
    <m/>
    <d v="1899-12-30T11:01:00"/>
    <s v="POSITION6"/>
    <x v="0"/>
    <s v="STORE60"/>
  </r>
  <r>
    <n v="219749"/>
    <s v="People64"/>
    <s v="department"/>
    <s v="REGION2"/>
    <s v="STORE35"/>
    <s v="MANAGER23"/>
    <s v="NEGATIVO"/>
    <d v="1900-01-01T14:19:00"/>
    <d v="1900-01-01T14:19:00"/>
    <m/>
    <s v="POSITION6"/>
    <x v="1"/>
    <s v="STORE35"/>
  </r>
  <r>
    <n v="219753"/>
    <s v="People65"/>
    <s v="department"/>
    <s v="REGION1"/>
    <s v="STORE61"/>
    <s v="MANAGER40"/>
    <s v="NEGATIVO"/>
    <d v="1899-12-30T12:14:00"/>
    <d v="1899-12-30T12:14:00"/>
    <m/>
    <s v="POSITION6"/>
    <x v="0"/>
    <s v="STORE61"/>
  </r>
  <r>
    <n v="219778"/>
    <s v="People66"/>
    <s v="department"/>
    <s v="REGION4"/>
    <s v="STORE62"/>
    <s v="MANAGER14"/>
    <s v="POSITIVO"/>
    <d v="1899-12-30T15:55:00"/>
    <m/>
    <d v="1899-12-30T15:55:00"/>
    <s v="POSITION2"/>
    <x v="3"/>
    <s v="STORE62"/>
  </r>
  <r>
    <n v="219894"/>
    <s v="People67"/>
    <s v="department"/>
    <s v="REGION8"/>
    <s v="STORE63"/>
    <s v="MANAGER9"/>
    <s v="POSITIVO"/>
    <d v="1899-12-30T11:26:00"/>
    <m/>
    <d v="1899-12-30T11:26:00"/>
    <s v="POSITION3"/>
    <x v="7"/>
    <s v="STORE63"/>
  </r>
  <r>
    <n v="219907"/>
    <s v="People68"/>
    <s v="department"/>
    <s v="REGION2"/>
    <s v="STORE64"/>
    <s v="MANAGER41"/>
    <s v="POSITIVO"/>
    <d v="1899-12-30T00:12:00"/>
    <m/>
    <d v="1899-12-30T00:12:00"/>
    <s v="POSITION6"/>
    <x v="1"/>
    <s v="STORE64"/>
  </r>
  <r>
    <n v="219966"/>
    <s v="People69"/>
    <s v="department"/>
    <s v="REGION6"/>
    <s v="STORE65"/>
    <s v="MANAGER42"/>
    <s v="NEGATIVO"/>
    <d v="1899-12-30T19:48:00"/>
    <d v="1899-12-30T19:48:00"/>
    <m/>
    <s v="POSITION5"/>
    <x v="5"/>
    <s v="STORE65"/>
  </r>
  <r>
    <n v="220151"/>
    <s v="People70"/>
    <s v="department"/>
    <s v="REGION4"/>
    <s v="STORE66"/>
    <s v="MANAGER43"/>
    <s v="POSITIVO"/>
    <d v="1899-12-31T05:53:00"/>
    <m/>
    <d v="1899-12-31T05:53:00"/>
    <s v="POSITION6"/>
    <x v="3"/>
    <s v="STORE66"/>
  </r>
  <r>
    <n v="220205"/>
    <s v="People71"/>
    <s v="department"/>
    <s v="REGION8"/>
    <s v="STORE67"/>
    <s v="MANAGER9"/>
    <s v="POSITIVO"/>
    <d v="1899-12-31T01:27:00"/>
    <m/>
    <d v="1899-12-31T01:27:00"/>
    <s v="POSITION4"/>
    <x v="7"/>
    <s v="STORE67"/>
  </r>
  <r>
    <n v="220228"/>
    <s v="People72"/>
    <s v="department"/>
    <s v="REGION8"/>
    <s v="STORE68"/>
    <s v="MANAGER9"/>
    <s v="NEGATIVO"/>
    <d v="1900-01-03T11:05:00"/>
    <d v="1900-01-03T11:05:00"/>
    <m/>
    <s v="POSITION4"/>
    <x v="7"/>
    <s v="STORE68"/>
  </r>
  <r>
    <n v="220250"/>
    <s v="People73"/>
    <s v="department"/>
    <s v="REGION3"/>
    <s v="STORE69"/>
    <s v="MANAGER44"/>
    <s v="NEGATIVO"/>
    <d v="1899-12-30T18:19:00"/>
    <d v="1899-12-30T18:19:00"/>
    <m/>
    <s v="POSITION5"/>
    <x v="2"/>
    <s v="STORE69"/>
  </r>
  <r>
    <n v="220259"/>
    <s v="People74"/>
    <s v="department"/>
    <s v="REGION1"/>
    <s v="STORE70"/>
    <s v="MANAGER45"/>
    <s v="NEGATIVO"/>
    <d v="1900-01-18T10:00:00"/>
    <d v="1900-01-18T10:00:00"/>
    <m/>
    <s v="POSITION5"/>
    <x v="0"/>
    <s v="STORE70"/>
  </r>
  <r>
    <n v="220345"/>
    <s v="People75"/>
    <s v="department"/>
    <s v="REGION1"/>
    <s v="STORE71"/>
    <s v="MANAGER46"/>
    <s v="POSITIVO"/>
    <d v="1899-12-31T20:49:00"/>
    <m/>
    <d v="1899-12-31T20:49:00"/>
    <s v="POSITION1"/>
    <x v="0"/>
    <s v="STORE71"/>
  </r>
  <r>
    <n v="220368"/>
    <s v="People76"/>
    <s v="department"/>
    <s v="REGION9"/>
    <s v="STORE72"/>
    <s v="MANAGER47"/>
    <s v="NEGATIVO"/>
    <d v="1899-12-30T00:22:00"/>
    <d v="1899-12-30T00:22:00"/>
    <m/>
    <s v="POSITION6"/>
    <x v="8"/>
    <s v="STORE72"/>
  </r>
  <r>
    <n v="220568"/>
    <s v="People77"/>
    <s v="department"/>
    <s v="REGION7"/>
    <s v="STORE73"/>
    <s v="MANAGER48"/>
    <s v="POSITIVO"/>
    <d v="1899-12-30T00:29:00"/>
    <m/>
    <d v="1899-12-30T00:29:00"/>
    <s v="POSITION6"/>
    <x v="6"/>
    <s v="STORE73"/>
  </r>
  <r>
    <n v="220759"/>
    <s v="People78"/>
    <s v="department"/>
    <s v="REGION1"/>
    <s v="STORE27"/>
    <s v="MANAGER16"/>
    <s v="POSITIVO"/>
    <d v="1899-12-30T14:59:00"/>
    <m/>
    <d v="1899-12-30T14:59:00"/>
    <s v="POSITION6"/>
    <x v="0"/>
    <s v="STORE27"/>
  </r>
  <r>
    <n v="220809"/>
    <s v="People79"/>
    <s v="department"/>
    <s v="REGION7"/>
    <s v="STORE74"/>
    <s v="MANAGER49"/>
    <s v="NEGATIVO"/>
    <d v="1899-12-31T16:32:00"/>
    <d v="1899-12-31T16:32:00"/>
    <m/>
    <s v="POSITION5"/>
    <x v="6"/>
    <s v="STORE74"/>
  </r>
  <r>
    <n v="220826"/>
    <s v="People80"/>
    <s v="department"/>
    <s v="REGION1"/>
    <s v="STORE61"/>
    <s v="MANAGER40"/>
    <s v="NEGATIVO"/>
    <d v="1899-12-30T22:34:00"/>
    <d v="1899-12-30T22:34:00"/>
    <m/>
    <s v="POSITION5"/>
    <x v="0"/>
    <s v="STORE61"/>
  </r>
  <r>
    <n v="220870"/>
    <s v="People81"/>
    <s v="department"/>
    <s v="REGION1"/>
    <s v="STORE75"/>
    <s v="MANAGER50"/>
    <s v="NEGATIVO"/>
    <d v="1900-01-03T12:26:00"/>
    <d v="1900-01-03T12:26:00"/>
    <m/>
    <s v="POSITION6"/>
    <x v="0"/>
    <s v="STORE75"/>
  </r>
  <r>
    <n v="220920"/>
    <s v="People82"/>
    <s v="department"/>
    <s v="REGION3"/>
    <s v="STORE76"/>
    <s v="MANAGER51"/>
    <s v="NEGATIVO"/>
    <d v="1899-12-30T04:02:00"/>
    <d v="1899-12-30T04:02:00"/>
    <m/>
    <s v="POSITION6"/>
    <x v="2"/>
    <s v="STORE76"/>
  </r>
  <r>
    <n v="220933"/>
    <s v="People83"/>
    <s v="department"/>
    <s v="REGION9"/>
    <s v="STORE77"/>
    <s v="MANAGER10"/>
    <s v="POSITIVO"/>
    <d v="1899-12-30T05:14:00"/>
    <m/>
    <d v="1899-12-30T05:14:00"/>
    <s v="POSITION3"/>
    <x v="8"/>
    <s v="STORE77"/>
  </r>
  <r>
    <n v="220936"/>
    <s v="People84"/>
    <s v="department"/>
    <s v="REGION1"/>
    <s v="STORE61"/>
    <s v="MANAGER40"/>
    <s v="POSITIVO"/>
    <d v="1899-12-30T04:14:00"/>
    <m/>
    <d v="1899-12-30T04:14:00"/>
    <s v="POSITION6"/>
    <x v="0"/>
    <s v="STORE61"/>
  </r>
  <r>
    <n v="220996"/>
    <s v="People85"/>
    <s v="department"/>
    <s v="REGION7"/>
    <s v="STORE74"/>
    <s v="MANAGER49"/>
    <s v="NEGATIVO"/>
    <d v="1899-12-30T11:09:00"/>
    <d v="1899-12-30T11:09:00"/>
    <m/>
    <s v="POSITION6"/>
    <x v="6"/>
    <s v="STORE74"/>
  </r>
  <r>
    <n v="221010"/>
    <s v="People86"/>
    <s v="department"/>
    <s v="REGION1"/>
    <s v="STORE78"/>
    <s v="MANAGER52"/>
    <s v="NEGATIVO"/>
    <d v="1900-01-05T12:00:00"/>
    <d v="1900-01-05T12:00:00"/>
    <m/>
    <s v="POSITION6"/>
    <x v="0"/>
    <s v="STORE78"/>
  </r>
  <r>
    <n v="221016"/>
    <s v="People87"/>
    <s v="department"/>
    <s v="REGION9"/>
    <s v="STORE79"/>
    <s v="MANAGER53"/>
    <s v="NEGATIVO"/>
    <d v="1900-01-02T08:12:00"/>
    <d v="1900-01-02T08:12:00"/>
    <m/>
    <s v="POSITION5"/>
    <x v="8"/>
    <s v="STORE79"/>
  </r>
  <r>
    <n v="221057"/>
    <s v="People88"/>
    <s v="department"/>
    <s v="REGION8"/>
    <s v="STORE30"/>
    <s v="MANAGER18"/>
    <s v="NEGATIVO"/>
    <d v="1900-01-02T13:24:00"/>
    <d v="1900-01-02T13:24:00"/>
    <m/>
    <s v="POSITION6"/>
    <x v="7"/>
    <s v="STORE30"/>
  </r>
  <r>
    <n v="221149"/>
    <s v="People89"/>
    <s v="department"/>
    <s v="REGION5"/>
    <s v="STORE28"/>
    <s v="MANAGER17"/>
    <s v="NEGATIVO"/>
    <d v="1900-01-09T16:45:00"/>
    <d v="1900-01-09T16:45:00"/>
    <m/>
    <s v="POSITION6"/>
    <x v="4"/>
    <s v="STORE28"/>
  </r>
  <r>
    <n v="221161"/>
    <s v="People90"/>
    <s v="department"/>
    <s v="REGION9"/>
    <s v="STORE80"/>
    <s v="MANAGER10"/>
    <s v="POSITIVO"/>
    <d v="1899-12-30T04:21:00"/>
    <m/>
    <d v="1899-12-30T04:21:00"/>
    <s v="POSITION2"/>
    <x v="8"/>
    <s v="STORE80"/>
  </r>
  <r>
    <n v="221494"/>
    <s v="People91"/>
    <s v="department"/>
    <s v="REGION7"/>
    <s v="STORE81"/>
    <s v="MANAGER54"/>
    <s v="POSITIVO"/>
    <d v="1899-12-30T10:07:00"/>
    <m/>
    <d v="1899-12-30T10:07:00"/>
    <s v="POSITION5"/>
    <x v="6"/>
    <s v="STORE81"/>
  </r>
  <r>
    <n v="221582"/>
    <s v="People92"/>
    <s v="department"/>
    <s v="REGION6"/>
    <s v="STORE82"/>
    <s v="MANAGER6"/>
    <s v="POSITIVO"/>
    <d v="1899-12-30T07:48:00"/>
    <m/>
    <d v="1899-12-30T07:48:00"/>
    <s v="POSITION3"/>
    <x v="5"/>
    <s v="STORE82"/>
  </r>
  <r>
    <n v="221590"/>
    <s v="People93"/>
    <s v="department"/>
    <s v="REGION7"/>
    <s v="STORE83"/>
    <s v="MANAGER55"/>
    <s v="POSITIVO"/>
    <d v="1899-12-30T10:04:00"/>
    <m/>
    <d v="1899-12-30T10:04:00"/>
    <s v="POSITION5"/>
    <x v="6"/>
    <s v="STORE83"/>
  </r>
  <r>
    <n v="221647"/>
    <s v="People94"/>
    <s v="department"/>
    <s v="REGION9"/>
    <s v="STORE84"/>
    <s v="MANAGER56"/>
    <s v="POSITIVO"/>
    <d v="1899-12-30T03:18:00"/>
    <m/>
    <d v="1899-12-30T03:18:00"/>
    <s v="POSITION5"/>
    <x v="8"/>
    <s v="STORE84"/>
  </r>
  <r>
    <n v="221650"/>
    <s v="People95"/>
    <s v="department"/>
    <s v="REGION3"/>
    <s v="STORE85"/>
    <s v="MANAGER3"/>
    <s v="NEGATIVO"/>
    <d v="1899-12-30T02:15:00"/>
    <d v="1899-12-30T02:15:00"/>
    <m/>
    <s v="POSITION3"/>
    <x v="2"/>
    <s v="STORE85"/>
  </r>
  <r>
    <n v="221686"/>
    <s v="People96"/>
    <s v="department"/>
    <s v="REGION6"/>
    <s v="STORE86"/>
    <s v="MANAGER57"/>
    <s v="POSITIVO"/>
    <d v="1899-12-30T07:26:00"/>
    <m/>
    <d v="1899-12-30T07:26:00"/>
    <s v="POSITION6"/>
    <x v="5"/>
    <s v="STORE86"/>
  </r>
  <r>
    <n v="221865"/>
    <s v="People97"/>
    <s v="department"/>
    <s v="REGION7"/>
    <s v="STORE31"/>
    <s v="MANAGER19"/>
    <s v="NEGATIVO"/>
    <d v="1899-12-30T19:48:00"/>
    <d v="1899-12-30T19:48:00"/>
    <m/>
    <s v="POSITION6"/>
    <x v="6"/>
    <s v="STORE31"/>
  </r>
  <r>
    <n v="221898"/>
    <s v="People98"/>
    <s v="department"/>
    <s v="REGION3"/>
    <s v="STORE69"/>
    <s v="MANAGER44"/>
    <s v="POSITIVO"/>
    <d v="1899-12-30T03:09:00"/>
    <m/>
    <d v="1899-12-30T03:09:00"/>
    <s v="POSITION6"/>
    <x v="2"/>
    <s v="STORE69"/>
  </r>
  <r>
    <n v="221964"/>
    <s v="People99"/>
    <s v="department"/>
    <s v="REGION7"/>
    <s v="STORE87"/>
    <s v="MANAGER58"/>
    <s v="NEGATIVO"/>
    <d v="1899-12-30T14:01:00"/>
    <d v="1899-12-30T14:01:00"/>
    <m/>
    <s v="POSITION6"/>
    <x v="6"/>
    <s v="STORE87"/>
  </r>
  <r>
    <n v="222004"/>
    <s v="People100"/>
    <s v="department"/>
    <s v="REGION7"/>
    <s v="STORE88"/>
    <s v="MANAGER59"/>
    <s v="NEGATIVO"/>
    <d v="1899-12-30T13:23:00"/>
    <d v="1899-12-30T13:23:00"/>
    <m/>
    <s v="POSITION6"/>
    <x v="6"/>
    <s v="STORE88"/>
  </r>
  <r>
    <n v="222018"/>
    <s v="People101"/>
    <s v="department"/>
    <s v="REGION8"/>
    <s v="STORE89"/>
    <s v="MANAGER9"/>
    <s v="POSITIVO"/>
    <d v="1899-12-30T05:58:00"/>
    <m/>
    <d v="1899-12-30T05:58:00"/>
    <s v="POSITION3"/>
    <x v="7"/>
    <s v="STORE89"/>
  </r>
  <r>
    <n v="222047"/>
    <s v="People102"/>
    <s v="department"/>
    <s v="REGION6"/>
    <s v="STORE90"/>
    <s v="MANAGER60"/>
    <s v="POSITIVO"/>
    <d v="1899-12-30T19:25:00"/>
    <m/>
    <d v="1899-12-30T19:25:00"/>
    <s v="POSITION1"/>
    <x v="5"/>
    <s v="STORE90"/>
  </r>
  <r>
    <n v="222048"/>
    <s v="People103"/>
    <s v="department"/>
    <s v="REGION3"/>
    <s v="STORE91"/>
    <s v="MANAGER61"/>
    <s v="NEGATIVO"/>
    <d v="1899-12-30T06:31:00"/>
    <d v="1899-12-30T06:31:00"/>
    <m/>
    <s v="POSITION6"/>
    <x v="2"/>
    <s v="STORE91"/>
  </r>
  <r>
    <n v="222075"/>
    <s v="People104"/>
    <s v="department"/>
    <s v="REGION4"/>
    <s v="STORE58"/>
    <s v="MANAGER38"/>
    <s v="POSITIVO"/>
    <d v="1899-12-30T20:34:00"/>
    <m/>
    <d v="1899-12-30T20:34:00"/>
    <s v="POSITION6"/>
    <x v="3"/>
    <s v="STORE58"/>
  </r>
  <r>
    <n v="222225"/>
    <s v="People105"/>
    <s v="department"/>
    <s v="REGION8"/>
    <s v="STORE92"/>
    <s v="MANAGER62"/>
    <s v="NEGATIVO"/>
    <d v="1899-12-30T04:33:00"/>
    <d v="1899-12-30T04:33:00"/>
    <m/>
    <s v="POSITION6"/>
    <x v="7"/>
    <s v="STORE92"/>
  </r>
  <r>
    <n v="222289"/>
    <s v="People106"/>
    <s v="department"/>
    <s v="REGION9"/>
    <s v="STORE93"/>
    <s v="MANAGER63"/>
    <s v="NEGATIVO"/>
    <d v="1900-01-11T10:41:00"/>
    <d v="1900-01-11T10:41:00"/>
    <m/>
    <s v="POSITION6"/>
    <x v="8"/>
    <s v="STORE93"/>
  </r>
  <r>
    <n v="222376"/>
    <s v="People107"/>
    <s v="department"/>
    <s v="REGION6"/>
    <s v="STORE94"/>
    <s v="MANAGER6"/>
    <s v="POSITIVO"/>
    <d v="1899-12-30T06:21:00"/>
    <m/>
    <d v="1899-12-30T06:21:00"/>
    <s v="POSITION4"/>
    <x v="5"/>
    <s v="STORE94"/>
  </r>
  <r>
    <n v="222378"/>
    <s v="People108"/>
    <s v="department"/>
    <s v="REGION7"/>
    <s v="STORE95"/>
    <s v="MANAGER64"/>
    <s v="POSITIVO"/>
    <d v="1899-12-30T06:37:00"/>
    <m/>
    <d v="1899-12-30T06:37:00"/>
    <s v="POSITION6"/>
    <x v="6"/>
    <s v="STORE95"/>
  </r>
  <r>
    <n v="222380"/>
    <s v="People109"/>
    <s v="department"/>
    <s v="REGION4"/>
    <s v="STORE96"/>
    <s v="MANAGER14"/>
    <s v="POSITIVO"/>
    <d v="1899-12-30T18:43:00"/>
    <m/>
    <d v="1899-12-30T18:43:00"/>
    <s v="POSITION4"/>
    <x v="3"/>
    <s v="STORE96"/>
  </r>
  <r>
    <n v="222479"/>
    <s v="People110"/>
    <s v="department"/>
    <s v="REGION7"/>
    <s v="STORE31"/>
    <s v="MANAGER19"/>
    <s v="POSITIVO"/>
    <d v="1899-12-30T02:12:00"/>
    <m/>
    <d v="1899-12-30T02:12:00"/>
    <s v="POSITION6"/>
    <x v="6"/>
    <s v="STORE31"/>
  </r>
  <r>
    <n v="222487"/>
    <s v="People111"/>
    <s v="department"/>
    <s v="REGION2"/>
    <s v="STORE97"/>
    <s v="MANAGER2"/>
    <s v="NEGATIVO"/>
    <d v="1899-12-30T08:26:00"/>
    <d v="1899-12-30T08:26:00"/>
    <m/>
    <s v="POSITION3"/>
    <x v="1"/>
    <s v="STORE97"/>
  </r>
  <r>
    <n v="222516"/>
    <s v="People112"/>
    <s v="department"/>
    <s v="REGION2"/>
    <s v="STORE98"/>
    <s v="MANAGER65"/>
    <s v="NEGATIVO"/>
    <d v="1899-12-30T05:50:00"/>
    <d v="1899-12-30T05:50:00"/>
    <m/>
    <s v="POSITION5"/>
    <x v="1"/>
    <s v="STORE98"/>
  </r>
  <r>
    <n v="222524"/>
    <s v="People113"/>
    <s v="department"/>
    <s v="REGION2"/>
    <s v="STORE99"/>
    <s v="MANAGER66"/>
    <s v="POSITIVO"/>
    <d v="1899-12-30T00:40:00"/>
    <m/>
    <d v="1899-12-30T00:40:00"/>
    <s v="POSITION5"/>
    <x v="1"/>
    <s v="STORE99"/>
  </r>
  <r>
    <n v="222525"/>
    <s v="People114"/>
    <s v="department"/>
    <s v="REGION2"/>
    <s v="STORE100"/>
    <s v="MANAGER67"/>
    <s v="POSITIVO"/>
    <d v="1899-12-30T12:57:00"/>
    <m/>
    <d v="1899-12-30T12:57:00"/>
    <s v="POSITION6"/>
    <x v="1"/>
    <s v="STORE100"/>
  </r>
  <r>
    <n v="222543"/>
    <s v="People115"/>
    <s v="department"/>
    <s v="REGION4"/>
    <s v="STORE101"/>
    <s v="MANAGER14"/>
    <s v="POSITIVO"/>
    <d v="1899-12-30T17:59:00"/>
    <m/>
    <d v="1899-12-30T17:59:00"/>
    <s v="POSITION2"/>
    <x v="3"/>
    <s v="STORE101"/>
  </r>
  <r>
    <n v="222549"/>
    <s v="People116"/>
    <s v="department"/>
    <s v="REGION3"/>
    <s v="STORE102"/>
    <s v="MANAGER12"/>
    <s v="NEGATIVO"/>
    <d v="1899-12-30T08:17:00"/>
    <d v="1899-12-30T08:17:00"/>
    <m/>
    <s v="POSITION1"/>
    <x v="2"/>
    <s v="STORE102"/>
  </r>
  <r>
    <n v="222565"/>
    <s v="People117"/>
    <s v="department"/>
    <s v="REGION2"/>
    <s v="STORE34"/>
    <s v="MANAGER22"/>
    <s v="POSITIVO"/>
    <d v="1899-12-30T01:21:00"/>
    <m/>
    <d v="1899-12-30T01:21:00"/>
    <s v="POSITION6"/>
    <x v="1"/>
    <s v="STORE34"/>
  </r>
  <r>
    <n v="222592"/>
    <s v="People118"/>
    <s v="department"/>
    <s v="REGION7"/>
    <s v="STORE81"/>
    <s v="MANAGER54"/>
    <s v="NEGATIVO"/>
    <d v="1899-12-30T11:15:00"/>
    <d v="1899-12-30T11:15:00"/>
    <m/>
    <s v="POSITION7"/>
    <x v="6"/>
    <s v="STORE81"/>
  </r>
  <r>
    <n v="222657"/>
    <s v="People119"/>
    <s v="department"/>
    <s v="REGION1"/>
    <s v="STORE103"/>
    <s v="MANAGER40"/>
    <s v="NEGATIVO"/>
    <d v="1900-01-01T11:12:00"/>
    <d v="1900-01-01T11:12:00"/>
    <m/>
    <s v="POSITION1"/>
    <x v="0"/>
    <s v="STORE103"/>
  </r>
  <r>
    <n v="222698"/>
    <s v="People120"/>
    <s v="department"/>
    <s v="REGION2"/>
    <s v="STORE104"/>
    <s v="MANAGER67"/>
    <s v="POSITIVO"/>
    <d v="1899-12-30T21:50:00"/>
    <m/>
    <d v="1899-12-30T21:50:00"/>
    <s v="POSITION1"/>
    <x v="1"/>
    <s v="STORE104"/>
  </r>
  <r>
    <n v="222715"/>
    <s v="People121"/>
    <s v="department"/>
    <s v="REGION1"/>
    <s v="STORE105"/>
    <s v="MANAGER68"/>
    <s v="POSITIVO"/>
    <d v="1899-12-30T02:04:00"/>
    <m/>
    <d v="1899-12-30T02:04:00"/>
    <s v="POSITION5"/>
    <x v="0"/>
    <s v="STORE105"/>
  </r>
  <r>
    <n v="222781"/>
    <s v="People122"/>
    <s v="department"/>
    <s v="REGION2"/>
    <s v="STORE100"/>
    <s v="MANAGER67"/>
    <s v="POSITIVO"/>
    <d v="1899-12-30T11:07:00"/>
    <m/>
    <d v="1899-12-30T11:07:00"/>
    <s v="POSITION6"/>
    <x v="1"/>
    <s v="STORE100"/>
  </r>
  <r>
    <n v="222800"/>
    <s v="People123"/>
    <s v="department"/>
    <s v="REGION7"/>
    <s v="STORE106"/>
    <s v="MANAGER48"/>
    <s v="POSITIVO"/>
    <d v="1899-12-30T12:41:00"/>
    <m/>
    <d v="1899-12-30T12:41:00"/>
    <s v="POSITION1"/>
    <x v="6"/>
    <s v="STORE106"/>
  </r>
  <r>
    <n v="222842"/>
    <s v="People124"/>
    <s v="department"/>
    <s v="REGION4"/>
    <s v="STORE8"/>
    <s v="MANAGER4"/>
    <s v="POSITIVO"/>
    <d v="1899-12-30T10:03:00"/>
    <m/>
    <d v="1899-12-30T10:03:00"/>
    <s v="POSITION1"/>
    <x v="3"/>
    <s v="STORE8"/>
  </r>
  <r>
    <n v="222847"/>
    <s v="People125"/>
    <s v="department"/>
    <s v="REGION4"/>
    <s v="STORE8"/>
    <s v="MANAGER4"/>
    <s v="NEGATIVO"/>
    <d v="1899-12-30T06:39:00"/>
    <d v="1899-12-30T06:39:00"/>
    <m/>
    <s v="POSITION1"/>
    <x v="3"/>
    <s v="STORE8"/>
  </r>
  <r>
    <n v="222848"/>
    <s v="People126"/>
    <s v="department"/>
    <s v="REGION1"/>
    <s v="STORE107"/>
    <s v="MANAGER16"/>
    <s v="POSITIVO"/>
    <d v="1899-12-30T05:09:00"/>
    <m/>
    <d v="1899-12-30T05:09:00"/>
    <s v="POSITION1"/>
    <x v="0"/>
    <s v="STORE107"/>
  </r>
  <r>
    <n v="222869"/>
    <s v="People127"/>
    <s v="department"/>
    <s v="REGION2"/>
    <s v="STORE98"/>
    <s v="MANAGER65"/>
    <s v="POSITIVO"/>
    <d v="1899-12-30T05:56:00"/>
    <m/>
    <d v="1899-12-30T05:56:00"/>
    <s v="POSITION6"/>
    <x v="1"/>
    <s v="STORE98"/>
  </r>
  <r>
    <n v="222890"/>
    <s v="People128"/>
    <s v="department"/>
    <s v="REGION4"/>
    <s v="STORE108"/>
    <s v="MANAGER14"/>
    <s v="POSITIVO"/>
    <d v="1899-12-31T12:00:00"/>
    <m/>
    <d v="1899-12-31T12:00:00"/>
    <s v="POSITION4"/>
    <x v="3"/>
    <s v="STORE108"/>
  </r>
  <r>
    <n v="222895"/>
    <s v="People129"/>
    <s v="department"/>
    <s v="REGION4"/>
    <s v="STORE109"/>
    <s v="MANAGER69"/>
    <s v="POSITIVO"/>
    <d v="1899-12-30T00:09:00"/>
    <m/>
    <d v="1899-12-30T00:09:00"/>
    <s v="POSITION1"/>
    <x v="3"/>
    <s v="STORE109"/>
  </r>
  <r>
    <n v="222928"/>
    <s v="People130"/>
    <s v="department"/>
    <s v="REGION4"/>
    <s v="STORE109"/>
    <s v="MANAGER69"/>
    <s v="POSITIVO"/>
    <d v="1899-12-30T07:21:00"/>
    <m/>
    <d v="1899-12-30T07:21:00"/>
    <s v="POSITION1"/>
    <x v="3"/>
    <s v="STORE109"/>
  </r>
  <r>
    <n v="222964"/>
    <s v="People131"/>
    <s v="department"/>
    <s v="REGION3"/>
    <s v="STORE110"/>
    <s v="MANAGER51"/>
    <s v="NEGATIVO"/>
    <d v="1899-12-30T21:44:00"/>
    <d v="1899-12-30T21:44:00"/>
    <m/>
    <s v="POSITION1"/>
    <x v="2"/>
    <s v="STORE110"/>
  </r>
  <r>
    <n v="222968"/>
    <s v="People132"/>
    <s v="department"/>
    <s v="REGION1"/>
    <s v="STORE111"/>
    <s v="MANAGER45"/>
    <s v="NEGATIVO"/>
    <d v="1899-12-30T23:23:00"/>
    <d v="1899-12-30T23:23:00"/>
    <m/>
    <s v="POSITION1"/>
    <x v="0"/>
    <s v="STORE111"/>
  </r>
  <r>
    <n v="222975"/>
    <s v="People133"/>
    <s v="department"/>
    <s v="REGION6"/>
    <s v="STORE112"/>
    <s v="MANAGER6"/>
    <s v="NEGATIVO"/>
    <d v="1899-12-30T03:36:00"/>
    <d v="1899-12-30T03:36:00"/>
    <m/>
    <s v="POSITION3"/>
    <x v="5"/>
    <s v="STORE112"/>
  </r>
  <r>
    <n v="222978"/>
    <s v="People134"/>
    <s v="department"/>
    <s v="REGION7"/>
    <s v="STORE113"/>
    <s v="MANAGER49"/>
    <s v="POSITIVO"/>
    <d v="1899-12-30T16:43:00"/>
    <m/>
    <d v="1899-12-30T16:43:00"/>
    <s v="POSITION1"/>
    <x v="6"/>
    <s v="STORE113"/>
  </r>
  <r>
    <n v="222991"/>
    <s v="People135"/>
    <s v="department"/>
    <s v="REGION9"/>
    <s v="STORE93"/>
    <s v="MANAGER63"/>
    <s v="NEGATIVO"/>
    <d v="1900-01-04T09:46:00"/>
    <d v="1900-01-04T09:46:00"/>
    <m/>
    <s v="POSITION6"/>
    <x v="8"/>
    <s v="STORE93"/>
  </r>
  <r>
    <n v="223004"/>
    <s v="People136"/>
    <s v="department"/>
    <s v="REGION6"/>
    <s v="STORE114"/>
    <s v="MANAGER70"/>
    <s v="NEGATIVO"/>
    <d v="1899-12-30T01:58:00"/>
    <d v="1899-12-30T01:58:00"/>
    <m/>
    <s v="POSITION5"/>
    <x v="5"/>
    <s v="STORE114"/>
  </r>
  <r>
    <n v="223024"/>
    <s v="People137"/>
    <s v="department"/>
    <s v="REGION2"/>
    <s v="STORE115"/>
    <s v="MANAGER71"/>
    <s v="POSITIVO"/>
    <d v="1899-12-31T00:34:00"/>
    <m/>
    <d v="1899-12-31T00:34:00"/>
    <s v="POSITION1"/>
    <x v="1"/>
    <s v="STORE115"/>
  </r>
  <r>
    <n v="223055"/>
    <s v="People138"/>
    <s v="department"/>
    <s v="REGION8"/>
    <s v="STORE116"/>
    <s v="MANAGER72"/>
    <s v="NEGATIVO"/>
    <d v="1899-12-30T19:30:00"/>
    <d v="1899-12-30T19:30:00"/>
    <m/>
    <s v="POSITION1"/>
    <x v="7"/>
    <s v="STORE116"/>
  </r>
  <r>
    <n v="223069"/>
    <s v="People139"/>
    <s v="department"/>
    <s v="REGION4"/>
    <s v="STORE117"/>
    <s v="MANAGER69"/>
    <s v="POSITIVO"/>
    <d v="1899-12-30T00:10:00"/>
    <m/>
    <d v="1899-12-30T00:10:00"/>
    <s v="POSITION6"/>
    <x v="3"/>
    <s v="STORE117"/>
  </r>
  <r>
    <n v="223095"/>
    <s v="People140"/>
    <s v="department"/>
    <s v="REGION4"/>
    <s v="STORE8"/>
    <s v="MANAGER4"/>
    <s v="POSITIVO"/>
    <d v="1899-12-30T05:54:00"/>
    <m/>
    <d v="1899-12-30T05:54:00"/>
    <s v="POSITION1"/>
    <x v="3"/>
    <s v="STORE8"/>
  </r>
  <r>
    <n v="223182"/>
    <s v="People141"/>
    <s v="department"/>
    <s v="REGION3"/>
    <s v="STORE118"/>
    <s v="MANAGER73"/>
    <s v="NEGATIVO"/>
    <d v="1899-12-30T15:26:00"/>
    <d v="1899-12-30T15:26:00"/>
    <m/>
    <s v="POSITION1"/>
    <x v="2"/>
    <s v="STORE118"/>
  </r>
  <r>
    <n v="223207"/>
    <s v="People142"/>
    <s v="department"/>
    <s v="REGION9"/>
    <s v="STORE119"/>
    <s v="MANAGER74"/>
    <s v="POSITIVO"/>
    <d v="1899-12-30T14:59:00"/>
    <m/>
    <d v="1899-12-30T14:59:00"/>
    <s v="POSITION1"/>
    <x v="8"/>
    <s v="STORE119"/>
  </r>
  <r>
    <n v="223219"/>
    <s v="People143"/>
    <s v="department"/>
    <s v="REGION9"/>
    <s v="STORE119"/>
    <s v="MANAGER74"/>
    <s v="NEGATIVO"/>
    <d v="1900-01-11T23:57:00"/>
    <d v="1900-01-11T23:57:00"/>
    <m/>
    <s v="POSITION1"/>
    <x v="8"/>
    <s v="STORE119"/>
  </r>
  <r>
    <n v="223220"/>
    <s v="People144"/>
    <s v="department"/>
    <s v="REGION6"/>
    <s v="STORE120"/>
    <s v="MANAGER75"/>
    <s v="POSITIVO"/>
    <d v="1899-12-31T08:37:00"/>
    <m/>
    <d v="1899-12-31T08:37:00"/>
    <s v="POSITION6"/>
    <x v="5"/>
    <s v="STORE120"/>
  </r>
  <r>
    <n v="223224"/>
    <s v="People145"/>
    <s v="department"/>
    <s v="REGION5"/>
    <s v="STORE121"/>
    <s v="MANAGER24"/>
    <s v="NEGATIVO"/>
    <d v="1900-01-07T07:01:00"/>
    <d v="1900-01-07T07:01:00"/>
    <m/>
    <s v="POSITION1"/>
    <x v="4"/>
    <s v="STORE121"/>
  </r>
  <r>
    <n v="223261"/>
    <s v="People146"/>
    <s v="department"/>
    <s v="REGION1"/>
    <s v="STORE1"/>
    <s v="MANAGER1"/>
    <s v="POSITIVO"/>
    <d v="1899-12-30T21:35:00"/>
    <m/>
    <d v="1899-12-30T21:35:00"/>
    <s v="POSITION1"/>
    <x v="0"/>
    <s v="STORE1"/>
  </r>
  <r>
    <n v="223287"/>
    <s v="People147"/>
    <s v="department"/>
    <s v="REGION8"/>
    <s v="STORE122"/>
    <s v="MANAGER72"/>
    <s v="NEGATIVO"/>
    <d v="1900-01-05T10:01:00"/>
    <d v="1900-01-05T10:01:00"/>
    <m/>
    <s v="POSITION5"/>
    <x v="7"/>
    <s v="STORE122"/>
  </r>
  <r>
    <n v="223302"/>
    <s v="People148"/>
    <s v="department"/>
    <s v="REGION1"/>
    <s v="STORE123"/>
    <s v="MANAGER76"/>
    <s v="NEGATIVO"/>
    <d v="1900-01-10T18:17:00"/>
    <d v="1900-01-10T18:17:00"/>
    <m/>
    <s v="POSITION1"/>
    <x v="0"/>
    <s v="STORE123"/>
  </r>
  <r>
    <n v="223317"/>
    <s v="People149"/>
    <s v="department"/>
    <s v="REGION4"/>
    <s v="STORE124"/>
    <s v="MANAGER43"/>
    <s v="NEGATIVO"/>
    <d v="1899-12-30T06:22:00"/>
    <d v="1899-12-30T06:22:00"/>
    <m/>
    <s v="POSITION1"/>
    <x v="3"/>
    <s v="STORE124"/>
  </r>
  <r>
    <n v="223356"/>
    <s v="People150"/>
    <s v="department"/>
    <s v="REGION9"/>
    <s v="STORE125"/>
    <s v="MANAGER63"/>
    <s v="NEGATIVO"/>
    <d v="1899-12-30T15:47:00"/>
    <d v="1899-12-30T15:47:00"/>
    <m/>
    <s v="POSITION1"/>
    <x v="8"/>
    <s v="STORE125"/>
  </r>
  <r>
    <n v="223364"/>
    <s v="People151"/>
    <s v="department"/>
    <s v="REGION9"/>
    <s v="STORE126"/>
    <s v="MANAGER74"/>
    <s v="NEGATIVO"/>
    <d v="1899-12-30T04:45:00"/>
    <d v="1899-12-30T04:45:00"/>
    <m/>
    <s v="POSITION6"/>
    <x v="8"/>
    <s v="STORE126"/>
  </r>
  <r>
    <n v="223399"/>
    <s v="People152"/>
    <s v="department"/>
    <s v="REGION4"/>
    <s v="STORE42"/>
    <s v="MANAGER29"/>
    <s v="POSITIVO"/>
    <d v="1899-12-31T21:28:00"/>
    <m/>
    <d v="1899-12-31T21:28:00"/>
    <s v="POSITION6"/>
    <x v="3"/>
    <s v="STORE42"/>
  </r>
  <r>
    <n v="223424"/>
    <s v="People153"/>
    <s v="department"/>
    <s v="REGION1"/>
    <s v="STORE127"/>
    <s v="MANAGER39"/>
    <s v="POSITIVO"/>
    <d v="1899-12-31T03:42:00"/>
    <m/>
    <d v="1899-12-31T03:42:00"/>
    <s v="POSITION1"/>
    <x v="0"/>
    <s v="STORE127"/>
  </r>
  <r>
    <n v="223504"/>
    <s v="People154"/>
    <s v="department"/>
    <s v="REGION5"/>
    <s v="STORE9"/>
    <s v="MANAGER5"/>
    <s v="NEGATIVO"/>
    <d v="1900-01-25T06:58:00"/>
    <d v="1900-01-25T06:58:00"/>
    <m/>
    <s v="POSITION6"/>
    <x v="4"/>
    <s v="STORE9"/>
  </r>
  <r>
    <n v="223539"/>
    <s v="People155"/>
    <s v="department"/>
    <s v="REGION9"/>
    <s v="STORE53"/>
    <s v="MANAGER36"/>
    <s v="NEGATIVO"/>
    <d v="1900-01-11T13:44:00"/>
    <d v="1900-01-11T13:44:00"/>
    <m/>
    <s v="POSITION5"/>
    <x v="8"/>
    <s v="STORE53"/>
  </r>
  <r>
    <n v="223543"/>
    <s v="People156"/>
    <s v="department"/>
    <s v="REGION5"/>
    <s v="STORE128"/>
    <s v="MANAGER77"/>
    <s v="NEGATIVO"/>
    <d v="1900-01-05T08:00:00"/>
    <d v="1900-01-05T08:00:00"/>
    <m/>
    <s v="POSITION1"/>
    <x v="4"/>
    <s v="STORE128"/>
  </r>
  <r>
    <n v="223555"/>
    <s v="People157"/>
    <s v="department"/>
    <s v="REGION7"/>
    <s v="STORE129"/>
    <s v="MANAGER55"/>
    <s v="POSITIVO"/>
    <d v="1899-12-30T15:09:00"/>
    <m/>
    <d v="1899-12-30T15:09:00"/>
    <s v="POSITION1"/>
    <x v="6"/>
    <s v="STORE129"/>
  </r>
  <r>
    <n v="223561"/>
    <s v="People158"/>
    <s v="department"/>
    <s v="REGION4"/>
    <s v="STORE130"/>
    <s v="MANAGER78"/>
    <s v="NEGATIVO"/>
    <d v="1899-12-30T03:10:00"/>
    <d v="1899-12-30T03:10:00"/>
    <m/>
    <s v="POSITION1"/>
    <x v="3"/>
    <s v="STORE130"/>
  </r>
  <r>
    <n v="223688"/>
    <s v="People159"/>
    <s v="department"/>
    <s v="REGION9"/>
    <s v="STORE131"/>
    <s v="MANAGER79"/>
    <s v="NEGATIVO"/>
    <d v="1899-12-30T01:40:00"/>
    <d v="1899-12-30T01:40:00"/>
    <m/>
    <s v="POSITION1"/>
    <x v="8"/>
    <s v="STORE131"/>
  </r>
  <r>
    <n v="223712"/>
    <s v="People160"/>
    <s v="department"/>
    <s v="REGION3"/>
    <s v="STORE132"/>
    <s v="MANAGER3"/>
    <s v="POSITIVO"/>
    <d v="1899-12-31T03:21:00"/>
    <m/>
    <d v="1899-12-31T03:21:00"/>
    <s v="POSITION3"/>
    <x v="2"/>
    <s v="STORE132"/>
  </r>
  <r>
    <n v="223744"/>
    <s v="People161"/>
    <s v="department"/>
    <s v="REGION2"/>
    <s v="STORE133"/>
    <s v="MANAGER80"/>
    <s v="NEGATIVO"/>
    <d v="1899-12-31T15:01:00"/>
    <d v="1899-12-31T15:01:00"/>
    <m/>
    <s v="POSITION6"/>
    <x v="1"/>
    <s v="STORE133"/>
  </r>
  <r>
    <n v="223754"/>
    <s v="People162"/>
    <s v="department"/>
    <s v="REGION3"/>
    <s v="STORE134"/>
    <s v="MANAGER81"/>
    <s v="NEGATIVO"/>
    <d v="1899-12-30T04:15:00"/>
    <d v="1899-12-30T04:15:00"/>
    <m/>
    <s v="POSITION5"/>
    <x v="2"/>
    <s v="STORE134"/>
  </r>
  <r>
    <n v="223765"/>
    <s v="People163"/>
    <s v="department"/>
    <s v="REGION3"/>
    <s v="STORE135"/>
    <s v="MANAGER81"/>
    <s v="POSITIVO"/>
    <d v="1899-12-30T05:38:00"/>
    <m/>
    <d v="1899-12-30T05:38:00"/>
    <s v="POSITION1"/>
    <x v="2"/>
    <s v="STORE135"/>
  </r>
  <r>
    <n v="223768"/>
    <s v="People164"/>
    <s v="department"/>
    <s v="REGION3"/>
    <s v="STORE136"/>
    <s v="MANAGER82"/>
    <s v="NEGATIVO"/>
    <d v="1899-12-30T03:17:00"/>
    <d v="1899-12-30T03:17:00"/>
    <m/>
    <s v="POSITION1"/>
    <x v="2"/>
    <s v="STORE136"/>
  </r>
  <r>
    <n v="223787"/>
    <s v="People165"/>
    <s v="department"/>
    <s v="REGION3"/>
    <s v="STORE134"/>
    <s v="MANAGER81"/>
    <s v="NEGATIVO"/>
    <d v="1899-12-30T08:37:00"/>
    <d v="1899-12-30T08:37:00"/>
    <m/>
    <s v="POSITION6"/>
    <x v="2"/>
    <s v="STORE134"/>
  </r>
  <r>
    <n v="223793"/>
    <s v="People166"/>
    <s v="department"/>
    <s v="REGION7"/>
    <s v="STORE137"/>
    <s v="MANAGER83"/>
    <s v="POSITIVO"/>
    <d v="1899-12-30T09:42:00"/>
    <m/>
    <d v="1899-12-30T09:42:00"/>
    <s v="POSITION1"/>
    <x v="6"/>
    <s v="STORE137"/>
  </r>
  <r>
    <n v="223801"/>
    <s v="People167"/>
    <s v="department"/>
    <s v="REGION2"/>
    <s v="STORE138"/>
    <s v="MANAGER23"/>
    <s v="NEGATIVO"/>
    <d v="1899-12-31T07:11:00"/>
    <d v="1899-12-31T07:11:00"/>
    <m/>
    <s v="POSITION1"/>
    <x v="1"/>
    <s v="STORE138"/>
  </r>
  <r>
    <n v="223821"/>
    <s v="People168"/>
    <s v="department"/>
    <s v="REGION2"/>
    <s v="STORE133"/>
    <s v="MANAGER80"/>
    <s v="NEGATIVO"/>
    <d v="1899-12-30T04:12:00"/>
    <d v="1899-12-30T04:12:00"/>
    <m/>
    <s v="POSITION5"/>
    <x v="1"/>
    <s v="STORE133"/>
  </r>
  <r>
    <n v="223849"/>
    <s v="People169"/>
    <s v="department"/>
    <s v="REGION6"/>
    <s v="STORE139"/>
    <s v="MANAGER42"/>
    <s v="POSITIVO"/>
    <d v="1900-01-02T13:17:00"/>
    <m/>
    <d v="1900-01-02T13:17:00"/>
    <s v="POSITION1"/>
    <x v="5"/>
    <s v="STORE139"/>
  </r>
  <r>
    <n v="223941"/>
    <s v="People170"/>
    <s v="department"/>
    <s v="REGION7"/>
    <s v="STORE140"/>
    <s v="MANAGER58"/>
    <s v="POSITIVO"/>
    <d v="1899-12-30T06:48:00"/>
    <m/>
    <d v="1899-12-30T06:48:00"/>
    <s v="POSITION1"/>
    <x v="6"/>
    <s v="STORE140"/>
  </r>
  <r>
    <n v="223942"/>
    <s v="People171"/>
    <s v="department"/>
    <s v="REGION5"/>
    <s v="STORE121"/>
    <s v="MANAGER24"/>
    <s v="NEGATIVO"/>
    <d v="1900-01-03T23:58:00"/>
    <d v="1900-01-03T23:58:00"/>
    <m/>
    <s v="POSITION1"/>
    <x v="4"/>
    <s v="STORE121"/>
  </r>
  <r>
    <n v="223943"/>
    <s v="People172"/>
    <s v="department"/>
    <s v="REGION6"/>
    <s v="STORE90"/>
    <s v="MANAGER60"/>
    <s v="POSITIVO"/>
    <d v="1900-01-06T14:47:00"/>
    <m/>
    <d v="1900-01-06T14:47:00"/>
    <s v="POSITION1"/>
    <x v="5"/>
    <s v="STORE90"/>
  </r>
  <r>
    <n v="223959"/>
    <s v="People173"/>
    <s v="department"/>
    <s v="REGION9"/>
    <s v="STORE141"/>
    <s v="MANAGER25"/>
    <s v="POSITIVO"/>
    <d v="1899-12-30T16:29:00"/>
    <m/>
    <d v="1899-12-30T16:29:00"/>
    <s v="POSITION1"/>
    <x v="8"/>
    <s v="STORE141"/>
  </r>
  <r>
    <n v="224001"/>
    <s v="People174"/>
    <s v="department"/>
    <s v="REGION5"/>
    <s v="STORE142"/>
    <s v="MANAGER32"/>
    <s v="NEGATIVO"/>
    <d v="1900-01-01T17:35:00"/>
    <d v="1900-01-01T17:35:00"/>
    <m/>
    <s v="POSITION1"/>
    <x v="4"/>
    <s v="STORE142"/>
  </r>
  <r>
    <n v="224044"/>
    <s v="People175"/>
    <s v="department"/>
    <s v="REGION3"/>
    <s v="STORE143"/>
    <s v="MANAGER3"/>
    <s v="NEGATIVO"/>
    <d v="1899-12-30T20:17:00"/>
    <d v="1899-12-30T20:17:00"/>
    <m/>
    <s v="POSITION3"/>
    <x v="2"/>
    <s v="STORE143"/>
  </r>
  <r>
    <n v="224085"/>
    <s v="People176"/>
    <s v="department"/>
    <s v="REGION9"/>
    <s v="STORE144"/>
    <s v="MANAGER84"/>
    <s v="NEGATIVO"/>
    <d v="1899-12-31T17:48:00"/>
    <d v="1899-12-31T17:48:00"/>
    <m/>
    <s v="POSITION5"/>
    <x v="8"/>
    <s v="STORE144"/>
  </r>
  <r>
    <n v="224123"/>
    <s v="People177"/>
    <s v="department"/>
    <s v="REGION7"/>
    <s v="STORE31"/>
    <s v="MANAGER19"/>
    <s v="NEGATIVO"/>
    <d v="1899-12-30T00:24:00"/>
    <d v="1899-12-30T00:24:00"/>
    <m/>
    <s v="POSITION7"/>
    <x v="6"/>
    <s v="STORE31"/>
  </r>
  <r>
    <n v="224160"/>
    <s v="People178"/>
    <s v="department"/>
    <s v="REGION4"/>
    <s v="STORE145"/>
    <s v="MANAGER29"/>
    <s v="NEGATIVO"/>
    <d v="1899-12-30T08:42:00"/>
    <d v="1899-12-30T08:42:00"/>
    <m/>
    <s v="POSITION1"/>
    <x v="3"/>
    <s v="STORE145"/>
  </r>
  <r>
    <n v="224184"/>
    <s v="People179"/>
    <s v="department"/>
    <s v="REGION3"/>
    <s v="STORE76"/>
    <s v="MANAGER51"/>
    <s v="POSITIVO"/>
    <d v="1899-12-30T04:25:00"/>
    <m/>
    <d v="1899-12-30T04:25:00"/>
    <s v="POSITION5"/>
    <x v="2"/>
    <s v="STORE76"/>
  </r>
  <r>
    <n v="224226"/>
    <s v="People180"/>
    <s v="department"/>
    <s v="REGION9"/>
    <s v="STORE146"/>
    <s v="MANAGER10"/>
    <s v="POSITIVO"/>
    <d v="1899-12-30T01:15:00"/>
    <m/>
    <d v="1899-12-30T01:15:00"/>
    <s v="POSITION3"/>
    <x v="8"/>
    <s v="STORE146"/>
  </r>
  <r>
    <n v="224228"/>
    <s v="People181"/>
    <s v="department"/>
    <s v="REGION4"/>
    <s v="STORE8"/>
    <s v="MANAGER4"/>
    <s v="NEGATIVO"/>
    <d v="1900-01-01T08:01:00"/>
    <d v="1900-01-01T08:01:00"/>
    <m/>
    <s v="POSITION1"/>
    <x v="3"/>
    <s v="STORE8"/>
  </r>
  <r>
    <n v="224229"/>
    <s v="People182"/>
    <s v="department"/>
    <s v="REGION3"/>
    <s v="STORE147"/>
    <s v="MANAGER85"/>
    <s v="NEGATIVO"/>
    <d v="1899-12-30T07:21:00"/>
    <d v="1899-12-30T07:21:00"/>
    <m/>
    <s v="POSITION6"/>
    <x v="2"/>
    <s v="STORE147"/>
  </r>
  <r>
    <n v="224230"/>
    <s v="People183"/>
    <s v="department"/>
    <s v="REGION3"/>
    <s v="STORE147"/>
    <s v="MANAGER85"/>
    <s v="POSITIVO"/>
    <d v="1899-12-30T11:33:00"/>
    <m/>
    <d v="1899-12-30T11:33:00"/>
    <s v="POSITION5"/>
    <x v="2"/>
    <s v="STORE147"/>
  </r>
  <r>
    <n v="224240"/>
    <s v="People184"/>
    <s v="department"/>
    <s v="REGION4"/>
    <s v="STORE148"/>
    <s v="MANAGER14"/>
    <s v="POSITIVO"/>
    <d v="1899-12-30T03:04:00"/>
    <m/>
    <d v="1899-12-30T03:04:00"/>
    <s v="POSITION2"/>
    <x v="3"/>
    <s v="STORE148"/>
  </r>
  <r>
    <n v="224286"/>
    <s v="People185"/>
    <s v="department"/>
    <s v="REGION3"/>
    <s v="STORE118"/>
    <s v="MANAGER73"/>
    <s v="POSITIVO"/>
    <d v="1899-12-31T03:21:00"/>
    <m/>
    <d v="1899-12-31T03:21:00"/>
    <s v="POSITION1"/>
    <x v="2"/>
    <s v="STORE118"/>
  </r>
  <r>
    <n v="224292"/>
    <s v="People186"/>
    <s v="department"/>
    <s v="REGION3"/>
    <s v="STORE149"/>
    <s v="MANAGER85"/>
    <s v="NEGATIVO"/>
    <d v="1900-01-07T04:18:00"/>
    <d v="1900-01-07T04:18:00"/>
    <m/>
    <s v="POSITION1"/>
    <x v="2"/>
    <s v="STORE149"/>
  </r>
  <r>
    <n v="224294"/>
    <s v="People187"/>
    <s v="department"/>
    <s v="REGION3"/>
    <s v="STORE149"/>
    <s v="MANAGER85"/>
    <s v="NEGATIVO"/>
    <d v="1899-12-30T04:18:00"/>
    <d v="1899-12-30T04:18:00"/>
    <m/>
    <s v="POSITION1"/>
    <x v="2"/>
    <s v="STORE149"/>
  </r>
  <r>
    <n v="224321"/>
    <s v="People188"/>
    <s v="department"/>
    <s v="REGION9"/>
    <s v="STORE150"/>
    <s v="MANAGER79"/>
    <s v="POSITIVO"/>
    <d v="1899-12-30T17:39:00"/>
    <m/>
    <d v="1899-12-30T17:39:00"/>
    <s v="POSITION6"/>
    <x v="8"/>
    <s v="STORE150"/>
  </r>
  <r>
    <n v="224329"/>
    <s v="People189"/>
    <s v="department"/>
    <s v="REGION7"/>
    <s v="STORE151"/>
    <s v="MANAGER54"/>
    <s v="NEGATIVO"/>
    <d v="1899-12-30T17:48:00"/>
    <d v="1899-12-30T17:48:00"/>
    <m/>
    <s v="POSITION1"/>
    <x v="6"/>
    <s v="STORE151"/>
  </r>
  <r>
    <n v="224380"/>
    <s v="People190"/>
    <s v="department"/>
    <s v="REGION4"/>
    <s v="STORE124"/>
    <s v="MANAGER43"/>
    <s v="NEGATIVO"/>
    <d v="1899-12-30T14:43:00"/>
    <d v="1899-12-30T14:43:00"/>
    <m/>
    <s v="POSITION1"/>
    <x v="3"/>
    <s v="STORE124"/>
  </r>
  <r>
    <n v="224387"/>
    <s v="People191"/>
    <s v="department"/>
    <s v="REGION3"/>
    <s v="STORE102"/>
    <s v="MANAGER12"/>
    <s v="POSITIVO"/>
    <d v="1899-12-30T06:01:00"/>
    <m/>
    <d v="1899-12-30T06:01:00"/>
    <s v="POSITION1"/>
    <x v="2"/>
    <s v="STORE102"/>
  </r>
  <r>
    <n v="224455"/>
    <s v="People192"/>
    <s v="department"/>
    <s v="REGION1"/>
    <s v="STORE152"/>
    <s v="MANAGER68"/>
    <s v="NEGATIVO"/>
    <d v="1899-12-30T05:31:00"/>
    <d v="1899-12-30T05:31:00"/>
    <m/>
    <s v="POSITION1"/>
    <x v="0"/>
    <s v="STORE152"/>
  </r>
  <r>
    <n v="224461"/>
    <s v="People193"/>
    <s v="department"/>
    <s v="REGION9"/>
    <s v="STORE153"/>
    <s v="MANAGER10"/>
    <s v="POSITIVO"/>
    <d v="1899-12-30T11:34:00"/>
    <m/>
    <d v="1899-12-30T11:34:00"/>
    <s v="POSITION4"/>
    <x v="8"/>
    <s v="STORE153"/>
  </r>
  <r>
    <n v="224468"/>
    <s v="People194"/>
    <s v="department"/>
    <s v="REGION9"/>
    <s v="STORE37"/>
    <s v="MANAGER25"/>
    <s v="NEGATIVO"/>
    <d v="1899-12-31T07:09:00"/>
    <d v="1899-12-31T07:09:00"/>
    <m/>
    <s v="POSITION6"/>
    <x v="8"/>
    <s v="STORE37"/>
  </r>
  <r>
    <n v="224469"/>
    <s v="People195"/>
    <s v="department"/>
    <s v="REGION9"/>
    <s v="STORE154"/>
    <s v="MANAGER10"/>
    <s v="NEGATIVO"/>
    <d v="1899-12-31T11:46:00"/>
    <d v="1899-12-31T11:46:00"/>
    <m/>
    <s v="POSITION4"/>
    <x v="8"/>
    <s v="STORE154"/>
  </r>
  <r>
    <n v="224472"/>
    <s v="People196"/>
    <s v="department"/>
    <s v="REGION5"/>
    <s v="STORE121"/>
    <s v="MANAGER24"/>
    <s v="NEGATIVO"/>
    <d v="1900-01-12T23:24:00"/>
    <d v="1900-01-12T23:24:00"/>
    <m/>
    <s v="POSITION1"/>
    <x v="4"/>
    <s v="STORE121"/>
  </r>
  <r>
    <n v="224489"/>
    <s v="People197"/>
    <s v="department"/>
    <s v="REGION3"/>
    <s v="STORE155"/>
    <s v="MANAGER86"/>
    <s v="NEGATIVO"/>
    <d v="1899-12-30T20:38:00"/>
    <d v="1899-12-30T20:38:00"/>
    <m/>
    <s v="POSITION6"/>
    <x v="2"/>
    <s v="STORE155"/>
  </r>
  <r>
    <n v="224507"/>
    <s v="People198"/>
    <s v="department"/>
    <s v="REGION6"/>
    <s v="STORE156"/>
    <s v="MANAGER70"/>
    <s v="NEGATIVO"/>
    <d v="1899-12-30T13:56:00"/>
    <d v="1899-12-30T13:56:00"/>
    <m/>
    <s v="POSITION1"/>
    <x v="5"/>
    <s v="STORE156"/>
  </r>
  <r>
    <n v="224508"/>
    <s v="People199"/>
    <s v="department"/>
    <s v="REGION8"/>
    <s v="STORE41"/>
    <s v="MANAGER28"/>
    <s v="POSITIVO"/>
    <d v="1899-12-30T05:20:00"/>
    <m/>
    <d v="1899-12-30T05:20:00"/>
    <s v="POSITION5"/>
    <x v="7"/>
    <s v="STORE41"/>
  </r>
  <r>
    <n v="224532"/>
    <s v="People200"/>
    <s v="department"/>
    <s v="REGION6"/>
    <s v="STORE86"/>
    <s v="MANAGER57"/>
    <s v="POSITIVO"/>
    <d v="1899-12-30T00:11:00"/>
    <m/>
    <d v="1899-12-30T00:11:00"/>
    <s v="POSITION6"/>
    <x v="5"/>
    <s v="STORE86"/>
  </r>
  <r>
    <n v="224548"/>
    <s v="People201"/>
    <s v="department"/>
    <s v="REGION5"/>
    <s v="STORE157"/>
    <s v="MANAGER17"/>
    <s v="NEGATIVO"/>
    <d v="1900-01-01T11:53:00"/>
    <d v="1900-01-01T11:53:00"/>
    <m/>
    <s v="POSITION1"/>
    <x v="4"/>
    <s v="STORE157"/>
  </r>
  <r>
    <n v="224554"/>
    <s v="People202"/>
    <s v="department"/>
    <s v="REGION7"/>
    <s v="STORE74"/>
    <s v="MANAGER49"/>
    <s v="NEGATIVO"/>
    <d v="1899-12-30T01:22:00"/>
    <d v="1899-12-30T01:22:00"/>
    <m/>
    <s v="POSITION5"/>
    <x v="6"/>
    <s v="STORE74"/>
  </r>
  <r>
    <n v="224555"/>
    <s v="People203"/>
    <s v="department"/>
    <s v="REGION2"/>
    <s v="STORE158"/>
    <s v="MANAGER80"/>
    <s v="POSITIVO"/>
    <d v="1899-12-30T08:39:00"/>
    <m/>
    <d v="1899-12-30T08:39:00"/>
    <s v="POSITION1"/>
    <x v="1"/>
    <s v="STORE158"/>
  </r>
  <r>
    <n v="224556"/>
    <s v="People204"/>
    <s v="department"/>
    <s v="REGION9"/>
    <s v="STORE125"/>
    <s v="MANAGER63"/>
    <s v="NEGATIVO"/>
    <d v="1899-12-30T07:09:00"/>
    <d v="1899-12-30T07:09:00"/>
    <m/>
    <s v="POSITION1"/>
    <x v="8"/>
    <s v="STORE125"/>
  </r>
  <r>
    <n v="224559"/>
    <s v="People205"/>
    <s v="department"/>
    <s v="REGION6"/>
    <s v="STORE159"/>
    <s v="MANAGER87"/>
    <s v="NEGATIVO"/>
    <d v="1899-12-31T01:31:00"/>
    <d v="1899-12-31T01:31:00"/>
    <m/>
    <s v="POSITION5"/>
    <x v="5"/>
    <s v="STORE159"/>
  </r>
  <r>
    <n v="224588"/>
    <s v="People206"/>
    <s v="department"/>
    <s v="REGION2"/>
    <s v="STORE160"/>
    <s v="MANAGER88"/>
    <s v="POSITIVO"/>
    <d v="1899-12-31T10:32:00"/>
    <m/>
    <d v="1899-12-31T10:32:00"/>
    <s v="POSITION1"/>
    <x v="1"/>
    <s v="STORE160"/>
  </r>
  <r>
    <n v="224602"/>
    <s v="People207"/>
    <s v="department"/>
    <s v="REGION9"/>
    <s v="STORE161"/>
    <s v="MANAGER56"/>
    <s v="POSITIVO"/>
    <d v="1899-12-30T21:19:00"/>
    <m/>
    <d v="1899-12-30T21:19:00"/>
    <s v="POSITION1"/>
    <x v="8"/>
    <s v="STORE161"/>
  </r>
  <r>
    <n v="224785"/>
    <s v="People208"/>
    <s v="department"/>
    <s v="REGION5"/>
    <s v="STORE162"/>
    <s v="MANAGER89"/>
    <s v="NEGATIVO"/>
    <d v="1900-01-05T22:30:00"/>
    <d v="1900-01-05T22:30:00"/>
    <m/>
    <s v="POSITION1"/>
    <x v="4"/>
    <s v="STORE162"/>
  </r>
  <r>
    <n v="224789"/>
    <s v="People209"/>
    <s v="department"/>
    <s v="REGION4"/>
    <s v="STORE124"/>
    <s v="MANAGER43"/>
    <s v="NEGATIVO"/>
    <d v="1899-12-30T02:30:00"/>
    <d v="1899-12-30T02:30:00"/>
    <m/>
    <s v="POSITION1"/>
    <x v="3"/>
    <s v="STORE124"/>
  </r>
  <r>
    <n v="224856"/>
    <s v="People210"/>
    <s v="department"/>
    <s v="REGION7"/>
    <s v="STORE163"/>
    <s v="MANAGER8"/>
    <s v="POSITIVO"/>
    <d v="1899-12-30T13:58:00"/>
    <m/>
    <d v="1899-12-30T13:58:00"/>
    <s v="POSITION3"/>
    <x v="6"/>
    <s v="STORE163"/>
  </r>
  <r>
    <n v="224948"/>
    <s v="People211"/>
    <s v="department"/>
    <s v="REGION7"/>
    <s v="STORE164"/>
    <s v="MANAGER31"/>
    <s v="POSITIVO"/>
    <d v="1899-12-31T00:04:00"/>
    <m/>
    <d v="1899-12-31T00:04:00"/>
    <s v="POSITION1"/>
    <x v="6"/>
    <s v="STORE164"/>
  </r>
  <r>
    <n v="224949"/>
    <s v="People212"/>
    <s v="department"/>
    <s v="REGION7"/>
    <s v="STORE165"/>
    <s v="MANAGER19"/>
    <s v="POSITIVO"/>
    <d v="1899-12-30T10:36:00"/>
    <m/>
    <d v="1899-12-30T10:36:00"/>
    <s v="POSITION1"/>
    <x v="6"/>
    <s v="STORE165"/>
  </r>
  <r>
    <n v="224953"/>
    <s v="People213"/>
    <s v="department"/>
    <s v="REGION3"/>
    <s v="STORE136"/>
    <s v="MANAGER82"/>
    <s v="POSITIVO"/>
    <d v="1899-12-30T02:30:00"/>
    <m/>
    <d v="1899-12-30T02:30:00"/>
    <s v="POSITION1"/>
    <x v="2"/>
    <s v="STORE136"/>
  </r>
  <r>
    <n v="224977"/>
    <s v="People214"/>
    <s v="department"/>
    <s v="REGION7"/>
    <s v="STORE83"/>
    <s v="MANAGER55"/>
    <s v="POSITIVO"/>
    <d v="1899-12-30T19:06:00"/>
    <m/>
    <d v="1899-12-30T19:06:00"/>
    <s v="POSITION6"/>
    <x v="6"/>
    <s v="STORE83"/>
  </r>
  <r>
    <n v="225046"/>
    <s v="People215"/>
    <s v="department"/>
    <s v="REGION1"/>
    <s v="STORE152"/>
    <s v="MANAGER68"/>
    <s v="NEGATIVO"/>
    <d v="1899-12-30T00:03:00"/>
    <d v="1899-12-30T00:03:00"/>
    <m/>
    <s v="POSITION1"/>
    <x v="0"/>
    <s v="STORE152"/>
  </r>
  <r>
    <n v="225048"/>
    <s v="People216"/>
    <s v="department"/>
    <s v="REGION6"/>
    <s v="STORE90"/>
    <s v="MANAGER60"/>
    <s v="NEGATIVO"/>
    <d v="1899-12-30T17:45:00"/>
    <d v="1899-12-30T17:45:00"/>
    <m/>
    <s v="POSITION1"/>
    <x v="5"/>
    <s v="STORE90"/>
  </r>
  <r>
    <n v="225122"/>
    <s v="People217"/>
    <s v="department"/>
    <s v="REGION9"/>
    <s v="STORE166"/>
    <s v="MANAGER90"/>
    <s v="NEGATIVO"/>
    <d v="1900-01-15T04:44:00"/>
    <d v="1900-01-15T04:44:00"/>
    <m/>
    <s v="POSITION8"/>
    <x v="8"/>
    <s v="STORE166"/>
  </r>
  <r>
    <n v="225152"/>
    <s v="People218"/>
    <s v="department"/>
    <s v="REGION5"/>
    <s v="STORE167"/>
    <s v="MANAGER91"/>
    <s v="POSITIVO"/>
    <d v="1899-12-31T11:03:00"/>
    <m/>
    <d v="1899-12-31T11:03:00"/>
    <s v="POSITION1"/>
    <x v="4"/>
    <s v="STORE167"/>
  </r>
  <r>
    <n v="225154"/>
    <s v="People219"/>
    <s v="department"/>
    <s v="REGION9"/>
    <s v="STORE168"/>
    <s v="MANAGER92"/>
    <s v="POSITIVO"/>
    <d v="1899-12-31T00:22:00"/>
    <m/>
    <d v="1899-12-31T00:22:00"/>
    <s v="POSITION1"/>
    <x v="8"/>
    <s v="STORE168"/>
  </r>
  <r>
    <n v="225158"/>
    <s v="People220"/>
    <s v="department"/>
    <s v="REGION6"/>
    <s v="STORE169"/>
    <s v="MANAGER33"/>
    <s v="NEGATIVO"/>
    <d v="1899-12-31T16:15:00"/>
    <d v="1899-12-31T16:15:00"/>
    <m/>
    <s v="POSITION1"/>
    <x v="5"/>
    <s v="STORE169"/>
  </r>
  <r>
    <n v="225192"/>
    <s v="People221"/>
    <s v="department"/>
    <s v="REGION4"/>
    <s v="STORE170"/>
    <s v="MANAGER93"/>
    <s v="POSITIVO"/>
    <d v="1900-01-01T07:03:00"/>
    <m/>
    <d v="1900-01-01T07:03:00"/>
    <s v="POSITION1"/>
    <x v="3"/>
    <s v="STORE170"/>
  </r>
  <r>
    <n v="225194"/>
    <s v="People222"/>
    <s v="department"/>
    <s v="REGION4"/>
    <s v="STORE170"/>
    <s v="MANAGER93"/>
    <s v="NEGATIVO"/>
    <d v="1899-12-30T18:24:00"/>
    <d v="1899-12-30T18:24:00"/>
    <m/>
    <s v="POSITION1"/>
    <x v="3"/>
    <s v="STORE170"/>
  </r>
  <r>
    <n v="225196"/>
    <s v="People223"/>
    <s v="department"/>
    <s v="REGION9"/>
    <s v="STORE171"/>
    <s v="MANAGER53"/>
    <s v="POSITIVO"/>
    <d v="1899-12-30T04:06:00"/>
    <m/>
    <d v="1899-12-30T04:06:00"/>
    <s v="POSITION1"/>
    <x v="8"/>
    <s v="STORE171"/>
  </r>
  <r>
    <n v="225263"/>
    <s v="People224"/>
    <s v="department"/>
    <s v="REGION4"/>
    <s v="STORE172"/>
    <s v="MANAGER93"/>
    <s v="POSITIVO"/>
    <d v="1899-12-30T07:21:00"/>
    <m/>
    <d v="1899-12-30T07:21:00"/>
    <s v="POSITION8"/>
    <x v="3"/>
    <s v="STORE172"/>
  </r>
  <r>
    <n v="225266"/>
    <s v="People225"/>
    <s v="department"/>
    <s v="REGION9"/>
    <s v="STORE173"/>
    <s v="MANAGER92"/>
    <s v="NEGATIVO"/>
    <d v="1899-12-30T06:52:00"/>
    <d v="1899-12-30T06:52:00"/>
    <m/>
    <s v="POSITION6"/>
    <x v="8"/>
    <s v="STORE173"/>
  </r>
  <r>
    <n v="225270"/>
    <s v="People226"/>
    <s v="department"/>
    <s v="REGION9"/>
    <s v="STORE173"/>
    <s v="MANAGER92"/>
    <s v="NEGATIVO"/>
    <d v="1899-12-30T04:12:00"/>
    <d v="1899-12-30T04:12:00"/>
    <m/>
    <s v="POSITION5"/>
    <x v="8"/>
    <s v="STORE173"/>
  </r>
  <r>
    <n v="225275"/>
    <s v="People227"/>
    <s v="department"/>
    <s v="REGION5"/>
    <s v="STORE174"/>
    <s v="MANAGER91"/>
    <s v="NEGATIVO"/>
    <d v="1900-01-07T11:44:00"/>
    <d v="1900-01-07T11:44:00"/>
    <m/>
    <s v="POSITION5"/>
    <x v="4"/>
    <s v="STORE174"/>
  </r>
  <r>
    <n v="225288"/>
    <s v="People228"/>
    <s v="department"/>
    <s v="REGION5"/>
    <s v="STORE175"/>
    <s v="MANAGER30"/>
    <s v="POSITIVO"/>
    <d v="1899-12-31T16:48:00"/>
    <m/>
    <d v="1899-12-31T16:48:00"/>
    <s v="POSITION1"/>
    <x v="4"/>
    <s v="STORE175"/>
  </r>
  <r>
    <n v="225329"/>
    <s v="People229"/>
    <s v="department"/>
    <s v="REGION5"/>
    <s v="STORE176"/>
    <s v="MANAGER7"/>
    <s v="POSITIVO"/>
    <d v="1899-12-30T23:21:00"/>
    <m/>
    <d v="1899-12-30T23:21:00"/>
    <s v="POSITION3"/>
    <x v="4"/>
    <s v="STORE176"/>
  </r>
  <r>
    <n v="225332"/>
    <s v="People230"/>
    <s v="department"/>
    <s v="REGION8"/>
    <s v="STORE177"/>
    <s v="MANAGER9"/>
    <s v="POSITIVO"/>
    <d v="1899-12-30T08:35:00"/>
    <m/>
    <d v="1899-12-30T08:35:00"/>
    <s v="POSITION3"/>
    <x v="7"/>
    <s v="STORE177"/>
  </r>
  <r>
    <n v="225337"/>
    <s v="People231"/>
    <s v="department"/>
    <s v="REGION2"/>
    <s v="STORE178"/>
    <s v="MANAGER27"/>
    <s v="POSITIVO"/>
    <d v="1899-12-31T20:50:00"/>
    <m/>
    <d v="1899-12-31T20:50:00"/>
    <s v="POSITION1"/>
    <x v="1"/>
    <s v="STORE178"/>
  </r>
  <r>
    <n v="225345"/>
    <s v="People232"/>
    <s v="department"/>
    <s v="REGION3"/>
    <s v="STORE179"/>
    <s v="MANAGER94"/>
    <s v="POSITIVO"/>
    <d v="1899-12-30T04:27:00"/>
    <m/>
    <d v="1899-12-30T04:27:00"/>
    <s v="POSITION1"/>
    <x v="2"/>
    <s v="STORE179"/>
  </r>
  <r>
    <n v="225392"/>
    <s v="People233"/>
    <s v="department"/>
    <s v="REGION8"/>
    <s v="STORE180"/>
    <s v="MANAGER95"/>
    <s v="POSITIVO"/>
    <d v="1900-01-02T10:07:00"/>
    <m/>
    <d v="1900-01-02T10:07:00"/>
    <s v="POSITION1"/>
    <x v="7"/>
    <s v="STORE180"/>
  </r>
  <r>
    <n v="225453"/>
    <s v="People234"/>
    <s v="department"/>
    <s v="REGION8"/>
    <s v="STORE181"/>
    <s v="MANAGER95"/>
    <s v="NEGATIVO"/>
    <d v="1900-01-07T12:51:00"/>
    <d v="1900-01-07T12:51:00"/>
    <m/>
    <s v="POSITION6"/>
    <x v="7"/>
    <s v="STORE181"/>
  </r>
  <r>
    <n v="225454"/>
    <s v="People235"/>
    <s v="department"/>
    <s v="REGION8"/>
    <s v="STORE181"/>
    <s v="MANAGER95"/>
    <s v="NEGATIVO"/>
    <d v="1900-01-04T09:48:00"/>
    <d v="1900-01-04T09:48:00"/>
    <m/>
    <s v="POSITION5"/>
    <x v="7"/>
    <s v="STORE181"/>
  </r>
  <r>
    <n v="225462"/>
    <s v="People236"/>
    <s v="department"/>
    <s v="REGION8"/>
    <s v="STORE122"/>
    <s v="MANAGER72"/>
    <s v="POSITIVO"/>
    <d v="1899-12-30T01:44:00"/>
    <m/>
    <d v="1899-12-30T01:44:00"/>
    <s v="POSITION6"/>
    <x v="7"/>
    <s v="STORE122"/>
  </r>
  <r>
    <n v="225474"/>
    <s v="People237"/>
    <s v="department"/>
    <s v="REGION6"/>
    <s v="STORE120"/>
    <s v="MANAGER75"/>
    <s v="POSITIVO"/>
    <d v="1900-01-09T18:00:00"/>
    <m/>
    <d v="1900-01-09T18:00:00"/>
    <s v="POSITION5"/>
    <x v="5"/>
    <s v="STORE120"/>
  </r>
  <r>
    <n v="225492"/>
    <s v="People238"/>
    <s v="department"/>
    <s v="REGION7"/>
    <s v="STORE182"/>
    <s v="MANAGER31"/>
    <s v="NEGATIVO"/>
    <d v="1899-12-30T01:06:00"/>
    <d v="1899-12-30T01:06:00"/>
    <m/>
    <s v="POSITION1"/>
    <x v="6"/>
    <s v="STORE182"/>
  </r>
  <r>
    <n v="225494"/>
    <s v="People239"/>
    <s v="department"/>
    <s v="REGION9"/>
    <s v="STORE125"/>
    <s v="MANAGER63"/>
    <s v="POSITIVO"/>
    <d v="1899-12-30T00:06:00"/>
    <m/>
    <d v="1899-12-30T00:06:00"/>
    <s v="POSITION1"/>
    <x v="8"/>
    <s v="STORE125"/>
  </r>
  <r>
    <n v="225501"/>
    <s v="People240"/>
    <s v="department"/>
    <s v="REGION2"/>
    <s v="STORE39"/>
    <s v="MANAGER27"/>
    <s v="NEGATIVO"/>
    <d v="1899-12-30T02:29:00"/>
    <d v="1899-12-30T02:29:00"/>
    <m/>
    <s v="POSITION5"/>
    <x v="1"/>
    <s v="STORE39"/>
  </r>
  <r>
    <n v="225515"/>
    <s v="People241"/>
    <s v="department"/>
    <s v="REGION1"/>
    <s v="STORE152"/>
    <s v="MANAGER68"/>
    <s v="NEGATIVO"/>
    <d v="1899-12-30T02:52:00"/>
    <d v="1899-12-30T02:52:00"/>
    <m/>
    <s v="POSITION1"/>
    <x v="0"/>
    <s v="STORE152"/>
  </r>
  <r>
    <n v="225521"/>
    <s v="People242"/>
    <s v="department"/>
    <s v="REGION5"/>
    <s v="STORE121"/>
    <s v="MANAGER24"/>
    <s v="NEGATIVO"/>
    <d v="1900-01-15T15:12:00"/>
    <d v="1900-01-15T15:12:00"/>
    <m/>
    <s v="POSITION1"/>
    <x v="4"/>
    <s v="STORE121"/>
  </r>
  <r>
    <n v="225539"/>
    <s v="People243"/>
    <s v="department"/>
    <s v="REGION8"/>
    <s v="STORE183"/>
    <s v="MANAGER28"/>
    <s v="NEGATIVO"/>
    <d v="1899-12-30T08:22:00"/>
    <d v="1899-12-30T08:22:00"/>
    <m/>
    <s v="POSITION1"/>
    <x v="7"/>
    <s v="STORE183"/>
  </r>
  <r>
    <n v="225540"/>
    <s v="People244"/>
    <s v="department"/>
    <s v="REGION6"/>
    <s v="STORE184"/>
    <s v="MANAGER87"/>
    <s v="NEGATIVO"/>
    <d v="1900-01-02T17:07:00"/>
    <d v="1900-01-02T17:07:00"/>
    <m/>
    <s v="POSITION1"/>
    <x v="5"/>
    <s v="STORE184"/>
  </r>
  <r>
    <n v="225543"/>
    <s v="People245"/>
    <s v="department"/>
    <s v="REGION8"/>
    <s v="STORE185"/>
    <s v="MANAGER9"/>
    <s v="POSITIVO"/>
    <d v="1899-12-30T12:59:00"/>
    <m/>
    <d v="1899-12-30T12:59:00"/>
    <s v="POSITION3"/>
    <x v="7"/>
    <s v="STORE185"/>
  </r>
  <r>
    <n v="225545"/>
    <s v="People246"/>
    <s v="department"/>
    <s v="REGION4"/>
    <s v="STORE66"/>
    <s v="MANAGER43"/>
    <s v="NEGATIVO"/>
    <d v="1899-12-30T13:27:00"/>
    <d v="1899-12-30T13:27:00"/>
    <m/>
    <s v="POSITION6"/>
    <x v="3"/>
    <s v="STORE66"/>
  </r>
  <r>
    <n v="225547"/>
    <s v="People247"/>
    <s v="department"/>
    <s v="REGION9"/>
    <s v="STORE186"/>
    <s v="MANAGER36"/>
    <s v="POSITIVO"/>
    <d v="1899-12-31T07:06:00"/>
    <m/>
    <d v="1899-12-31T07:06:00"/>
    <s v="POSITION1"/>
    <x v="8"/>
    <s v="STORE186"/>
  </r>
  <r>
    <n v="225600"/>
    <s v="People248"/>
    <s v="department"/>
    <s v="REGION7"/>
    <s v="STORE182"/>
    <s v="MANAGER31"/>
    <s v="NEGATIVO"/>
    <d v="1900-01-02T13:37:00"/>
    <d v="1900-01-02T13:37:00"/>
    <m/>
    <s v="POSITION1"/>
    <x v="6"/>
    <s v="STORE182"/>
  </r>
  <r>
    <n v="225602"/>
    <s v="People249"/>
    <s v="department"/>
    <s v="REGION2"/>
    <s v="STORE187"/>
    <s v="MANAGER41"/>
    <s v="POSITIVO"/>
    <d v="1899-12-30T03:03:00"/>
    <m/>
    <d v="1899-12-30T03:03:00"/>
    <s v="POSITION1"/>
    <x v="1"/>
    <s v="STORE187"/>
  </r>
  <r>
    <n v="225622"/>
    <s v="People250"/>
    <s v="department"/>
    <s v="REGION8"/>
    <s v="STORE188"/>
    <s v="MANAGER96"/>
    <s v="NEGATIVO"/>
    <d v="1899-12-30T11:49:00"/>
    <d v="1899-12-30T11:49:00"/>
    <m/>
    <s v="POSITION1"/>
    <x v="7"/>
    <s v="STORE188"/>
  </r>
  <r>
    <n v="225679"/>
    <s v="People251"/>
    <s v="department"/>
    <s v="REGION8"/>
    <s v="STORE189"/>
    <s v="MANAGER97"/>
    <s v="POSITIVO"/>
    <d v="1899-12-30T22:05:00"/>
    <m/>
    <d v="1899-12-30T22:05:00"/>
    <s v="POSITION1"/>
    <x v="7"/>
    <s v="STORE189"/>
  </r>
  <r>
    <n v="225681"/>
    <s v="People252"/>
    <s v="department"/>
    <s v="REGION1"/>
    <s v="STORE190"/>
    <s v="MANAGER50"/>
    <s v="POSITIVO"/>
    <d v="1900-01-01T00:08:00"/>
    <m/>
    <d v="1900-01-01T00:08:00"/>
    <s v="POSITION1"/>
    <x v="0"/>
    <s v="STORE190"/>
  </r>
  <r>
    <n v="225689"/>
    <s v="People253"/>
    <s v="department"/>
    <s v="REGION2"/>
    <s v="STORE158"/>
    <s v="MANAGER80"/>
    <s v="POSITIVO"/>
    <d v="1899-12-30T22:45:00"/>
    <m/>
    <d v="1899-12-30T22:45:00"/>
    <s v="POSITION1"/>
    <x v="1"/>
    <s v="STORE158"/>
  </r>
  <r>
    <n v="225762"/>
    <s v="People254"/>
    <s v="department"/>
    <s v="REGION4"/>
    <s v="STORE145"/>
    <s v="MANAGER29"/>
    <s v="NEGATIVO"/>
    <d v="1900-01-02T09:55:00"/>
    <d v="1900-01-02T09:55:00"/>
    <m/>
    <s v="POSITION1"/>
    <x v="3"/>
    <s v="STORE145"/>
  </r>
  <r>
    <n v="225764"/>
    <s v="People255"/>
    <s v="department"/>
    <s v="REGION9"/>
    <s v="STORE191"/>
    <s v="MANAGER98"/>
    <s v="POSITIVO"/>
    <d v="1899-12-30T00:27:00"/>
    <m/>
    <d v="1899-12-30T00:27:00"/>
    <s v="POSITION1"/>
    <x v="8"/>
    <s v="STORE191"/>
  </r>
  <r>
    <n v="225791"/>
    <s v="People256"/>
    <s v="department"/>
    <s v="REGION9"/>
    <s v="STORE84"/>
    <s v="MANAGER56"/>
    <s v="POSITIVO"/>
    <d v="1899-12-30T05:09:00"/>
    <m/>
    <d v="1899-12-30T05:09:00"/>
    <s v="POSITION6"/>
    <x v="8"/>
    <s v="STORE84"/>
  </r>
  <r>
    <n v="225852"/>
    <s v="People257"/>
    <s v="department"/>
    <s v="REGION9"/>
    <s v="STORE192"/>
    <s v="MANAGER47"/>
    <s v="NEGATIVO"/>
    <d v="1899-12-30T01:33:00"/>
    <d v="1899-12-30T01:33:00"/>
    <m/>
    <s v="POSITION1"/>
    <x v="8"/>
    <s v="STORE192"/>
  </r>
  <r>
    <n v="225892"/>
    <s v="People258"/>
    <s v="department"/>
    <s v="REGION9"/>
    <s v="STORE193"/>
    <s v="MANAGER99"/>
    <s v="POSITIVO"/>
    <d v="1899-12-30T12:59:00"/>
    <m/>
    <d v="1899-12-30T12:59:00"/>
    <s v="POSITION6"/>
    <x v="8"/>
    <s v="STORE193"/>
  </r>
  <r>
    <n v="225904"/>
    <s v="People259"/>
    <s v="department"/>
    <s v="REGION5"/>
    <s v="STORE194"/>
    <s v="MANAGER89"/>
    <s v="NEGATIVO"/>
    <d v="1900-01-07T22:02:00"/>
    <d v="1900-01-07T22:02:00"/>
    <m/>
    <s v="POSITION5"/>
    <x v="4"/>
    <s v="STORE194"/>
  </r>
  <r>
    <n v="225905"/>
    <s v="People260"/>
    <s v="department"/>
    <s v="REGION3"/>
    <s v="STORE195"/>
    <s v="MANAGER26"/>
    <s v="NEGATIVO"/>
    <d v="1899-12-30T04:39:00"/>
    <d v="1899-12-30T04:39:00"/>
    <m/>
    <s v="POSITION1"/>
    <x v="2"/>
    <s v="STORE195"/>
  </r>
  <r>
    <n v="225908"/>
    <s v="People261"/>
    <s v="department"/>
    <s v="REGION7"/>
    <s v="STORE165"/>
    <s v="MANAGER19"/>
    <s v="POSITIVO"/>
    <d v="1899-12-30T07:14:00"/>
    <m/>
    <d v="1899-12-30T07:14:00"/>
    <s v="POSITION1"/>
    <x v="6"/>
    <s v="STORE165"/>
  </r>
  <r>
    <n v="229319"/>
    <s v="People262"/>
    <s v="department"/>
    <s v="REGION7"/>
    <s v="STORE95"/>
    <s v="MANAGER64"/>
    <s v="NEGATIVO"/>
    <d v="1900-01-10T12:24:00"/>
    <d v="1900-01-10T12:24:00"/>
    <m/>
    <s v="POSITION6"/>
    <x v="6"/>
    <s v="STORE95"/>
  </r>
  <r>
    <n v="229366"/>
    <s v="People263"/>
    <s v="department"/>
    <s v="REGION5"/>
    <s v="STORE157"/>
    <s v="MANAGER17"/>
    <s v="NEGATIVO"/>
    <d v="1900-01-01T11:32:00"/>
    <d v="1900-01-01T11:32:00"/>
    <m/>
    <s v="POSITION1"/>
    <x v="4"/>
    <s v="STORE157"/>
  </r>
  <r>
    <n v="229385"/>
    <s v="People264"/>
    <s v="department"/>
    <s v="REGION8"/>
    <s v="STORE32"/>
    <s v="MANAGER20"/>
    <s v="POSITIVO"/>
    <d v="1899-12-30T10:41:00"/>
    <m/>
    <d v="1899-12-30T10:41:00"/>
    <s v="POSITION6"/>
    <x v="7"/>
    <s v="STORE32"/>
  </r>
  <r>
    <n v="229386"/>
    <s v="People265"/>
    <s v="department"/>
    <s v="REGION3"/>
    <s v="STORE196"/>
    <s v="MANAGER61"/>
    <s v="NEGATIVO"/>
    <d v="1899-12-31T08:21:00"/>
    <d v="1899-12-31T08:21:00"/>
    <m/>
    <s v="POSITION1"/>
    <x v="2"/>
    <s v="STORE196"/>
  </r>
  <r>
    <n v="229395"/>
    <s v="People266"/>
    <s v="department"/>
    <s v="REGION3"/>
    <s v="STORE149"/>
    <s v="MANAGER85"/>
    <s v="POSITIVO"/>
    <d v="1899-12-30T18:13:00"/>
    <m/>
    <d v="1899-12-30T18:13:00"/>
    <s v="POSITION1"/>
    <x v="2"/>
    <s v="STORE149"/>
  </r>
  <r>
    <n v="229397"/>
    <s v="People267"/>
    <s v="department"/>
    <s v="REGION5"/>
    <s v="STORE197"/>
    <s v="MANAGER7"/>
    <s v="POSITIVO"/>
    <d v="1899-12-30T23:56:00"/>
    <m/>
    <d v="1899-12-30T23:56:00"/>
    <s v="POSITION4"/>
    <x v="4"/>
    <s v="STORE197"/>
  </r>
  <r>
    <n v="229410"/>
    <s v="People268"/>
    <s v="department"/>
    <s v="REGION8"/>
    <s v="STORE198"/>
    <s v="MANAGER18"/>
    <s v="POSITIVO"/>
    <d v="1899-12-30T06:53:00"/>
    <m/>
    <d v="1899-12-30T06:53:00"/>
    <s v="POSITION1"/>
    <x v="7"/>
    <s v="STORE198"/>
  </r>
  <r>
    <n v="229419"/>
    <s v="People269"/>
    <s v="department"/>
    <s v="REGION4"/>
    <s v="STORE117"/>
    <s v="MANAGER69"/>
    <s v="POSITIVO"/>
    <d v="1899-12-30T00:10:00"/>
    <m/>
    <d v="1899-12-30T00:10:00"/>
    <s v="POSITION8"/>
    <x v="3"/>
    <s v="STORE117"/>
  </r>
  <r>
    <n v="229441"/>
    <s v="People270"/>
    <s v="department"/>
    <s v="REGION1"/>
    <s v="STORE1"/>
    <s v="MANAGER1"/>
    <s v="POSITIVO"/>
    <d v="1899-12-30T12:33:00"/>
    <m/>
    <d v="1899-12-30T12:33:00"/>
    <s v="POSITION1"/>
    <x v="0"/>
    <s v="STORE1"/>
  </r>
  <r>
    <n v="229447"/>
    <s v="People271"/>
    <s v="department"/>
    <s v="REGION8"/>
    <s v="STORE180"/>
    <s v="MANAGER95"/>
    <s v="POSITIVO"/>
    <d v="1900-01-01T17:14:00"/>
    <m/>
    <d v="1900-01-01T17:14:00"/>
    <s v="POSITION1"/>
    <x v="7"/>
    <s v="STORE180"/>
  </r>
  <r>
    <n v="229450"/>
    <s v="People272"/>
    <s v="department"/>
    <s v="REGION1"/>
    <s v="STORE1"/>
    <s v="MANAGER1"/>
    <s v="NEGATIVO"/>
    <d v="1899-12-30T11:10:00"/>
    <d v="1899-12-30T11:10:00"/>
    <m/>
    <s v="POSITION1"/>
    <x v="0"/>
    <s v="STORE1"/>
  </r>
  <r>
    <n v="229504"/>
    <s v="People273"/>
    <s v="department"/>
    <s v="REGION1"/>
    <s v="STORE199"/>
    <s v="MANAGER11"/>
    <s v="NEGATIVO"/>
    <d v="1899-12-31T15:54:00"/>
    <d v="1899-12-31T15:54:00"/>
    <m/>
    <s v="POSITION3"/>
    <x v="0"/>
    <s v="STORE199"/>
  </r>
  <r>
    <n v="229535"/>
    <s v="People274"/>
    <s v="department"/>
    <s v="REGION7"/>
    <s v="STORE113"/>
    <s v="MANAGER49"/>
    <s v="NEGATIVO"/>
    <d v="1899-12-30T12:35:00"/>
    <d v="1899-12-30T12:35:00"/>
    <m/>
    <s v="POSITION1"/>
    <x v="6"/>
    <s v="STORE113"/>
  </r>
  <r>
    <n v="229582"/>
    <s v="People275"/>
    <s v="department"/>
    <s v="REGION6"/>
    <s v="STORE200"/>
    <s v="MANAGER100"/>
    <s v="POSITIVO"/>
    <d v="1899-12-31T03:03:00"/>
    <m/>
    <d v="1899-12-31T03:03:00"/>
    <s v="POSITION9"/>
    <x v="5"/>
    <s v="STORE200"/>
  </r>
  <r>
    <n v="229584"/>
    <s v="People276"/>
    <s v="department"/>
    <s v="REGION8"/>
    <s v="STORE32"/>
    <s v="MANAGER20"/>
    <s v="POSITIVO"/>
    <d v="1899-12-30T09:57:00"/>
    <m/>
    <d v="1899-12-30T09:57:00"/>
    <s v="POSITION6"/>
    <x v="7"/>
    <s v="STORE32"/>
  </r>
  <r>
    <n v="229602"/>
    <s v="People277"/>
    <s v="department"/>
    <s v="REGION6"/>
    <s v="STORE156"/>
    <s v="MANAGER70"/>
    <s v="POSITIVO"/>
    <d v="1899-12-31T13:13:00"/>
    <m/>
    <d v="1899-12-31T13:13:00"/>
    <s v="POSITION1"/>
    <x v="5"/>
    <s v="STORE156"/>
  </r>
  <r>
    <n v="229614"/>
    <s v="People278"/>
    <s v="department"/>
    <s v="REGION2"/>
    <s v="STORE201"/>
    <s v="MANAGER101"/>
    <s v="NEGATIVO"/>
    <d v="1899-12-30T18:15:00"/>
    <d v="1899-12-30T18:15:00"/>
    <m/>
    <s v="POSITION6"/>
    <x v="1"/>
    <s v="STORE201"/>
  </r>
  <r>
    <n v="229668"/>
    <s v="People279"/>
    <s v="department"/>
    <s v="REGION6"/>
    <s v="STORE48"/>
    <s v="MANAGER33"/>
    <s v="NEGATIVO"/>
    <d v="1900-01-03T09:52:00"/>
    <d v="1900-01-03T09:52:00"/>
    <m/>
    <s v="POSITION6"/>
    <x v="5"/>
    <s v="STORE48"/>
  </r>
  <r>
    <n v="229679"/>
    <s v="People280"/>
    <s v="department"/>
    <s v="REGION1"/>
    <s v="STORE107"/>
    <s v="MANAGER16"/>
    <s v="NEGATIVO"/>
    <d v="1900-01-02T03:05:00"/>
    <d v="1900-01-02T03:05:00"/>
    <m/>
    <s v="POSITION1"/>
    <x v="0"/>
    <s v="STORE107"/>
  </r>
  <r>
    <n v="229691"/>
    <s v="People281"/>
    <s v="department"/>
    <s v="REGION3"/>
    <s v="STORE202"/>
    <s v="MANAGER102"/>
    <s v="POSITIVO"/>
    <d v="1899-12-30T09:53:00"/>
    <m/>
    <d v="1899-12-30T09:53:00"/>
    <s v="POSITION6"/>
    <x v="2"/>
    <s v="STORE202"/>
  </r>
  <r>
    <n v="229701"/>
    <s v="People282"/>
    <s v="department"/>
    <s v="REGION8"/>
    <s v="STORE203"/>
    <s v="MANAGER103"/>
    <s v="NEGATIVO"/>
    <d v="1900-01-06T23:22:00"/>
    <d v="1900-01-06T23:22:00"/>
    <m/>
    <s v="POSITION1"/>
    <x v="7"/>
    <s v="STORE203"/>
  </r>
  <r>
    <n v="229718"/>
    <s v="People283"/>
    <s v="department"/>
    <s v="REGION7"/>
    <s v="STORE204"/>
    <s v="MANAGER31"/>
    <s v="NEGATIVO"/>
    <d v="1900-02-01T06:09:00"/>
    <d v="1900-02-01T06:09:00"/>
    <m/>
    <s v="POSITION6"/>
    <x v="6"/>
    <s v="STORE204"/>
  </r>
  <r>
    <n v="229745"/>
    <s v="People284"/>
    <s v="department"/>
    <s v="REGION9"/>
    <s v="STORE131"/>
    <s v="MANAGER79"/>
    <s v="POSITIVO"/>
    <d v="1899-12-30T01:44:00"/>
    <m/>
    <d v="1899-12-30T01:44:00"/>
    <s v="POSITION1"/>
    <x v="8"/>
    <s v="STORE131"/>
  </r>
  <r>
    <n v="229753"/>
    <s v="People285"/>
    <s v="department"/>
    <s v="REGION1"/>
    <s v="STORE190"/>
    <s v="MANAGER50"/>
    <s v="NEGATIVO"/>
    <d v="1900-01-08T10:37:00"/>
    <d v="1900-01-08T10:37:00"/>
    <m/>
    <s v="POSITION1"/>
    <x v="0"/>
    <s v="STORE190"/>
  </r>
  <r>
    <n v="229770"/>
    <s v="People286"/>
    <s v="department"/>
    <s v="REGION8"/>
    <s v="STORE205"/>
    <s v="MANAGER9"/>
    <s v="POSITIVO"/>
    <d v="1899-12-31T05:44:00"/>
    <m/>
    <d v="1899-12-31T05:44:00"/>
    <s v="POSITION3"/>
    <x v="7"/>
    <s v="STORE205"/>
  </r>
  <r>
    <n v="229774"/>
    <s v="People287"/>
    <s v="department"/>
    <s v="REGION2"/>
    <s v="STORE206"/>
    <s v="MANAGER101"/>
    <s v="POSITIVO"/>
    <d v="1899-12-30T17:16:00"/>
    <m/>
    <d v="1899-12-30T17:16:00"/>
    <s v="POSITION1"/>
    <x v="1"/>
    <s v="STORE206"/>
  </r>
  <r>
    <n v="229785"/>
    <s v="People288"/>
    <s v="department"/>
    <s v="REGION2"/>
    <s v="STORE207"/>
    <s v="MANAGER2"/>
    <s v="POSITIVO"/>
    <d v="1899-12-30T07:17:00"/>
    <m/>
    <d v="1899-12-30T07:17:00"/>
    <s v="POSITION3"/>
    <x v="1"/>
    <s v="STORE207"/>
  </r>
  <r>
    <n v="229805"/>
    <s v="People289"/>
    <s v="department"/>
    <s v="REGION6"/>
    <s v="STORE208"/>
    <s v="MANAGER57"/>
    <s v="POSITIVO"/>
    <d v="1899-12-30T03:42:00"/>
    <m/>
    <d v="1899-12-30T03:42:00"/>
    <s v="POSITION1"/>
    <x v="5"/>
    <s v="STORE208"/>
  </r>
  <r>
    <n v="229823"/>
    <s v="People290"/>
    <s v="department"/>
    <s v="REGION1"/>
    <s v="STORE24"/>
    <s v="MANAGER1"/>
    <s v="NEGATIVO"/>
    <d v="1899-12-31T01:03:00"/>
    <d v="1899-12-31T01:03:00"/>
    <m/>
    <s v="POSITION6"/>
    <x v="0"/>
    <s v="STORE24"/>
  </r>
  <r>
    <n v="229826"/>
    <s v="People291"/>
    <s v="department"/>
    <s v="REGION4"/>
    <s v="STORE209"/>
    <s v="MANAGER104"/>
    <s v="POSITIVO"/>
    <d v="1899-12-31T21:43:00"/>
    <m/>
    <d v="1899-12-31T21:43:00"/>
    <s v="POSITION6"/>
    <x v="3"/>
    <s v="STORE209"/>
  </r>
  <r>
    <n v="229828"/>
    <s v="People292"/>
    <s v="department"/>
    <s v="REGION9"/>
    <s v="STORE210"/>
    <s v="MANAGER99"/>
    <s v="NEGATIVO"/>
    <d v="1899-12-31T06:16:00"/>
    <d v="1899-12-31T06:16:00"/>
    <m/>
    <s v="POSITION1"/>
    <x v="8"/>
    <s v="STORE210"/>
  </r>
  <r>
    <n v="229844"/>
    <s v="People293"/>
    <s v="department"/>
    <s v="REGION9"/>
    <s v="STORE211"/>
    <s v="MANAGER105"/>
    <s v="NEGATIVO"/>
    <d v="1899-12-30T05:43:00"/>
    <d v="1899-12-30T05:43:00"/>
    <m/>
    <s v="POSITION5"/>
    <x v="8"/>
    <s v="STORE211"/>
  </r>
  <r>
    <n v="229847"/>
    <s v="People294"/>
    <s v="department"/>
    <s v="REGION8"/>
    <s v="STORE183"/>
    <s v="MANAGER28"/>
    <s v="POSITIVO"/>
    <d v="1899-12-30T04:24:00"/>
    <m/>
    <d v="1899-12-30T04:24:00"/>
    <s v="POSITION1"/>
    <x v="7"/>
    <s v="STORE183"/>
  </r>
  <r>
    <n v="229850"/>
    <s v="People295"/>
    <s v="department"/>
    <s v="REGION9"/>
    <s v="STORE212"/>
    <s v="MANAGER10"/>
    <s v="POSITIVO"/>
    <d v="1899-12-30T13:22:00"/>
    <m/>
    <d v="1899-12-30T13:22:00"/>
    <s v="POSITION3"/>
    <x v="8"/>
    <s v="STORE212"/>
  </r>
  <r>
    <n v="229853"/>
    <s v="People296"/>
    <s v="department"/>
    <s v="REGION2"/>
    <s v="STORE100"/>
    <s v="MANAGER67"/>
    <s v="NEGATIVO"/>
    <d v="1899-12-30T01:21:00"/>
    <d v="1899-12-30T01:21:00"/>
    <m/>
    <s v="POSITION5"/>
    <x v="1"/>
    <s v="STORE100"/>
  </r>
  <r>
    <n v="229864"/>
    <s v="People297"/>
    <s v="department"/>
    <s v="REGION9"/>
    <s v="STORE161"/>
    <s v="MANAGER56"/>
    <s v="NEGATIVO"/>
    <d v="1899-12-30T21:43:00"/>
    <d v="1899-12-30T21:43:00"/>
    <m/>
    <s v="POSITION1"/>
    <x v="8"/>
    <s v="STORE161"/>
  </r>
  <r>
    <n v="229872"/>
    <s v="People298"/>
    <s v="department"/>
    <s v="REGION8"/>
    <s v="STORE213"/>
    <s v="MANAGER37"/>
    <s v="NEGATIVO"/>
    <d v="1899-12-31T03:44:00"/>
    <d v="1899-12-31T03:44:00"/>
    <m/>
    <s v="POSITION1"/>
    <x v="7"/>
    <s v="STORE213"/>
  </r>
  <r>
    <n v="229877"/>
    <s v="People299"/>
    <s v="department"/>
    <s v="REGION4"/>
    <s v="STORE214"/>
    <s v="MANAGER4"/>
    <s v="POSITIVO"/>
    <d v="1899-12-30T09:49:00"/>
    <m/>
    <d v="1899-12-30T09:49:00"/>
    <s v="POSITION5"/>
    <x v="3"/>
    <s v="STORE214"/>
  </r>
  <r>
    <n v="229919"/>
    <s v="People300"/>
    <s v="department"/>
    <s v="REGION9"/>
    <s v="STORE191"/>
    <s v="MANAGER98"/>
    <s v="POSITIVO"/>
    <d v="1899-12-30T10:52:00"/>
    <m/>
    <d v="1899-12-30T10:52:00"/>
    <s v="POSITION1"/>
    <x v="8"/>
    <s v="STORE191"/>
  </r>
  <r>
    <n v="229924"/>
    <s v="People301"/>
    <s v="department"/>
    <s v="REGION9"/>
    <s v="STORE150"/>
    <s v="MANAGER79"/>
    <s v="NEGATIVO"/>
    <d v="1899-12-30T08:25:00"/>
    <d v="1899-12-30T08:25:00"/>
    <m/>
    <s v="POSITION5"/>
    <x v="8"/>
    <s v="STORE150"/>
  </r>
  <r>
    <n v="229948"/>
    <s v="People302"/>
    <s v="department"/>
    <s v="REGION7"/>
    <s v="STORE74"/>
    <s v="MANAGER49"/>
    <s v="POSITIVO"/>
    <d v="1899-12-30T13:22:00"/>
    <m/>
    <d v="1899-12-30T13:22:00"/>
    <s v="POSITION6"/>
    <x v="6"/>
    <s v="STORE74"/>
  </r>
  <r>
    <n v="229949"/>
    <s v="People303"/>
    <s v="department"/>
    <s v="REGION5"/>
    <s v="STORE121"/>
    <s v="MANAGER24"/>
    <s v="NEGATIVO"/>
    <d v="1900-01-07T08:01:00"/>
    <d v="1900-01-07T08:01:00"/>
    <m/>
    <s v="POSITION1"/>
    <x v="4"/>
    <s v="STORE121"/>
  </r>
  <r>
    <n v="229954"/>
    <s v="People304"/>
    <s v="department"/>
    <s v="REGION7"/>
    <s v="STORE165"/>
    <s v="MANAGER19"/>
    <s v="POSITIVO"/>
    <d v="1899-12-30T04:22:00"/>
    <m/>
    <d v="1899-12-30T04:22:00"/>
    <s v="POSITION1"/>
    <x v="6"/>
    <s v="STORE165"/>
  </r>
  <r>
    <n v="229986"/>
    <s v="People305"/>
    <s v="department"/>
    <s v="REGION7"/>
    <s v="STORE106"/>
    <s v="MANAGER48"/>
    <s v="POSITIVO"/>
    <d v="1899-12-30T15:11:00"/>
    <m/>
    <d v="1899-12-30T15:11:00"/>
    <s v="POSITION1"/>
    <x v="6"/>
    <s v="STORE106"/>
  </r>
  <r>
    <n v="229987"/>
    <s v="People306"/>
    <s v="department"/>
    <s v="REGION3"/>
    <s v="STORE215"/>
    <s v="MANAGER86"/>
    <s v="POSITIVO"/>
    <d v="1899-12-30T21:36:00"/>
    <m/>
    <d v="1899-12-30T21:36:00"/>
    <s v="POSITION1"/>
    <x v="2"/>
    <s v="STORE215"/>
  </r>
  <r>
    <n v="230000"/>
    <s v="People307"/>
    <s v="department"/>
    <s v="REGION5"/>
    <s v="STORE162"/>
    <s v="MANAGER89"/>
    <s v="NEGATIVO"/>
    <d v="1900-01-04T10:18:00"/>
    <d v="1900-01-04T10:18:00"/>
    <m/>
    <s v="POSITION1"/>
    <x v="4"/>
    <s v="STORE162"/>
  </r>
  <r>
    <n v="230001"/>
    <s v="People308"/>
    <s v="department"/>
    <s v="REGION5"/>
    <s v="STORE162"/>
    <s v="MANAGER89"/>
    <s v="NEGATIVO"/>
    <d v="1900-01-02T08:41:00"/>
    <d v="1900-01-02T08:41:00"/>
    <m/>
    <s v="POSITION1"/>
    <x v="4"/>
    <s v="STORE162"/>
  </r>
  <r>
    <n v="230020"/>
    <s v="People309"/>
    <s v="department"/>
    <s v="REGION2"/>
    <s v="STORE216"/>
    <s v="MANAGER2"/>
    <s v="POSITIVO"/>
    <d v="1899-12-30T03:33:00"/>
    <m/>
    <d v="1899-12-30T03:33:00"/>
    <s v="POSITION3"/>
    <x v="1"/>
    <s v="STORE216"/>
  </r>
  <r>
    <n v="230025"/>
    <s v="People310"/>
    <s v="department"/>
    <s v="REGION6"/>
    <s v="STORE217"/>
    <s v="MANAGER100"/>
    <s v="NEGATIVO"/>
    <d v="1899-12-30T20:04:00"/>
    <d v="1899-12-30T20:04:00"/>
    <m/>
    <s v="POSITION1"/>
    <x v="5"/>
    <s v="STORE217"/>
  </r>
  <r>
    <n v="230026"/>
    <s v="People311"/>
    <s v="department"/>
    <s v="REGION2"/>
    <s v="STORE218"/>
    <s v="MANAGER71"/>
    <s v="NEGATIVO"/>
    <d v="1899-12-31T07:00:00"/>
    <d v="1899-12-31T07:00:00"/>
    <m/>
    <s v="POSITION6"/>
    <x v="1"/>
    <s v="STORE218"/>
  </r>
  <r>
    <n v="230034"/>
    <s v="People312"/>
    <s v="department"/>
    <s v="REGION4"/>
    <s v="STORE219"/>
    <s v="MANAGER13"/>
    <s v="POSITIVO"/>
    <d v="1899-12-31T06:17:00"/>
    <m/>
    <d v="1899-12-31T06:17:00"/>
    <s v="POSITION1"/>
    <x v="3"/>
    <s v="STORE219"/>
  </r>
  <r>
    <n v="230040"/>
    <s v="People313"/>
    <s v="department"/>
    <s v="REGION8"/>
    <s v="STORE220"/>
    <s v="MANAGER106"/>
    <s v="POSITIVO"/>
    <d v="1899-12-30T07:09:00"/>
    <m/>
    <d v="1899-12-30T07:09:00"/>
    <s v="POSITION1"/>
    <x v="7"/>
    <s v="STORE220"/>
  </r>
  <r>
    <n v="230063"/>
    <s v="People314"/>
    <s v="department"/>
    <s v="REGION5"/>
    <s v="STORE52"/>
    <s v="MANAGER35"/>
    <s v="NEGATIVO"/>
    <d v="1900-01-04T12:01:00"/>
    <d v="1900-01-04T12:01:00"/>
    <m/>
    <s v="POSITION6"/>
    <x v="4"/>
    <s v="STORE52"/>
  </r>
  <r>
    <n v="230067"/>
    <s v="People315"/>
    <s v="department"/>
    <s v="REGION5"/>
    <s v="STORE167"/>
    <s v="MANAGER91"/>
    <s v="NEGATIVO"/>
    <d v="1899-12-30T15:35:00"/>
    <d v="1899-12-30T15:35:00"/>
    <m/>
    <s v="POSITION1"/>
    <x v="4"/>
    <s v="STORE167"/>
  </r>
  <r>
    <n v="230069"/>
    <s v="People316"/>
    <s v="department"/>
    <s v="REGION5"/>
    <s v="STORE221"/>
    <s v="MANAGER7"/>
    <s v="POSITIVO"/>
    <d v="1899-12-30T00:35:00"/>
    <m/>
    <d v="1899-12-30T00:35:00"/>
    <s v="POSITION3"/>
    <x v="4"/>
    <s v="STORE221"/>
  </r>
  <r>
    <n v="230145"/>
    <s v="People317"/>
    <s v="department"/>
    <s v="REGION5"/>
    <s v="STORE194"/>
    <s v="MANAGER89"/>
    <s v="NEGATIVO"/>
    <d v="1900-01-14T15:33:00"/>
    <d v="1900-01-14T15:33:00"/>
    <m/>
    <s v="POSITION6"/>
    <x v="4"/>
    <s v="STORE194"/>
  </r>
  <r>
    <n v="230181"/>
    <s v="People318"/>
    <s v="department"/>
    <s v="REGION6"/>
    <s v="STORE169"/>
    <s v="MANAGER33"/>
    <s v="NEGATIVO"/>
    <d v="1900-01-01T20:47:00"/>
    <d v="1900-01-01T20:47:00"/>
    <m/>
    <s v="POSITION1"/>
    <x v="5"/>
    <s v="STORE169"/>
  </r>
  <r>
    <n v="230182"/>
    <s v="People319"/>
    <s v="department"/>
    <s v="REGION7"/>
    <s v="STORE222"/>
    <s v="MANAGER59"/>
    <s v="NEGATIVO"/>
    <d v="1899-12-30T20:58:00"/>
    <d v="1899-12-30T20:58:00"/>
    <m/>
    <s v="POSITION1"/>
    <x v="6"/>
    <s v="STORE222"/>
  </r>
  <r>
    <n v="230257"/>
    <s v="People320"/>
    <s v="department"/>
    <s v="REGION3"/>
    <s v="STORE179"/>
    <s v="MANAGER94"/>
    <s v="POSITIVO"/>
    <d v="1899-12-30T03:25:00"/>
    <m/>
    <d v="1899-12-30T03:25:00"/>
    <s v="POSITION1"/>
    <x v="2"/>
    <s v="STORE179"/>
  </r>
  <r>
    <n v="230259"/>
    <s v="People321"/>
    <s v="department"/>
    <s v="REGION4"/>
    <s v="STORE145"/>
    <s v="MANAGER29"/>
    <s v="POSITIVO"/>
    <d v="1899-12-30T13:57:00"/>
    <m/>
    <d v="1899-12-30T13:57:00"/>
    <s v="POSITION1"/>
    <x v="3"/>
    <s v="STORE145"/>
  </r>
  <r>
    <n v="230261"/>
    <s v="People322"/>
    <s v="department"/>
    <s v="REGION8"/>
    <s v="STORE116"/>
    <s v="MANAGER72"/>
    <s v="POSITIVO"/>
    <d v="1899-12-30T05:54:00"/>
    <m/>
    <d v="1899-12-30T05:54:00"/>
    <s v="POSITION1"/>
    <x v="7"/>
    <s v="STORE116"/>
  </r>
  <r>
    <n v="230262"/>
    <s v="People323"/>
    <s v="department"/>
    <s v="REGION2"/>
    <s v="STORE223"/>
    <s v="MANAGER107"/>
    <s v="NEGATIVO"/>
    <d v="1899-12-30T09:24:00"/>
    <d v="1899-12-30T09:24:00"/>
    <m/>
    <s v="POSITION1"/>
    <x v="1"/>
    <s v="STORE223"/>
  </r>
  <r>
    <n v="230275"/>
    <s v="People324"/>
    <s v="department"/>
    <s v="REGION6"/>
    <s v="STORE224"/>
    <s v="MANAGER6"/>
    <s v="NEGATIVO"/>
    <d v="1899-12-30T05:42:00"/>
    <d v="1899-12-30T05:42:00"/>
    <m/>
    <s v="POSITION3"/>
    <x v="5"/>
    <s v="STORE224"/>
  </r>
  <r>
    <n v="230276"/>
    <s v="People325"/>
    <s v="department"/>
    <s v="REGION8"/>
    <s v="STORE225"/>
    <s v="MANAGER9"/>
    <s v="POSITIVO"/>
    <d v="1899-12-30T16:10:00"/>
    <m/>
    <d v="1899-12-30T16:10:00"/>
    <s v="POSITION3"/>
    <x v="7"/>
    <s v="STORE225"/>
  </r>
  <r>
    <n v="230277"/>
    <s v="People326"/>
    <s v="department"/>
    <s v="REGION8"/>
    <s v="STORE116"/>
    <s v="MANAGER72"/>
    <s v="NEGATIVO"/>
    <d v="1899-12-30T02:03:00"/>
    <d v="1899-12-30T02:03:00"/>
    <m/>
    <s v="POSITION1"/>
    <x v="7"/>
    <s v="STORE116"/>
  </r>
  <r>
    <n v="230304"/>
    <s v="People327"/>
    <s v="department"/>
    <s v="REGION4"/>
    <s v="STORE124"/>
    <s v="MANAGER43"/>
    <s v="POSITIVO"/>
    <d v="1899-12-30T12:08:00"/>
    <m/>
    <d v="1899-12-30T12:08:00"/>
    <s v="POSITION1"/>
    <x v="3"/>
    <s v="STORE124"/>
  </r>
  <r>
    <n v="230363"/>
    <s v="People328"/>
    <s v="department"/>
    <s v="REGION7"/>
    <s v="STORE106"/>
    <s v="MANAGER48"/>
    <s v="POSITIVO"/>
    <d v="1899-12-30T05:43:00"/>
    <m/>
    <d v="1899-12-30T05:43:00"/>
    <s v="POSITION1"/>
    <x v="6"/>
    <s v="STORE106"/>
  </r>
  <r>
    <n v="230374"/>
    <s v="People329"/>
    <s v="department"/>
    <s v="REGION4"/>
    <s v="STORE226"/>
    <s v="MANAGER108"/>
    <s v="POSITIVO"/>
    <d v="1899-12-30T14:03:00"/>
    <m/>
    <d v="1899-12-30T14:03:00"/>
    <s v="POSITION1"/>
    <x v="3"/>
    <s v="STORE226"/>
  </r>
  <r>
    <n v="230381"/>
    <s v="People330"/>
    <s v="department"/>
    <s v="REGION3"/>
    <s v="STORE110"/>
    <s v="MANAGER51"/>
    <s v="POSITIVO"/>
    <d v="1899-12-30T07:49:00"/>
    <m/>
    <d v="1899-12-30T07:49:00"/>
    <s v="POSITION1"/>
    <x v="2"/>
    <s v="STORE110"/>
  </r>
  <r>
    <n v="230386"/>
    <s v="People331"/>
    <s v="department"/>
    <s v="REGION9"/>
    <s v="STORE161"/>
    <s v="MANAGER56"/>
    <s v="NEGATIVO"/>
    <d v="1900-01-05T11:36:00"/>
    <d v="1900-01-05T11:36:00"/>
    <m/>
    <s v="POSITION1"/>
    <x v="8"/>
    <s v="STORE161"/>
  </r>
  <r>
    <n v="230388"/>
    <s v="People332"/>
    <s v="department"/>
    <s v="REGION9"/>
    <s v="STORE141"/>
    <s v="MANAGER25"/>
    <s v="NEGATIVO"/>
    <d v="1900-01-01T08:12:00"/>
    <d v="1900-01-01T08:12:00"/>
    <m/>
    <s v="POSITION1"/>
    <x v="8"/>
    <s v="STORE141"/>
  </r>
  <r>
    <n v="230390"/>
    <s v="People333"/>
    <s v="department"/>
    <s v="REGION2"/>
    <s v="STORE227"/>
    <s v="MANAGER2"/>
    <s v="NEGATIVO"/>
    <d v="1899-12-30T00:32:00"/>
    <d v="1899-12-30T00:32:00"/>
    <m/>
    <s v="POSITION3"/>
    <x v="1"/>
    <s v="STORE227"/>
  </r>
  <r>
    <n v="230391"/>
    <s v="People334"/>
    <s v="department"/>
    <s v="REGION2"/>
    <s v="STORE187"/>
    <s v="MANAGER41"/>
    <s v="POSITIVO"/>
    <d v="1899-12-30T23:12:00"/>
    <m/>
    <d v="1899-12-30T23:12:00"/>
    <s v="POSITION1"/>
    <x v="1"/>
    <s v="STORE187"/>
  </r>
  <r>
    <n v="230403"/>
    <s v="People335"/>
    <s v="department"/>
    <s v="REGION9"/>
    <s v="STORE141"/>
    <s v="MANAGER25"/>
    <s v="NEGATIVO"/>
    <d v="1899-12-31T15:19:00"/>
    <d v="1899-12-31T15:19:00"/>
    <m/>
    <s v="POSITION1"/>
    <x v="8"/>
    <s v="STORE141"/>
  </r>
  <r>
    <n v="230421"/>
    <s v="People336"/>
    <s v="department"/>
    <s v="REGION4"/>
    <s v="STORE117"/>
    <s v="MANAGER69"/>
    <s v="POSITIVO"/>
    <d v="1899-12-30T00:11:00"/>
    <m/>
    <d v="1899-12-30T00:11:00"/>
    <s v="POSITION6"/>
    <x v="3"/>
    <s v="STORE117"/>
  </r>
  <r>
    <n v="230428"/>
    <s v="People337"/>
    <s v="department"/>
    <s v="REGION6"/>
    <s v="STORE228"/>
    <s v="MANAGER109"/>
    <s v="NEGATIVO"/>
    <d v="1900-01-05T10:59:00"/>
    <d v="1900-01-05T10:59:00"/>
    <m/>
    <s v="POSITION1"/>
    <x v="5"/>
    <s v="STORE228"/>
  </r>
  <r>
    <n v="230437"/>
    <s v="People338"/>
    <s v="department"/>
    <s v="REGION1"/>
    <s v="STORE1"/>
    <s v="MANAGER1"/>
    <s v="POSITIVO"/>
    <d v="1899-12-30T08:22:00"/>
    <m/>
    <d v="1899-12-30T08:22:00"/>
    <s v="POSITION1"/>
    <x v="0"/>
    <s v="STORE1"/>
  </r>
  <r>
    <n v="230461"/>
    <s v="People339"/>
    <s v="department"/>
    <s v="REGION8"/>
    <s v="STORE198"/>
    <s v="MANAGER18"/>
    <s v="POSITIVO"/>
    <d v="1899-12-30T09:28:00"/>
    <m/>
    <d v="1899-12-30T09:28:00"/>
    <s v="POSITION1"/>
    <x v="7"/>
    <s v="STORE198"/>
  </r>
  <r>
    <n v="230462"/>
    <s v="People340"/>
    <s v="department"/>
    <s v="REGION5"/>
    <s v="STORE229"/>
    <s v="MANAGER110"/>
    <s v="POSITIVO"/>
    <d v="1899-12-30T08:56:00"/>
    <m/>
    <d v="1899-12-30T08:56:00"/>
    <s v="POSITION1"/>
    <x v="4"/>
    <s v="STORE229"/>
  </r>
  <r>
    <n v="230476"/>
    <s v="People341"/>
    <s v="department"/>
    <s v="REGION5"/>
    <s v="STORE229"/>
    <s v="MANAGER110"/>
    <s v="POSITIVO"/>
    <d v="1899-12-31T13:37:00"/>
    <m/>
    <d v="1899-12-31T13:37:00"/>
    <s v="POSITION1"/>
    <x v="4"/>
    <s v="STORE229"/>
  </r>
  <r>
    <n v="230516"/>
    <s v="People342"/>
    <s v="department"/>
    <s v="REGION6"/>
    <s v="STORE208"/>
    <s v="MANAGER57"/>
    <s v="POSITIVO"/>
    <d v="1899-12-30T10:30:00"/>
    <m/>
    <d v="1899-12-30T10:30:00"/>
    <s v="POSITION1"/>
    <x v="5"/>
    <s v="STORE208"/>
  </r>
  <r>
    <n v="230518"/>
    <s v="People343"/>
    <s v="department"/>
    <s v="REGION9"/>
    <s v="STORE230"/>
    <s v="MANAGER111"/>
    <s v="NEGATIVO"/>
    <d v="1900-01-02T14:16:00"/>
    <d v="1900-01-02T14:16:00"/>
    <m/>
    <s v="POSITION1"/>
    <x v="8"/>
    <s v="STORE230"/>
  </r>
  <r>
    <n v="230559"/>
    <s v="People344"/>
    <s v="department"/>
    <s v="REGION9"/>
    <s v="STORE141"/>
    <s v="MANAGER25"/>
    <s v="NEGATIVO"/>
    <d v="1900-01-01T07:36:00"/>
    <d v="1900-01-01T07:36:00"/>
    <m/>
    <s v="POSITION1"/>
    <x v="8"/>
    <s v="STORE141"/>
  </r>
  <r>
    <n v="230573"/>
    <s v="People345"/>
    <s v="department"/>
    <s v="REGION7"/>
    <s v="STORE231"/>
    <s v="MANAGER112"/>
    <s v="NEGATIVO"/>
    <d v="1899-12-30T07:26:00"/>
    <d v="1899-12-30T07:26:00"/>
    <m/>
    <s v="POSITION6"/>
    <x v="6"/>
    <s v="STORE231"/>
  </r>
  <r>
    <n v="230574"/>
    <s v="People346"/>
    <s v="department"/>
    <s v="REGION2"/>
    <s v="STORE104"/>
    <s v="MANAGER67"/>
    <s v="POSITIVO"/>
    <d v="1899-12-31T06:29:00"/>
    <m/>
    <d v="1899-12-31T06:29:00"/>
    <s v="POSITION1"/>
    <x v="1"/>
    <s v="STORE104"/>
  </r>
  <r>
    <n v="230583"/>
    <s v="People347"/>
    <s v="department"/>
    <s v="REGION9"/>
    <s v="STORE171"/>
    <s v="MANAGER53"/>
    <s v="NEGATIVO"/>
    <d v="1900-01-03T18:52:00"/>
    <d v="1900-01-03T18:52:00"/>
    <m/>
    <s v="POSITION1"/>
    <x v="8"/>
    <s v="STORE171"/>
  </r>
  <r>
    <n v="230584"/>
    <s v="People348"/>
    <s v="department"/>
    <s v="REGION4"/>
    <s v="STORE66"/>
    <s v="MANAGER43"/>
    <s v="NEGATIVO"/>
    <d v="1899-12-31T07:54:00"/>
    <d v="1899-12-31T07:54:00"/>
    <m/>
    <s v="POSITION5"/>
    <x v="3"/>
    <s v="STORE66"/>
  </r>
  <r>
    <n v="230587"/>
    <s v="People349"/>
    <s v="department"/>
    <s v="REGION4"/>
    <s v="STORE219"/>
    <s v="MANAGER13"/>
    <s v="POSITIVO"/>
    <d v="1899-12-30T16:25:00"/>
    <m/>
    <d v="1899-12-30T16:25:00"/>
    <s v="POSITION1"/>
    <x v="3"/>
    <s v="STORE219"/>
  </r>
  <r>
    <n v="230618"/>
    <s v="People350"/>
    <s v="department"/>
    <s v="REGION7"/>
    <s v="STORE137"/>
    <s v="MANAGER83"/>
    <s v="POSITIVO"/>
    <d v="1899-12-30T01:01:00"/>
    <m/>
    <d v="1899-12-30T01:01:00"/>
    <s v="POSITION1"/>
    <x v="6"/>
    <s v="STORE137"/>
  </r>
  <r>
    <n v="230634"/>
    <s v="People351"/>
    <s v="department"/>
    <s v="REGION4"/>
    <s v="STORE232"/>
    <s v="MANAGER4"/>
    <s v="NEGATIVO"/>
    <d v="1899-12-31T07:40:00"/>
    <d v="1899-12-31T07:40:00"/>
    <m/>
    <s v="POSITION1"/>
    <x v="3"/>
    <s v="STORE232"/>
  </r>
  <r>
    <n v="230636"/>
    <s v="People352"/>
    <s v="department"/>
    <s v="REGION9"/>
    <s v="STORE233"/>
    <s v="MANAGER105"/>
    <s v="NEGATIVO"/>
    <d v="1899-12-30T16:44:00"/>
    <d v="1899-12-30T16:44:00"/>
    <m/>
    <s v="POSITION1"/>
    <x v="8"/>
    <s v="STORE233"/>
  </r>
  <r>
    <n v="230648"/>
    <s v="People353"/>
    <s v="department"/>
    <s v="REGION9"/>
    <s v="STORE234"/>
    <s v="MANAGER105"/>
    <s v="NEGATIVO"/>
    <d v="1899-12-31T01:55:00"/>
    <d v="1899-12-31T01:55:00"/>
    <m/>
    <s v="POSITION6"/>
    <x v="8"/>
    <s v="STORE234"/>
  </r>
  <r>
    <n v="230669"/>
    <s v="People354"/>
    <s v="department"/>
    <s v="REGION7"/>
    <s v="STORE235"/>
    <s v="MANAGER112"/>
    <s v="POSITIVO"/>
    <d v="1899-12-30T04:24:00"/>
    <m/>
    <d v="1899-12-30T04:24:00"/>
    <s v="POSITION1"/>
    <x v="6"/>
    <s v="STORE235"/>
  </r>
  <r>
    <n v="230739"/>
    <s v="People355"/>
    <s v="department"/>
    <s v="REGION8"/>
    <s v="STORE188"/>
    <s v="MANAGER96"/>
    <s v="POSITIVO"/>
    <d v="1899-12-30T08:33:00"/>
    <m/>
    <d v="1899-12-30T08:33:00"/>
    <s v="POSITION1"/>
    <x v="7"/>
    <s v="STORE188"/>
  </r>
  <r>
    <n v="230740"/>
    <s v="People356"/>
    <s v="department"/>
    <s v="REGION5"/>
    <s v="STORE236"/>
    <s v="MANAGER113"/>
    <s v="POSITIVO"/>
    <d v="1900-01-09T06:57:00"/>
    <m/>
    <d v="1900-01-09T06:57:00"/>
    <s v="POSITION1"/>
    <x v="4"/>
    <s v="STORE236"/>
  </r>
  <r>
    <n v="230742"/>
    <s v="People357"/>
    <s v="department"/>
    <s v="REGION4"/>
    <s v="STORE130"/>
    <s v="MANAGER78"/>
    <s v="NEGATIVO"/>
    <d v="1899-12-31T21:47:00"/>
    <d v="1899-12-31T21:47:00"/>
    <m/>
    <s v="POSITION1"/>
    <x v="3"/>
    <s v="STORE130"/>
  </r>
  <r>
    <n v="230743"/>
    <s v="People358"/>
    <s v="department"/>
    <s v="REGION7"/>
    <s v="STORE231"/>
    <s v="MANAGER112"/>
    <s v="NEGATIVO"/>
    <d v="1899-12-30T01:50:00"/>
    <d v="1899-12-30T01:50:00"/>
    <m/>
    <s v="POSITION5"/>
    <x v="6"/>
    <s v="STORE231"/>
  </r>
  <r>
    <n v="230746"/>
    <s v="People359"/>
    <s v="department"/>
    <s v="REGION8"/>
    <s v="STORE188"/>
    <s v="MANAGER96"/>
    <s v="POSITIVO"/>
    <d v="1900-01-01T13:13:00"/>
    <m/>
    <d v="1900-01-01T13:13:00"/>
    <s v="POSITION1"/>
    <x v="7"/>
    <s v="STORE188"/>
  </r>
  <r>
    <n v="230748"/>
    <s v="People360"/>
    <s v="department"/>
    <s v="REGION4"/>
    <s v="STORE109"/>
    <s v="MANAGER69"/>
    <s v="POSITIVO"/>
    <d v="1899-12-30T00:10:00"/>
    <m/>
    <d v="1899-12-30T00:10:00"/>
    <s v="POSITION1"/>
    <x v="3"/>
    <s v="STORE109"/>
  </r>
  <r>
    <n v="230794"/>
    <s v="People361"/>
    <s v="department"/>
    <s v="REGION7"/>
    <s v="STORE235"/>
    <s v="MANAGER112"/>
    <s v="POSITIVO"/>
    <d v="1899-12-30T11:29:00"/>
    <m/>
    <d v="1899-12-30T11:29:00"/>
    <s v="POSITION1"/>
    <x v="6"/>
    <s v="STORE235"/>
  </r>
  <r>
    <n v="230808"/>
    <s v="People362"/>
    <s v="department"/>
    <s v="REGION4"/>
    <s v="STORE237"/>
    <s v="MANAGER104"/>
    <s v="POSITIVO"/>
    <d v="1899-12-30T22:35:00"/>
    <m/>
    <d v="1899-12-30T22:35:00"/>
    <s v="POSITION6"/>
    <x v="3"/>
    <s v="STORE237"/>
  </r>
  <r>
    <n v="230809"/>
    <s v="People363"/>
    <s v="department"/>
    <s v="REGION3"/>
    <s v="STORE238"/>
    <s v="MANAGER114"/>
    <s v="POSITIVO"/>
    <d v="1899-12-30T03:53:00"/>
    <m/>
    <d v="1899-12-30T03:53:00"/>
    <s v="POSITION1"/>
    <x v="2"/>
    <s v="STORE238"/>
  </r>
  <r>
    <n v="230822"/>
    <s v="People364"/>
    <s v="department"/>
    <s v="REGION2"/>
    <s v="STORE239"/>
    <s v="MANAGER21"/>
    <s v="NEGATIVO"/>
    <d v="1899-12-31T02:19:00"/>
    <d v="1899-12-31T02:19:00"/>
    <m/>
    <s v="POSITION1"/>
    <x v="1"/>
    <s v="STORE239"/>
  </r>
  <r>
    <n v="230827"/>
    <s v="People365"/>
    <s v="department"/>
    <s v="REGION2"/>
    <s v="STORE239"/>
    <s v="MANAGER21"/>
    <s v="NEGATIVO"/>
    <d v="1899-12-31T14:56:00"/>
    <d v="1899-12-31T14:56:00"/>
    <m/>
    <s v="POSITION1"/>
    <x v="1"/>
    <s v="STORE239"/>
  </r>
  <r>
    <n v="230829"/>
    <s v="People366"/>
    <s v="department"/>
    <s v="REGION2"/>
    <s v="STORE240"/>
    <s v="MANAGER15"/>
    <s v="POSITIVO"/>
    <d v="1899-12-30T08:01:00"/>
    <m/>
    <d v="1899-12-30T08:01:00"/>
    <s v="POSITION1"/>
    <x v="1"/>
    <s v="STORE240"/>
  </r>
  <r>
    <n v="230832"/>
    <s v="People367"/>
    <s v="department"/>
    <s v="REGION3"/>
    <s v="STORE241"/>
    <s v="MANAGER3"/>
    <s v="POSITIVO"/>
    <d v="1899-12-30T04:58:00"/>
    <m/>
    <d v="1899-12-30T04:58:00"/>
    <s v="POSITION3"/>
    <x v="2"/>
    <s v="STORE241"/>
  </r>
  <r>
    <n v="230838"/>
    <s v="People368"/>
    <s v="department"/>
    <s v="REGION7"/>
    <s v="STORE231"/>
    <s v="MANAGER112"/>
    <s v="POSITIVO"/>
    <d v="1899-12-30T02:15:00"/>
    <m/>
    <d v="1899-12-30T02:15:00"/>
    <s v="POSITION6"/>
    <x v="6"/>
    <s v="STORE231"/>
  </r>
  <r>
    <n v="230842"/>
    <s v="People369"/>
    <s v="department"/>
    <s v="REGION8"/>
    <s v="STORE242"/>
    <s v="MANAGER106"/>
    <s v="NEGATIVO"/>
    <d v="1900-01-09T14:05:00"/>
    <d v="1900-01-09T14:05:00"/>
    <m/>
    <s v="POSITION6"/>
    <x v="7"/>
    <s v="STORE242"/>
  </r>
  <r>
    <n v="230848"/>
    <s v="People370"/>
    <s v="department"/>
    <s v="REGION9"/>
    <s v="STORE125"/>
    <s v="MANAGER63"/>
    <s v="NEGATIVO"/>
    <d v="1899-12-30T04:59:00"/>
    <d v="1899-12-30T04:59:00"/>
    <m/>
    <s v="POSITION1"/>
    <x v="8"/>
    <s v="STORE125"/>
  </r>
  <r>
    <n v="230857"/>
    <s v="People371"/>
    <s v="department"/>
    <s v="REGION4"/>
    <s v="STORE243"/>
    <s v="MANAGER115"/>
    <s v="NEGATIVO"/>
    <d v="1900-01-03T00:51:00"/>
    <d v="1900-01-03T00:51:00"/>
    <m/>
    <s v="POSITION6"/>
    <x v="3"/>
    <s v="STORE243"/>
  </r>
  <r>
    <n v="230858"/>
    <s v="People372"/>
    <s v="department"/>
    <s v="REGION4"/>
    <s v="STORE244"/>
    <s v="MANAGER115"/>
    <s v="POSITIVO"/>
    <d v="1899-12-30T22:06:00"/>
    <m/>
    <d v="1899-12-30T22:06:00"/>
    <s v="POSITION1"/>
    <x v="3"/>
    <s v="STORE244"/>
  </r>
  <r>
    <n v="230859"/>
    <s v="People373"/>
    <s v="department"/>
    <s v="REGION4"/>
    <s v="STORE130"/>
    <s v="MANAGER78"/>
    <s v="POSITIVO"/>
    <d v="1900-01-01T12:34:00"/>
    <m/>
    <d v="1900-01-01T12:34:00"/>
    <s v="POSITION1"/>
    <x v="3"/>
    <s v="STORE130"/>
  </r>
  <r>
    <n v="230861"/>
    <s v="People374"/>
    <s v="department"/>
    <s v="REGION4"/>
    <s v="STORE130"/>
    <s v="MANAGER78"/>
    <s v="POSITIVO"/>
    <d v="1899-12-30T20:13:00"/>
    <m/>
    <d v="1899-12-30T20:13:00"/>
    <s v="POSITION1"/>
    <x v="3"/>
    <s v="STORE130"/>
  </r>
  <r>
    <n v="230862"/>
    <s v="People375"/>
    <s v="department"/>
    <s v="REGION3"/>
    <s v="STORE245"/>
    <s v="MANAGER3"/>
    <s v="NEGATIVO"/>
    <d v="1899-12-30T06:57:00"/>
    <d v="1899-12-30T06:57:00"/>
    <m/>
    <s v="POSITION3"/>
    <x v="2"/>
    <s v="STORE245"/>
  </r>
  <r>
    <n v="230912"/>
    <s v="People376"/>
    <s v="department"/>
    <s v="REGION2"/>
    <s v="STORE138"/>
    <s v="MANAGER23"/>
    <s v="NEGATIVO"/>
    <d v="1899-12-30T10:29:00"/>
    <d v="1899-12-30T10:29:00"/>
    <m/>
    <s v="POSITION1"/>
    <x v="1"/>
    <s v="STORE138"/>
  </r>
  <r>
    <n v="230931"/>
    <s v="People377"/>
    <s v="department"/>
    <s v="REGION4"/>
    <s v="STORE246"/>
    <s v="MANAGER78"/>
    <s v="NEGATIVO"/>
    <d v="1899-12-30T08:30:00"/>
    <d v="1899-12-30T08:30:00"/>
    <m/>
    <s v="POSITION5"/>
    <x v="3"/>
    <s v="STORE246"/>
  </r>
  <r>
    <n v="230961"/>
    <s v="People378"/>
    <s v="department"/>
    <s v="REGION5"/>
    <s v="STORE45"/>
    <s v="MANAGER30"/>
    <s v="NEGATIVO"/>
    <d v="1900-01-01T23:27:00"/>
    <d v="1900-01-01T23:27:00"/>
    <m/>
    <s v="POSITION5"/>
    <x v="4"/>
    <s v="STORE45"/>
  </r>
  <r>
    <n v="231009"/>
    <s v="People379"/>
    <s v="department"/>
    <s v="REGION8"/>
    <s v="STORE188"/>
    <s v="MANAGER96"/>
    <s v="POSITIVO"/>
    <d v="1899-12-31T14:54:00"/>
    <m/>
    <d v="1899-12-31T14:54:00"/>
    <s v="POSITION1"/>
    <x v="7"/>
    <s v="STORE188"/>
  </r>
  <r>
    <n v="231029"/>
    <s v="People380"/>
    <s v="department"/>
    <s v="REGION1"/>
    <s v="STORE107"/>
    <s v="MANAGER16"/>
    <s v="POSITIVO"/>
    <d v="1899-12-30T06:45:00"/>
    <m/>
    <d v="1899-12-30T06:45:00"/>
    <s v="POSITION1"/>
    <x v="0"/>
    <s v="STORE107"/>
  </r>
  <r>
    <n v="231051"/>
    <s v="People381"/>
    <s v="department"/>
    <s v="REGION5"/>
    <s v="STORE247"/>
    <s v="MANAGER35"/>
    <s v="NEGATIVO"/>
    <d v="1899-12-31T01:54:00"/>
    <d v="1899-12-31T01:54:00"/>
    <m/>
    <s v="POSITION1"/>
    <x v="4"/>
    <s v="STORE247"/>
  </r>
  <r>
    <n v="231057"/>
    <s v="People382"/>
    <s v="department"/>
    <s v="REGION1"/>
    <s v="STORE248"/>
    <s v="MANAGER11"/>
    <s v="NEGATIVO"/>
    <d v="1899-12-31T07:01:00"/>
    <d v="1899-12-31T07:01:00"/>
    <m/>
    <s v="POSITION3"/>
    <x v="0"/>
    <s v="STORE248"/>
  </r>
  <r>
    <n v="231067"/>
    <s v="People383"/>
    <s v="department"/>
    <s v="REGION1"/>
    <s v="STORE249"/>
    <s v="MANAGER11"/>
    <s v="NEGATIVO"/>
    <d v="1900-01-01T14:10:00"/>
    <d v="1900-01-01T14:10:00"/>
    <m/>
    <s v="POSITION3"/>
    <x v="0"/>
    <s v="STORE249"/>
  </r>
  <r>
    <n v="231071"/>
    <s v="People384"/>
    <s v="department"/>
    <s v="REGION7"/>
    <s v="STORE222"/>
    <s v="MANAGER59"/>
    <s v="NEGATIVO"/>
    <d v="1899-12-30T23:57:00"/>
    <d v="1899-12-30T23:57:00"/>
    <m/>
    <s v="POSITION1"/>
    <x v="6"/>
    <s v="STORE222"/>
  </r>
  <r>
    <n v="231079"/>
    <s v="People385"/>
    <s v="department"/>
    <s v="REGION3"/>
    <s v="STORE195"/>
    <s v="MANAGER26"/>
    <s v="POSITIVO"/>
    <d v="1899-12-30T04:52:00"/>
    <m/>
    <d v="1899-12-30T04:52:00"/>
    <s v="POSITION1"/>
    <x v="2"/>
    <s v="STORE195"/>
  </r>
  <r>
    <n v="231091"/>
    <s v="People386"/>
    <s v="department"/>
    <s v="REGION3"/>
    <s v="STORE135"/>
    <s v="MANAGER81"/>
    <s v="NEGATIVO"/>
    <d v="1899-12-30T02:40:00"/>
    <d v="1899-12-30T02:40:00"/>
    <m/>
    <s v="POSITION1"/>
    <x v="2"/>
    <s v="STORE135"/>
  </r>
  <r>
    <n v="231093"/>
    <s v="People387"/>
    <s v="department"/>
    <s v="REGION9"/>
    <s v="STORE233"/>
    <s v="MANAGER105"/>
    <s v="NEGATIVO"/>
    <d v="1899-12-30T22:12:00"/>
    <d v="1899-12-30T22:12:00"/>
    <m/>
    <s v="POSITION1"/>
    <x v="8"/>
    <s v="STORE233"/>
  </r>
  <r>
    <n v="231115"/>
    <s v="People388"/>
    <s v="department"/>
    <s v="REGION8"/>
    <s v="STORE180"/>
    <s v="MANAGER95"/>
    <s v="NEGATIVO"/>
    <d v="1900-01-04T16:06:00"/>
    <d v="1900-01-04T16:06:00"/>
    <m/>
    <s v="POSITION1"/>
    <x v="7"/>
    <s v="STORE180"/>
  </r>
  <r>
    <n v="231116"/>
    <s v="People389"/>
    <s v="department"/>
    <s v="REGION8"/>
    <s v="STORE180"/>
    <s v="MANAGER95"/>
    <s v="POSITIVO"/>
    <d v="1900-01-02T10:11:00"/>
    <m/>
    <d v="1900-01-02T10:11:00"/>
    <s v="POSITION1"/>
    <x v="7"/>
    <s v="STORE180"/>
  </r>
  <r>
    <n v="231144"/>
    <s v="People390"/>
    <s v="department"/>
    <s v="REGION6"/>
    <s v="STORE250"/>
    <s v="MANAGER116"/>
    <s v="POSITIVO"/>
    <d v="1900-01-03T03:35:00"/>
    <m/>
    <d v="1900-01-03T03:35:00"/>
    <s v="POSITION1"/>
    <x v="5"/>
    <s v="STORE250"/>
  </r>
  <r>
    <n v="231145"/>
    <s v="People391"/>
    <s v="department"/>
    <s v="REGION6"/>
    <s v="STORE251"/>
    <s v="MANAGER6"/>
    <s v="POSITIVO"/>
    <d v="1899-12-30T14:28:00"/>
    <m/>
    <d v="1899-12-30T14:28:00"/>
    <s v="POSITION3"/>
    <x v="5"/>
    <s v="STORE251"/>
  </r>
  <r>
    <n v="231164"/>
    <s v="People392"/>
    <s v="department"/>
    <s v="REGION7"/>
    <s v="STORE222"/>
    <s v="MANAGER59"/>
    <s v="NEGATIVO"/>
    <d v="1899-12-30T18:14:00"/>
    <d v="1899-12-30T18:14:00"/>
    <m/>
    <s v="POSITION1"/>
    <x v="6"/>
    <s v="STORE222"/>
  </r>
  <r>
    <n v="231169"/>
    <s v="People393"/>
    <s v="department"/>
    <s v="REGION8"/>
    <s v="STORE213"/>
    <s v="MANAGER37"/>
    <s v="POSITIVO"/>
    <d v="1899-12-30T12:52:00"/>
    <m/>
    <d v="1899-12-30T12:52:00"/>
    <s v="POSITION1"/>
    <x v="7"/>
    <s v="STORE213"/>
  </r>
  <r>
    <n v="231221"/>
    <s v="People394"/>
    <s v="department"/>
    <s v="REGION2"/>
    <s v="STORE252"/>
    <s v="MANAGER66"/>
    <s v="NEGATIVO"/>
    <d v="1899-12-30T04:08:00"/>
    <d v="1899-12-30T04:08:00"/>
    <m/>
    <s v="POSITION1"/>
    <x v="1"/>
    <s v="STORE252"/>
  </r>
  <r>
    <n v="231222"/>
    <s v="People395"/>
    <s v="department"/>
    <s v="REGION6"/>
    <s v="STORE253"/>
    <s v="MANAGER116"/>
    <s v="NEGATIVO"/>
    <d v="1899-12-31T04:21:00"/>
    <d v="1899-12-31T04:21:00"/>
    <m/>
    <s v="POSITION5"/>
    <x v="5"/>
    <s v="STORE253"/>
  </r>
  <r>
    <n v="231223"/>
    <s v="People396"/>
    <s v="department"/>
    <s v="REGION8"/>
    <s v="STORE254"/>
    <s v="MANAGER20"/>
    <s v="POSITIVO"/>
    <d v="1899-12-30T15:15:00"/>
    <m/>
    <d v="1899-12-30T15:15:00"/>
    <s v="POSITION1"/>
    <x v="7"/>
    <s v="STORE254"/>
  </r>
  <r>
    <n v="231226"/>
    <s v="People397"/>
    <s v="department"/>
    <s v="REGION4"/>
    <s v="STORE226"/>
    <s v="MANAGER108"/>
    <s v="POSITIVO"/>
    <d v="1899-12-30T08:01:00"/>
    <m/>
    <d v="1899-12-30T08:01:00"/>
    <s v="POSITION1"/>
    <x v="3"/>
    <s v="STORE226"/>
  </r>
  <r>
    <n v="231228"/>
    <s v="People398"/>
    <s v="department"/>
    <s v="REGION3"/>
    <s v="STORE255"/>
    <s v="MANAGER114"/>
    <s v="NEGATIVO"/>
    <d v="1899-12-30T04:40:00"/>
    <d v="1899-12-30T04:40:00"/>
    <m/>
    <s v="POSITION5"/>
    <x v="2"/>
    <s v="STORE255"/>
  </r>
  <r>
    <n v="231230"/>
    <s v="People399"/>
    <s v="department"/>
    <s v="REGION8"/>
    <s v="STORE41"/>
    <s v="MANAGER28"/>
    <s v="POSITIVO"/>
    <d v="1900-01-02T03:07:00"/>
    <m/>
    <d v="1900-01-02T03:07:00"/>
    <s v="POSITION6"/>
    <x v="7"/>
    <s v="STORE41"/>
  </r>
  <r>
    <n v="231250"/>
    <s v="People400"/>
    <s v="department"/>
    <s v="REGION4"/>
    <s v="STORE246"/>
    <s v="MANAGER78"/>
    <s v="NEGATIVO"/>
    <d v="1899-12-31T14:22:00"/>
    <d v="1899-12-31T14:22:00"/>
    <m/>
    <s v="POSITION6"/>
    <x v="3"/>
    <s v="STORE246"/>
  </r>
  <r>
    <n v="231271"/>
    <s v="People401"/>
    <s v="department"/>
    <s v="REGION8"/>
    <s v="STORE256"/>
    <s v="MANAGER34"/>
    <s v="POSITIVO"/>
    <d v="1899-12-30T19:07:00"/>
    <m/>
    <d v="1899-12-30T19:07:00"/>
    <s v="POSITION1"/>
    <x v="7"/>
    <s v="STORE256"/>
  </r>
  <r>
    <n v="231296"/>
    <s v="People402"/>
    <s v="department"/>
    <s v="REGION5"/>
    <s v="STORE236"/>
    <s v="MANAGER113"/>
    <s v="POSITIVO"/>
    <d v="1900-01-02T02:29:00"/>
    <m/>
    <d v="1900-01-02T02:29:00"/>
    <s v="POSITION1"/>
    <x v="4"/>
    <s v="STORE236"/>
  </r>
  <r>
    <n v="231301"/>
    <s v="People403"/>
    <s v="department"/>
    <s v="REGION7"/>
    <s v="STORE235"/>
    <s v="MANAGER112"/>
    <s v="NEGATIVO"/>
    <d v="1899-12-31T00:39:00"/>
    <d v="1899-12-31T00:39:00"/>
    <m/>
    <s v="POSITION1"/>
    <x v="6"/>
    <s v="STORE235"/>
  </r>
  <r>
    <n v="231305"/>
    <s v="People404"/>
    <s v="department"/>
    <s v="REGION6"/>
    <s v="STORE228"/>
    <s v="MANAGER109"/>
    <s v="POSITIVO"/>
    <d v="1900-01-02T16:40:00"/>
    <m/>
    <d v="1900-01-02T16:40:00"/>
    <s v="POSITION1"/>
    <x v="5"/>
    <s v="STORE228"/>
  </r>
  <r>
    <n v="231307"/>
    <s v="People405"/>
    <s v="department"/>
    <s v="REGION3"/>
    <s v="STORE135"/>
    <s v="MANAGER81"/>
    <s v="POSITIVO"/>
    <d v="1899-12-30T03:36:00"/>
    <m/>
    <d v="1899-12-30T03:36:00"/>
    <s v="POSITION1"/>
    <x v="2"/>
    <s v="STORE135"/>
  </r>
  <r>
    <n v="231359"/>
    <s v="People406"/>
    <s v="department"/>
    <s v="REGION5"/>
    <s v="STORE257"/>
    <s v="MANAGER7"/>
    <s v="POSITIVO"/>
    <d v="1899-12-30T17:36:00"/>
    <m/>
    <d v="1899-12-30T17:36:00"/>
    <s v="POSITION3"/>
    <x v="4"/>
    <s v="STORE257"/>
  </r>
  <r>
    <n v="231420"/>
    <s v="People407"/>
    <s v="department"/>
    <s v="REGION9"/>
    <s v="STORE192"/>
    <s v="MANAGER47"/>
    <s v="POSITIVO"/>
    <d v="1899-12-30T19:44:00"/>
    <m/>
    <d v="1899-12-30T19:44:00"/>
    <s v="POSITION1"/>
    <x v="8"/>
    <s v="STORE192"/>
  </r>
  <r>
    <n v="231430"/>
    <s v="People408"/>
    <s v="department"/>
    <s v="REGION3"/>
    <s v="STORE136"/>
    <s v="MANAGER82"/>
    <s v="NEGATIVO"/>
    <d v="1899-12-30T14:26:00"/>
    <d v="1899-12-30T14:26:00"/>
    <m/>
    <s v="POSITION1"/>
    <x v="2"/>
    <s v="STORE136"/>
  </r>
  <r>
    <n v="231447"/>
    <s v="People409"/>
    <s v="department"/>
    <s v="REGION8"/>
    <s v="STORE54"/>
    <s v="MANAGER37"/>
    <s v="POSITIVO"/>
    <d v="1899-12-30T03:43:00"/>
    <m/>
    <d v="1899-12-30T03:43:00"/>
    <s v="POSITION6"/>
    <x v="7"/>
    <s v="STORE54"/>
  </r>
  <r>
    <n v="231459"/>
    <s v="People410"/>
    <s v="department"/>
    <s v="REGION5"/>
    <s v="STORE258"/>
    <s v="MANAGER117"/>
    <s v="NEGATIVO"/>
    <d v="1899-12-30T00:02:00"/>
    <d v="1899-12-30T00:02:00"/>
    <m/>
    <s v="POSITION1"/>
    <x v="4"/>
    <s v="STORE258"/>
  </r>
  <r>
    <n v="231460"/>
    <s v="People411"/>
    <s v="department"/>
    <s v="REGION5"/>
    <s v="STORE258"/>
    <s v="MANAGER117"/>
    <s v="NEGATIVO"/>
    <d v="1899-12-30T03:15:00"/>
    <d v="1899-12-30T03:15:00"/>
    <m/>
    <s v="POSITION1"/>
    <x v="4"/>
    <s v="STORE258"/>
  </r>
  <r>
    <n v="231488"/>
    <s v="People412"/>
    <s v="department"/>
    <s v="REGION3"/>
    <s v="STORE238"/>
    <s v="MANAGER114"/>
    <s v="POSITIVO"/>
    <d v="1899-12-30T02:53:00"/>
    <m/>
    <d v="1899-12-30T02:53:00"/>
    <s v="POSITION1"/>
    <x v="2"/>
    <s v="STORE238"/>
  </r>
  <r>
    <n v="231492"/>
    <s v="People413"/>
    <s v="department"/>
    <s v="REGION5"/>
    <s v="STORE259"/>
    <s v="MANAGER117"/>
    <s v="POSITIVO"/>
    <d v="1899-12-30T00:41:00"/>
    <m/>
    <d v="1899-12-30T00:41:00"/>
    <s v="POSITION6"/>
    <x v="4"/>
    <s v="STORE259"/>
  </r>
  <r>
    <n v="231499"/>
    <s v="People414"/>
    <s v="department"/>
    <s v="REGION3"/>
    <s v="STORE260"/>
    <s v="MANAGER82"/>
    <s v="NEGATIVO"/>
    <d v="1899-12-30T03:59:00"/>
    <d v="1899-12-30T03:59:00"/>
    <m/>
    <s v="POSITION6"/>
    <x v="2"/>
    <s v="STORE260"/>
  </r>
  <r>
    <n v="231507"/>
    <s v="People415"/>
    <s v="department"/>
    <s v="REGION1"/>
    <s v="STORE61"/>
    <s v="MANAGER40"/>
    <s v="NEGATIVO"/>
    <d v="1899-12-30T15:13:00"/>
    <d v="1899-12-30T15:13:00"/>
    <m/>
    <s v="POSITION6"/>
    <x v="0"/>
    <s v="STORE61"/>
  </r>
  <r>
    <n v="231511"/>
    <s v="People416"/>
    <s v="department"/>
    <s v="REGION7"/>
    <s v="STORE113"/>
    <s v="MANAGER49"/>
    <s v="NEGATIVO"/>
    <d v="1899-12-31T04:19:00"/>
    <d v="1899-12-31T04:19:00"/>
    <m/>
    <s v="POSITION1"/>
    <x v="6"/>
    <s v="STORE113"/>
  </r>
  <r>
    <n v="231545"/>
    <s v="People417"/>
    <s v="department"/>
    <s v="REGION9"/>
    <s v="STORE211"/>
    <s v="MANAGER105"/>
    <s v="POSITIVO"/>
    <d v="1899-12-30T04:37:00"/>
    <m/>
    <d v="1899-12-30T04:37:00"/>
    <s v="POSITION6"/>
    <x v="8"/>
    <s v="STORE211"/>
  </r>
  <r>
    <n v="231554"/>
    <s v="People418"/>
    <s v="department"/>
    <s v="REGION5"/>
    <s v="STORE229"/>
    <s v="MANAGER110"/>
    <s v="POSITIVO"/>
    <d v="1899-12-30T03:00:00"/>
    <m/>
    <d v="1899-12-30T03:00:00"/>
    <s v="POSITION1"/>
    <x v="4"/>
    <s v="STORE229"/>
  </r>
  <r>
    <n v="231560"/>
    <s v="People419"/>
    <s v="department"/>
    <s v="REGION5"/>
    <s v="STORE167"/>
    <s v="MANAGER91"/>
    <s v="POSITIVO"/>
    <d v="1899-12-31T20:50:00"/>
    <m/>
    <d v="1899-12-31T20:50:00"/>
    <s v="POSITION1"/>
    <x v="4"/>
    <s v="STORE167"/>
  </r>
  <r>
    <n v="231590"/>
    <s v="People420"/>
    <s v="department"/>
    <s v="REGION3"/>
    <s v="STORE196"/>
    <s v="MANAGER61"/>
    <s v="NEGATIVO"/>
    <d v="1899-12-30T10:25:00"/>
    <d v="1899-12-30T10:25:00"/>
    <m/>
    <s v="POSITION1"/>
    <x v="2"/>
    <s v="STORE196"/>
  </r>
  <r>
    <n v="231591"/>
    <s v="People421"/>
    <s v="department"/>
    <s v="REGION9"/>
    <s v="STORE131"/>
    <s v="MANAGER79"/>
    <s v="POSITIVO"/>
    <d v="1899-12-30T06:48:00"/>
    <m/>
    <d v="1899-12-30T06:48:00"/>
    <s v="POSITION1"/>
    <x v="8"/>
    <s v="STORE131"/>
  </r>
  <r>
    <n v="231593"/>
    <s v="People422"/>
    <s v="department"/>
    <s v="REGION5"/>
    <s v="STORE261"/>
    <s v="MANAGER7"/>
    <s v="NEGATIVO"/>
    <d v="1899-12-30T17:49:00"/>
    <d v="1899-12-30T17:49:00"/>
    <m/>
    <s v="POSITION3"/>
    <x v="4"/>
    <s v="STORE261"/>
  </r>
  <r>
    <n v="231605"/>
    <s v="People423"/>
    <s v="department"/>
    <s v="REGION7"/>
    <s v="STORE262"/>
    <s v="MANAGER64"/>
    <s v="POSITIVO"/>
    <d v="1899-12-31T03:31:00"/>
    <m/>
    <d v="1899-12-31T03:31:00"/>
    <s v="POSITION1"/>
    <x v="6"/>
    <s v="STORE262"/>
  </r>
  <r>
    <n v="231606"/>
    <s v="People424"/>
    <s v="department"/>
    <s v="REGION7"/>
    <s v="STORE95"/>
    <s v="MANAGER64"/>
    <s v="NEGATIVO"/>
    <d v="1899-12-30T12:46:00"/>
    <d v="1899-12-30T12:46:00"/>
    <m/>
    <s v="POSITION5"/>
    <x v="6"/>
    <s v="STORE95"/>
  </r>
  <r>
    <n v="231646"/>
    <s v="People425"/>
    <s v="department"/>
    <s v="REGION7"/>
    <s v="STORE137"/>
    <s v="MANAGER83"/>
    <s v="NEGATIVO"/>
    <d v="1899-12-30T08:58:00"/>
    <d v="1899-12-30T08:58:00"/>
    <m/>
    <s v="POSITION1"/>
    <x v="6"/>
    <s v="STORE137"/>
  </r>
  <r>
    <n v="231648"/>
    <s v="People426"/>
    <s v="department"/>
    <s v="REGION5"/>
    <s v="STORE175"/>
    <s v="MANAGER30"/>
    <s v="POSITIVO"/>
    <d v="1899-12-31T08:42:00"/>
    <m/>
    <d v="1899-12-31T08:42:00"/>
    <s v="POSITION1"/>
    <x v="4"/>
    <s v="STORE175"/>
  </r>
  <r>
    <n v="231649"/>
    <s v="People427"/>
    <s v="department"/>
    <s v="REGION9"/>
    <s v="STORE72"/>
    <s v="MANAGER47"/>
    <s v="POSITIVO"/>
    <d v="1899-12-30T03:12:00"/>
    <m/>
    <d v="1899-12-30T03:12:00"/>
    <s v="POSITION5"/>
    <x v="8"/>
    <s v="STORE72"/>
  </r>
  <r>
    <n v="231651"/>
    <s v="People428"/>
    <s v="department"/>
    <s v="REGION1"/>
    <s v="STORE24"/>
    <s v="MANAGER1"/>
    <s v="POSITIVO"/>
    <d v="1899-12-30T07:01:00"/>
    <m/>
    <d v="1899-12-30T07:01:00"/>
    <s v="POSITION6"/>
    <x v="0"/>
    <s v="STORE24"/>
  </r>
  <r>
    <n v="231661"/>
    <s v="People429"/>
    <s v="department"/>
    <s v="REGION3"/>
    <s v="STORE260"/>
    <s v="MANAGER82"/>
    <s v="NEGATIVO"/>
    <d v="1899-12-30T05:33:00"/>
    <d v="1899-12-30T05:33:00"/>
    <m/>
    <s v="POSITION6"/>
    <x v="2"/>
    <s v="STORE260"/>
  </r>
  <r>
    <n v="231739"/>
    <s v="People430"/>
    <s v="department"/>
    <s v="REGION8"/>
    <s v="STORE51"/>
    <s v="MANAGER34"/>
    <s v="NEGATIVO"/>
    <d v="1899-12-30T13:32:00"/>
    <d v="1899-12-30T13:32:00"/>
    <m/>
    <s v="POSITION6"/>
    <x v="7"/>
    <s v="STORE51"/>
  </r>
  <r>
    <n v="231742"/>
    <s v="People431"/>
    <s v="department"/>
    <s v="REGION7"/>
    <s v="STORE262"/>
    <s v="MANAGER64"/>
    <s v="NEGATIVO"/>
    <d v="1900-01-15T02:14:00"/>
    <d v="1900-01-15T02:14:00"/>
    <m/>
    <s v="POSITION1"/>
    <x v="6"/>
    <s v="STORE262"/>
  </r>
  <r>
    <n v="231747"/>
    <s v="People432"/>
    <s v="department"/>
    <s v="REGION6"/>
    <s v="STORE217"/>
    <s v="MANAGER100"/>
    <s v="POSITIVO"/>
    <d v="1899-12-30T23:13:00"/>
    <m/>
    <d v="1899-12-30T23:13:00"/>
    <s v="POSITION1"/>
    <x v="5"/>
    <s v="STORE217"/>
  </r>
  <r>
    <n v="231761"/>
    <s v="People433"/>
    <s v="department"/>
    <s v="REGION7"/>
    <s v="STORE262"/>
    <s v="MANAGER64"/>
    <s v="NEGATIVO"/>
    <d v="1899-12-31T19:22:00"/>
    <d v="1899-12-31T19:22:00"/>
    <m/>
    <s v="POSITION1"/>
    <x v="6"/>
    <s v="STORE262"/>
  </r>
  <r>
    <n v="231764"/>
    <s v="People434"/>
    <s v="department"/>
    <s v="REGION3"/>
    <s v="STORE38"/>
    <s v="MANAGER26"/>
    <s v="NEGATIVO"/>
    <d v="1899-12-30T02:36:00"/>
    <d v="1899-12-30T02:36:00"/>
    <m/>
    <s v="POSITION5"/>
    <x v="2"/>
    <s v="STORE38"/>
  </r>
  <r>
    <n v="231776"/>
    <s v="People435"/>
    <s v="department"/>
    <s v="REGION8"/>
    <s v="STORE254"/>
    <s v="MANAGER20"/>
    <s v="POSITIVO"/>
    <d v="1899-12-31T04:12:00"/>
    <m/>
    <d v="1899-12-31T04:12:00"/>
    <s v="POSITION1"/>
    <x v="7"/>
    <s v="STORE254"/>
  </r>
  <r>
    <n v="231797"/>
    <s v="People436"/>
    <s v="department"/>
    <s v="REGION9"/>
    <s v="STORE263"/>
    <s v="MANAGER105"/>
    <s v="POSITIVO"/>
    <d v="1899-12-30T06:39:00"/>
    <m/>
    <d v="1899-12-30T06:39:00"/>
    <s v="POSITION1"/>
    <x v="8"/>
    <s v="STORE263"/>
  </r>
  <r>
    <n v="231800"/>
    <s v="People437"/>
    <s v="department"/>
    <s v="REGION1"/>
    <s v="STORE127"/>
    <s v="MANAGER39"/>
    <s v="POSITIVO"/>
    <d v="1899-12-31T11:48:00"/>
    <m/>
    <d v="1899-12-31T11:48:00"/>
    <s v="POSITION1"/>
    <x v="0"/>
    <s v="STORE127"/>
  </r>
  <r>
    <n v="231811"/>
    <s v="People438"/>
    <s v="department"/>
    <s v="REGION1"/>
    <s v="STORE19"/>
    <s v="MANAGER11"/>
    <s v="NEGATIVO"/>
    <d v="1900-01-09T21:04:00"/>
    <d v="1900-01-09T21:04:00"/>
    <m/>
    <s v="POSITION2"/>
    <x v="0"/>
    <s v="STORE19"/>
  </r>
  <r>
    <n v="231877"/>
    <s v="People439"/>
    <s v="department"/>
    <s v="REGION9"/>
    <s v="STORE264"/>
    <s v="MANAGER10"/>
    <s v="POSITIVO"/>
    <d v="1899-12-30T00:22:00"/>
    <m/>
    <d v="1899-12-30T00:22:00"/>
    <s v="POSITION3"/>
    <x v="8"/>
    <s v="STORE264"/>
  </r>
  <r>
    <n v="231888"/>
    <s v="People440"/>
    <s v="department"/>
    <s v="REGION9"/>
    <s v="STORE265"/>
    <s v="MANAGER84"/>
    <s v="POSITIVO"/>
    <d v="1899-12-30T06:49:00"/>
    <m/>
    <d v="1899-12-30T06:49:00"/>
    <s v="POSITION1"/>
    <x v="8"/>
    <s v="STORE265"/>
  </r>
  <r>
    <n v="231899"/>
    <s v="People441"/>
    <s v="department"/>
    <s v="REGION7"/>
    <s v="STORE222"/>
    <s v="MANAGER59"/>
    <s v="POSITIVO"/>
    <d v="1899-12-31T20:03:00"/>
    <m/>
    <d v="1899-12-31T20:03:00"/>
    <s v="POSITION1"/>
    <x v="6"/>
    <s v="STORE222"/>
  </r>
  <r>
    <n v="231905"/>
    <s v="People442"/>
    <s v="department"/>
    <s v="REGION7"/>
    <s v="STORE151"/>
    <s v="MANAGER54"/>
    <s v="NEGATIVO"/>
    <d v="1899-12-30T03:02:00"/>
    <d v="1899-12-30T03:02:00"/>
    <m/>
    <s v="POSITION1"/>
    <x v="6"/>
    <s v="STORE151"/>
  </r>
  <r>
    <n v="231924"/>
    <s v="People443"/>
    <s v="department"/>
    <s v="REGION1"/>
    <s v="STORE266"/>
    <s v="MANAGER52"/>
    <s v="POSITIVO"/>
    <d v="1899-12-30T03:59:00"/>
    <m/>
    <d v="1899-12-30T03:59:00"/>
    <s v="POSITION1"/>
    <x v="0"/>
    <s v="STORE266"/>
  </r>
  <r>
    <n v="231981"/>
    <s v="People444"/>
    <s v="department"/>
    <s v="REGION4"/>
    <s v="STORE244"/>
    <s v="MANAGER115"/>
    <s v="NEGATIVO"/>
    <d v="1899-12-30T21:36:00"/>
    <d v="1899-12-30T21:36:00"/>
    <m/>
    <s v="POSITION1"/>
    <x v="3"/>
    <s v="STORE244"/>
  </r>
  <r>
    <n v="231982"/>
    <s v="People445"/>
    <s v="department"/>
    <s v="REGION3"/>
    <s v="STORE196"/>
    <s v="MANAGER61"/>
    <s v="POSITIVO"/>
    <d v="1899-12-30T21:14:00"/>
    <m/>
    <d v="1899-12-30T21:14:00"/>
    <s v="POSITION1"/>
    <x v="2"/>
    <s v="STORE196"/>
  </r>
  <r>
    <n v="231994"/>
    <s v="People446"/>
    <s v="department"/>
    <s v="REGION4"/>
    <s v="STORE267"/>
    <s v="MANAGER38"/>
    <s v="POSITIVO"/>
    <d v="1899-12-30T01:50:00"/>
    <m/>
    <d v="1899-12-30T01:50:00"/>
    <s v="POSITION1"/>
    <x v="3"/>
    <s v="STORE267"/>
  </r>
  <r>
    <n v="232004"/>
    <s v="People447"/>
    <s v="department"/>
    <s v="REGION8"/>
    <s v="STORE198"/>
    <s v="MANAGER18"/>
    <s v="POSITIVO"/>
    <d v="1899-12-30T18:32:00"/>
    <m/>
    <d v="1899-12-30T18:32:00"/>
    <s v="POSITION1"/>
    <x v="7"/>
    <s v="STORE198"/>
  </r>
  <r>
    <n v="232005"/>
    <s v="People448"/>
    <s v="department"/>
    <s v="REGION7"/>
    <s v="STORE129"/>
    <s v="MANAGER55"/>
    <s v="POSITIVO"/>
    <d v="1899-12-30T17:49:00"/>
    <m/>
    <d v="1899-12-30T17:49:00"/>
    <s v="POSITION1"/>
    <x v="6"/>
    <s v="STORE129"/>
  </r>
  <r>
    <n v="232007"/>
    <s v="People449"/>
    <s v="department"/>
    <s v="REGION6"/>
    <s v="STORE217"/>
    <s v="MANAGER100"/>
    <s v="POSITIVO"/>
    <d v="1899-12-30T14:02:00"/>
    <m/>
    <d v="1899-12-30T14:02:00"/>
    <s v="POSITION1"/>
    <x v="5"/>
    <s v="STORE217"/>
  </r>
  <r>
    <n v="232012"/>
    <s v="People450"/>
    <s v="department"/>
    <s v="REGION4"/>
    <s v="STORE243"/>
    <s v="MANAGER115"/>
    <s v="NEGATIVO"/>
    <d v="1900-01-02T21:36:00"/>
    <d v="1900-01-02T21:36:00"/>
    <m/>
    <s v="POSITION6"/>
    <x v="3"/>
    <s v="STORE243"/>
  </r>
  <r>
    <n v="232027"/>
    <s v="People451"/>
    <s v="department"/>
    <s v="REGION2"/>
    <s v="STORE158"/>
    <s v="MANAGER80"/>
    <s v="POSITIVO"/>
    <d v="1900-01-02T11:57:00"/>
    <m/>
    <d v="1900-01-02T11:57:00"/>
    <s v="POSITION1"/>
    <x v="1"/>
    <s v="STORE158"/>
  </r>
  <r>
    <n v="232028"/>
    <s v="People452"/>
    <s v="department"/>
    <s v="REGION9"/>
    <s v="STORE72"/>
    <s v="MANAGER47"/>
    <s v="NEGATIVO"/>
    <d v="1899-12-31T10:15:00"/>
    <d v="1899-12-31T10:15:00"/>
    <m/>
    <s v="POSITION6"/>
    <x v="8"/>
    <s v="STORE72"/>
  </r>
  <r>
    <n v="232034"/>
    <s v="People453"/>
    <s v="department"/>
    <s v="REGION7"/>
    <s v="STORE73"/>
    <s v="MANAGER48"/>
    <s v="NEGATIVO"/>
    <d v="1899-12-30T21:10:00"/>
    <d v="1899-12-30T21:10:00"/>
    <m/>
    <s v="POSITION1"/>
    <x v="6"/>
    <s v="STORE73"/>
  </r>
  <r>
    <n v="232036"/>
    <s v="People454"/>
    <s v="department"/>
    <s v="REGION9"/>
    <s v="STORE268"/>
    <s v="MANAGER98"/>
    <s v="POSITIVO"/>
    <d v="1899-12-30T00:25:00"/>
    <m/>
    <d v="1899-12-30T00:25:00"/>
    <s v="POSITION5"/>
    <x v="8"/>
    <s v="STORE268"/>
  </r>
  <r>
    <n v="232039"/>
    <s v="People455"/>
    <s v="department"/>
    <s v="REGION1"/>
    <s v="STORE105"/>
    <s v="MANAGER68"/>
    <s v="NEGATIVO"/>
    <d v="1899-12-30T06:59:00"/>
    <d v="1899-12-30T06:59:00"/>
    <m/>
    <s v="POSITION6"/>
    <x v="0"/>
    <s v="STORE105"/>
  </r>
  <r>
    <n v="232043"/>
    <s v="People456"/>
    <s v="department"/>
    <s v="REGION1"/>
    <s v="STORE152"/>
    <s v="MANAGER68"/>
    <s v="POSITIVO"/>
    <d v="1899-12-30T08:17:00"/>
    <m/>
    <d v="1899-12-30T08:17:00"/>
    <s v="POSITION1"/>
    <x v="0"/>
    <s v="STORE152"/>
  </r>
  <r>
    <n v="232059"/>
    <s v="People457"/>
    <s v="department"/>
    <s v="REGION8"/>
    <s v="STORE242"/>
    <s v="MANAGER106"/>
    <s v="NEGATIVO"/>
    <d v="1900-01-01T02:21:00"/>
    <d v="1900-01-01T02:21:00"/>
    <m/>
    <s v="POSITION6"/>
    <x v="7"/>
    <s v="STORE242"/>
  </r>
  <r>
    <n v="232065"/>
    <s v="People458"/>
    <s v="department"/>
    <s v="REGION1"/>
    <s v="STORE78"/>
    <s v="MANAGER52"/>
    <s v="NEGATIVO"/>
    <d v="1899-12-30T00:48:00"/>
    <d v="1899-12-30T00:48:00"/>
    <m/>
    <s v="POSITION5"/>
    <x v="0"/>
    <s v="STORE78"/>
  </r>
  <r>
    <n v="232098"/>
    <s v="People459"/>
    <s v="department"/>
    <s v="REGION2"/>
    <s v="STORE223"/>
    <s v="MANAGER107"/>
    <s v="NEGATIVO"/>
    <d v="1899-12-31T02:19:00"/>
    <d v="1899-12-31T02:19:00"/>
    <m/>
    <s v="POSITION1"/>
    <x v="1"/>
    <s v="STORE223"/>
  </r>
  <r>
    <n v="232151"/>
    <s v="People460"/>
    <s v="department"/>
    <s v="REGION4"/>
    <s v="STORE145"/>
    <s v="MANAGER29"/>
    <s v="NEGATIVO"/>
    <d v="1899-12-30T23:49:00"/>
    <d v="1899-12-30T23:49:00"/>
    <m/>
    <s v="POSITION1"/>
    <x v="3"/>
    <s v="STORE145"/>
  </r>
  <r>
    <n v="232152"/>
    <s v="People461"/>
    <s v="department"/>
    <s v="REGION5"/>
    <s v="STORE47"/>
    <s v="MANAGER32"/>
    <s v="NEGATIVO"/>
    <d v="1900-01-06T23:31:00"/>
    <d v="1900-01-06T23:31:00"/>
    <m/>
    <s v="POSITION7"/>
    <x v="4"/>
    <s v="STORE47"/>
  </r>
  <r>
    <n v="232179"/>
    <s v="People462"/>
    <s v="department"/>
    <s v="REGION3"/>
    <s v="STORE149"/>
    <s v="MANAGER85"/>
    <s v="POSITIVO"/>
    <d v="1899-12-30T07:45:00"/>
    <m/>
    <d v="1899-12-30T07:45:00"/>
    <s v="POSITION1"/>
    <x v="2"/>
    <s v="STORE149"/>
  </r>
  <r>
    <n v="232184"/>
    <s v="People463"/>
    <s v="department"/>
    <s v="REGION9"/>
    <s v="STORE269"/>
    <s v="MANAGER90"/>
    <s v="POSITIVO"/>
    <d v="1899-12-30T19:37:00"/>
    <m/>
    <d v="1899-12-30T19:37:00"/>
    <s v="POSITION1"/>
    <x v="8"/>
    <s v="STORE269"/>
  </r>
  <r>
    <n v="232238"/>
    <s v="People464"/>
    <s v="department"/>
    <s v="REGION4"/>
    <s v="STORE130"/>
    <s v="MANAGER78"/>
    <s v="NEGATIVO"/>
    <d v="1899-12-30T01:59:00"/>
    <d v="1899-12-30T01:59:00"/>
    <m/>
    <s v="POSITION1"/>
    <x v="3"/>
    <s v="STORE130"/>
  </r>
  <r>
    <n v="232249"/>
    <s v="People465"/>
    <s v="department"/>
    <s v="REGION9"/>
    <s v="STORE268"/>
    <s v="MANAGER98"/>
    <s v="POSITIVO"/>
    <d v="1899-12-30T00:06:00"/>
    <m/>
    <d v="1899-12-30T00:06:00"/>
    <s v="POSITION6"/>
    <x v="8"/>
    <s v="STORE268"/>
  </r>
  <r>
    <n v="232259"/>
    <s v="People466"/>
    <s v="department"/>
    <s v="REGION5"/>
    <s v="STORE270"/>
    <s v="MANAGER5"/>
    <s v="POSITIVO"/>
    <d v="1899-12-31T10:03:00"/>
    <m/>
    <d v="1899-12-31T10:03:00"/>
    <s v="POSITION1"/>
    <x v="4"/>
    <s v="STORE270"/>
  </r>
  <r>
    <n v="232266"/>
    <s v="People467"/>
    <s v="department"/>
    <s v="REGION7"/>
    <s v="STORE95"/>
    <s v="MANAGER64"/>
    <s v="POSITIVO"/>
    <d v="1899-12-30T00:29:00"/>
    <m/>
    <d v="1899-12-30T00:29:00"/>
    <s v="POSITION6"/>
    <x v="6"/>
    <s v="STORE95"/>
  </r>
  <r>
    <n v="232271"/>
    <s v="People468"/>
    <s v="department"/>
    <s v="REGION6"/>
    <s v="STORE208"/>
    <s v="MANAGER57"/>
    <s v="POSITIVO"/>
    <d v="1899-12-30T17:24:00"/>
    <m/>
    <d v="1899-12-30T17:24:00"/>
    <s v="POSITION1"/>
    <x v="5"/>
    <s v="STORE208"/>
  </r>
  <r>
    <n v="232272"/>
    <s v="People469"/>
    <s v="department"/>
    <s v="REGION2"/>
    <s v="STORE138"/>
    <s v="MANAGER23"/>
    <s v="NEGATIVO"/>
    <d v="1899-12-30T19:16:00"/>
    <d v="1899-12-30T19:16:00"/>
    <m/>
    <s v="POSITION1"/>
    <x v="1"/>
    <s v="STORE138"/>
  </r>
  <r>
    <n v="232279"/>
    <s v="People470"/>
    <s v="department"/>
    <s v="REGION9"/>
    <s v="STORE271"/>
    <s v="MANAGER10"/>
    <s v="POSITIVO"/>
    <d v="1899-12-30T04:25:00"/>
    <m/>
    <d v="1899-12-30T04:25:00"/>
    <s v="POSITION3"/>
    <x v="8"/>
    <s v="STORE271"/>
  </r>
  <r>
    <n v="232287"/>
    <s v="People471"/>
    <s v="department"/>
    <s v="REGION4"/>
    <s v="STORE272"/>
    <s v="MANAGER118"/>
    <s v="NEGATIVO"/>
    <d v="1899-12-31T00:59:00"/>
    <d v="1899-12-31T00:59:00"/>
    <m/>
    <s v="POSITION1"/>
    <x v="3"/>
    <s v="STORE272"/>
  </r>
  <r>
    <n v="232288"/>
    <s v="People472"/>
    <s v="department"/>
    <s v="REGION3"/>
    <s v="STORE273"/>
    <s v="MANAGER44"/>
    <s v="NEGATIVO"/>
    <d v="1899-12-31T05:04:00"/>
    <d v="1899-12-31T05:04:00"/>
    <m/>
    <s v="POSITION1"/>
    <x v="2"/>
    <s v="STORE273"/>
  </r>
  <r>
    <n v="232405"/>
    <s v="People473"/>
    <s v="department"/>
    <s v="REGION3"/>
    <s v="STORE179"/>
    <s v="MANAGER94"/>
    <s v="POSITIVO"/>
    <d v="1899-12-31T08:03:00"/>
    <m/>
    <d v="1899-12-31T08:03:00"/>
    <s v="POSITION1"/>
    <x v="2"/>
    <s v="STORE179"/>
  </r>
  <r>
    <n v="232410"/>
    <s v="People474"/>
    <s v="department"/>
    <s v="REGION1"/>
    <s v="STORE274"/>
    <s v="MANAGER11"/>
    <s v="POSITIVO"/>
    <d v="1899-12-30T12:27:00"/>
    <m/>
    <d v="1899-12-30T12:27:00"/>
    <s v="POSITION3"/>
    <x v="0"/>
    <s v="STORE274"/>
  </r>
  <r>
    <n v="232411"/>
    <s v="People475"/>
    <s v="department"/>
    <s v="REGION9"/>
    <s v="STORE119"/>
    <s v="MANAGER74"/>
    <s v="NEGATIVO"/>
    <d v="1900-01-07T01:42:00"/>
    <d v="1900-01-07T01:42:00"/>
    <m/>
    <s v="POSITION1"/>
    <x v="8"/>
    <s v="STORE119"/>
  </r>
  <r>
    <n v="232415"/>
    <s v="People476"/>
    <s v="department"/>
    <s v="REGION7"/>
    <s v="STORE222"/>
    <s v="MANAGER59"/>
    <s v="NEGATIVO"/>
    <d v="1899-12-31T07:11:00"/>
    <d v="1899-12-31T07:11:00"/>
    <m/>
    <s v="POSITION1"/>
    <x v="6"/>
    <s v="STORE222"/>
  </r>
  <r>
    <n v="232418"/>
    <s v="People477"/>
    <s v="department"/>
    <s v="REGION8"/>
    <s v="STORE203"/>
    <s v="MANAGER103"/>
    <s v="NEGATIVO"/>
    <d v="1900-01-09T13:17:00"/>
    <d v="1900-01-09T13:17:00"/>
    <m/>
    <s v="POSITION1"/>
    <x v="7"/>
    <s v="STORE203"/>
  </r>
  <r>
    <n v="232421"/>
    <s v="People478"/>
    <s v="department"/>
    <s v="REGION1"/>
    <s v="STORE1"/>
    <s v="MANAGER1"/>
    <s v="NEGATIVO"/>
    <d v="1899-12-30T16:40:00"/>
    <d v="1899-12-30T16:40:00"/>
    <m/>
    <s v="POSITION1"/>
    <x v="0"/>
    <s v="STORE1"/>
  </r>
  <r>
    <n v="232452"/>
    <s v="People479"/>
    <s v="department"/>
    <s v="REGION7"/>
    <s v="STORE137"/>
    <s v="MANAGER83"/>
    <s v="NEGATIVO"/>
    <d v="1899-12-30T11:38:00"/>
    <d v="1899-12-30T11:38:00"/>
    <m/>
    <s v="POSITION1"/>
    <x v="6"/>
    <s v="STORE137"/>
  </r>
  <r>
    <n v="232479"/>
    <s v="People480"/>
    <s v="department"/>
    <s v="REGION9"/>
    <s v="STORE126"/>
    <s v="MANAGER74"/>
    <s v="NEGATIVO"/>
    <d v="1900-01-06T21:36:00"/>
    <d v="1900-01-06T21:36:00"/>
    <m/>
    <s v="POSITION5"/>
    <x v="8"/>
    <s v="STORE126"/>
  </r>
  <r>
    <n v="232506"/>
    <s v="People481"/>
    <s v="department"/>
    <s v="REGION9"/>
    <s v="STORE141"/>
    <s v="MANAGER25"/>
    <s v="NEGATIVO"/>
    <d v="1899-12-30T09:19:00"/>
    <d v="1899-12-30T09:19:00"/>
    <m/>
    <s v="POSITION1"/>
    <x v="8"/>
    <s v="STORE141"/>
  </r>
  <r>
    <n v="232512"/>
    <s v="People482"/>
    <s v="department"/>
    <s v="REGION5"/>
    <s v="STORE270"/>
    <s v="MANAGER5"/>
    <s v="NEGATIVO"/>
    <d v="1900-01-10T22:18:00"/>
    <d v="1900-01-10T22:18:00"/>
    <m/>
    <s v="POSITION1"/>
    <x v="4"/>
    <s v="STORE270"/>
  </r>
  <r>
    <n v="232518"/>
    <s v="People483"/>
    <s v="department"/>
    <s v="REGION1"/>
    <s v="STORE152"/>
    <s v="MANAGER68"/>
    <s v="NEGATIVO"/>
    <d v="1899-12-30T12:45:00"/>
    <d v="1899-12-30T12:45:00"/>
    <m/>
    <s v="POSITION1"/>
    <x v="0"/>
    <s v="STORE152"/>
  </r>
  <r>
    <n v="232542"/>
    <s v="People484"/>
    <s v="department"/>
    <s v="REGION5"/>
    <s v="STORE167"/>
    <s v="MANAGER91"/>
    <s v="POSITIVO"/>
    <d v="1899-12-31T00:44:00"/>
    <m/>
    <d v="1899-12-31T00:44:00"/>
    <s v="POSITION1"/>
    <x v="4"/>
    <s v="STORE167"/>
  </r>
  <r>
    <n v="232546"/>
    <s v="People485"/>
    <s v="department"/>
    <s v="REGION7"/>
    <s v="STORE151"/>
    <s v="MANAGER54"/>
    <s v="NEGATIVO"/>
    <d v="1899-12-30T19:11:00"/>
    <d v="1899-12-30T19:11:00"/>
    <m/>
    <s v="POSITION1"/>
    <x v="6"/>
    <s v="STORE151"/>
  </r>
  <r>
    <n v="232547"/>
    <s v="People486"/>
    <s v="department"/>
    <s v="REGION9"/>
    <s v="STORE275"/>
    <s v="MANAGER10"/>
    <s v="POSITIVO"/>
    <d v="1899-12-30T00:10:00"/>
    <m/>
    <d v="1899-12-30T00:10:00"/>
    <s v="POSITION3"/>
    <x v="8"/>
    <s v="STORE275"/>
  </r>
  <r>
    <n v="232550"/>
    <s v="People487"/>
    <s v="department"/>
    <s v="REGION5"/>
    <s v="STORE276"/>
    <s v="MANAGER7"/>
    <s v="NEGATIVO"/>
    <d v="1899-12-30T17:23:00"/>
    <d v="1899-12-30T17:23:00"/>
    <m/>
    <s v="POSITION3"/>
    <x v="4"/>
    <s v="STORE276"/>
  </r>
  <r>
    <n v="232565"/>
    <s v="People488"/>
    <s v="department"/>
    <s v="REGION5"/>
    <s v="STORE277"/>
    <s v="MANAGER119"/>
    <s v="NEGATIVO"/>
    <d v="1899-12-30T01:04:00"/>
    <d v="1899-12-30T01:04:00"/>
    <m/>
    <s v="POSITION1"/>
    <x v="4"/>
    <s v="STORE277"/>
  </r>
  <r>
    <n v="232589"/>
    <s v="People489"/>
    <s v="department"/>
    <s v="REGION2"/>
    <s v="STORE187"/>
    <s v="MANAGER41"/>
    <s v="POSITIVO"/>
    <d v="1899-12-30T12:25:00"/>
    <m/>
    <d v="1899-12-30T12:25:00"/>
    <s v="POSITION1"/>
    <x v="1"/>
    <s v="STORE187"/>
  </r>
  <r>
    <n v="232590"/>
    <s v="People490"/>
    <s v="department"/>
    <s v="REGION3"/>
    <s v="STORE149"/>
    <s v="MANAGER85"/>
    <s v="POSITIVO"/>
    <d v="1899-12-30T14:56:00"/>
    <m/>
    <d v="1899-12-30T14:56:00"/>
    <s v="POSITION1"/>
    <x v="2"/>
    <s v="STORE149"/>
  </r>
  <r>
    <n v="232595"/>
    <s v="People491"/>
    <s v="department"/>
    <s v="REGION7"/>
    <s v="STORE164"/>
    <s v="MANAGER31"/>
    <s v="POSITIVO"/>
    <d v="1899-12-30T03:06:00"/>
    <m/>
    <d v="1899-12-30T03:06:00"/>
    <s v="POSITION1"/>
    <x v="6"/>
    <s v="STORE164"/>
  </r>
  <r>
    <n v="232671"/>
    <s v="People492"/>
    <s v="department"/>
    <s v="REGION7"/>
    <s v="STORE129"/>
    <s v="MANAGER55"/>
    <s v="NEGATIVO"/>
    <d v="1900-01-02T00:28:00"/>
    <d v="1900-01-02T00:28:00"/>
    <m/>
    <s v="POSITION1"/>
    <x v="6"/>
    <s v="STORE129"/>
  </r>
  <r>
    <n v="232699"/>
    <s v="People493"/>
    <s v="department"/>
    <s v="REGION1"/>
    <s v="STORE278"/>
    <s v="MANAGER120"/>
    <s v="NEGATIVO"/>
    <d v="1899-12-30T16:22:00"/>
    <d v="1899-12-30T16:22:00"/>
    <m/>
    <s v="POSITION1"/>
    <x v="0"/>
    <s v="STORE278"/>
  </r>
  <r>
    <n v="232701"/>
    <s v="People494"/>
    <s v="department"/>
    <s v="REGION1"/>
    <s v="STORE266"/>
    <s v="MANAGER52"/>
    <s v="POSITIVO"/>
    <d v="1899-12-31T16:40:00"/>
    <m/>
    <d v="1899-12-31T16:40:00"/>
    <s v="POSITION1"/>
    <x v="0"/>
    <s v="STORE266"/>
  </r>
  <r>
    <n v="232706"/>
    <s v="People495"/>
    <s v="department"/>
    <s v="REGION6"/>
    <s v="STORE90"/>
    <s v="MANAGER60"/>
    <s v="NEGATIVO"/>
    <d v="1899-12-30T12:50:00"/>
    <d v="1899-12-30T12:50:00"/>
    <m/>
    <s v="POSITION1"/>
    <x v="5"/>
    <s v="STORE90"/>
  </r>
  <r>
    <n v="232716"/>
    <s v="People496"/>
    <s v="department"/>
    <s v="REGION8"/>
    <s v="STORE254"/>
    <s v="MANAGER20"/>
    <s v="POSITIVO"/>
    <d v="1899-12-30T23:19:00"/>
    <m/>
    <d v="1899-12-30T23:19:00"/>
    <s v="POSITION1"/>
    <x v="7"/>
    <s v="STORE254"/>
  </r>
  <r>
    <n v="232718"/>
    <s v="People497"/>
    <s v="department"/>
    <s v="REGION9"/>
    <s v="STORE265"/>
    <s v="MANAGER84"/>
    <s v="POSITIVO"/>
    <d v="1899-12-30T03:25:00"/>
    <m/>
    <d v="1899-12-30T03:25:00"/>
    <s v="POSITION1"/>
    <x v="8"/>
    <s v="STORE265"/>
  </r>
  <r>
    <n v="232736"/>
    <s v="People498"/>
    <s v="department"/>
    <s v="REGION2"/>
    <s v="STORE279"/>
    <s v="MANAGER2"/>
    <s v="POSITIVO"/>
    <d v="1899-12-30T02:32:00"/>
    <m/>
    <d v="1899-12-30T02:32:00"/>
    <s v="POSITION3"/>
    <x v="1"/>
    <s v="STORE279"/>
  </r>
  <r>
    <n v="232737"/>
    <s v="People499"/>
    <s v="department"/>
    <s v="REGION5"/>
    <s v="STORE280"/>
    <s v="MANAGER119"/>
    <s v="NEGATIVO"/>
    <d v="1899-12-30T01:34:00"/>
    <d v="1899-12-30T01:34:00"/>
    <m/>
    <s v="POSITION5"/>
    <x v="4"/>
    <s v="STORE280"/>
  </r>
  <r>
    <n v="232763"/>
    <s v="People500"/>
    <s v="department"/>
    <s v="REGION8"/>
    <s v="STORE242"/>
    <s v="MANAGER106"/>
    <s v="NEGATIVO"/>
    <d v="1899-12-30T15:34:00"/>
    <d v="1899-12-30T15:34:00"/>
    <m/>
    <s v="POSITION5"/>
    <x v="7"/>
    <s v="STORE242"/>
  </r>
  <r>
    <n v="232766"/>
    <s v="People501"/>
    <s v="department"/>
    <s v="REGION8"/>
    <s v="STORE213"/>
    <s v="MANAGER37"/>
    <s v="POSITIVO"/>
    <d v="1899-12-31T11:37:00"/>
    <m/>
    <d v="1899-12-31T11:37:00"/>
    <s v="POSITION1"/>
    <x v="7"/>
    <s v="STORE213"/>
  </r>
  <r>
    <n v="232793"/>
    <s v="People502"/>
    <s v="department"/>
    <s v="REGION6"/>
    <s v="STORE281"/>
    <s v="MANAGER75"/>
    <s v="POSITIVO"/>
    <d v="1900-01-04T00:43:00"/>
    <m/>
    <d v="1900-01-04T00:43:00"/>
    <s v="POSITION1"/>
    <x v="5"/>
    <s v="STORE281"/>
  </r>
  <r>
    <n v="232795"/>
    <s v="People503"/>
    <s v="department"/>
    <s v="REGION3"/>
    <s v="STORE282"/>
    <s v="MANAGER102"/>
    <s v="POSITIVO"/>
    <d v="1899-12-30T06:52:00"/>
    <m/>
    <d v="1899-12-30T06:52:00"/>
    <s v="POSITION1"/>
    <x v="2"/>
    <s v="STORE282"/>
  </r>
  <r>
    <n v="232796"/>
    <s v="People504"/>
    <s v="department"/>
    <s v="REGION8"/>
    <s v="STORE283"/>
    <s v="MANAGER62"/>
    <s v="NEGATIVO"/>
    <d v="1899-12-31T14:07:00"/>
    <d v="1899-12-31T14:07:00"/>
    <m/>
    <s v="POSITION1"/>
    <x v="7"/>
    <s v="STORE283"/>
  </r>
  <r>
    <n v="232797"/>
    <s v="People505"/>
    <s v="department"/>
    <s v="REGION8"/>
    <s v="STORE283"/>
    <s v="MANAGER62"/>
    <s v="POSITIVO"/>
    <d v="1900-01-02T02:06:00"/>
    <m/>
    <d v="1900-01-02T02:06:00"/>
    <s v="POSITION1"/>
    <x v="7"/>
    <s v="STORE283"/>
  </r>
  <r>
    <n v="232809"/>
    <s v="People506"/>
    <s v="department"/>
    <s v="REGION8"/>
    <s v="STORE189"/>
    <s v="MANAGER97"/>
    <s v="POSITIVO"/>
    <d v="1899-12-30T00:22:00"/>
    <m/>
    <d v="1899-12-30T00:22:00"/>
    <s v="POSITION1"/>
    <x v="7"/>
    <s v="STORE189"/>
  </r>
  <r>
    <n v="232810"/>
    <s v="People507"/>
    <s v="department"/>
    <s v="REGION6"/>
    <s v="STORE184"/>
    <s v="MANAGER87"/>
    <s v="NEGATIVO"/>
    <d v="1899-12-31T10:56:00"/>
    <d v="1899-12-31T10:56:00"/>
    <m/>
    <s v="POSITION1"/>
    <x v="5"/>
    <s v="STORE184"/>
  </r>
  <r>
    <n v="232811"/>
    <s v="People508"/>
    <s v="department"/>
    <s v="REGION6"/>
    <s v="STORE90"/>
    <s v="MANAGER60"/>
    <s v="POSITIVO"/>
    <d v="1899-12-31T01:54:00"/>
    <m/>
    <d v="1899-12-31T01:54:00"/>
    <s v="POSITION1"/>
    <x v="5"/>
    <s v="STORE90"/>
  </r>
  <r>
    <n v="232817"/>
    <s v="People509"/>
    <s v="department"/>
    <s v="REGION8"/>
    <s v="STORE92"/>
    <s v="MANAGER62"/>
    <s v="NEGATIVO"/>
    <d v="1899-12-31T15:47:00"/>
    <d v="1899-12-31T15:47:00"/>
    <m/>
    <s v="POSITION5"/>
    <x v="7"/>
    <s v="STORE92"/>
  </r>
  <r>
    <n v="232818"/>
    <s v="People510"/>
    <s v="department"/>
    <s v="REGION8"/>
    <s v="STORE283"/>
    <s v="MANAGER62"/>
    <s v="NEGATIVO"/>
    <d v="1899-12-30T12:45:00"/>
    <d v="1899-12-30T12:45:00"/>
    <m/>
    <s v="POSITION1"/>
    <x v="7"/>
    <s v="STORE283"/>
  </r>
  <r>
    <n v="232821"/>
    <s v="People511"/>
    <s v="department"/>
    <s v="REGION1"/>
    <s v="STORE78"/>
    <s v="MANAGER52"/>
    <s v="NEGATIVO"/>
    <d v="1900-01-03T06:00:00"/>
    <d v="1900-01-03T06:00:00"/>
    <m/>
    <s v="POSITION5"/>
    <x v="0"/>
    <s v="STORE78"/>
  </r>
  <r>
    <n v="232823"/>
    <s v="People512"/>
    <s v="department"/>
    <s v="REGION7"/>
    <s v="STORE151"/>
    <s v="MANAGER54"/>
    <s v="NEGATIVO"/>
    <d v="1899-12-30T04:40:00"/>
    <d v="1899-12-30T04:40:00"/>
    <m/>
    <s v="POSITION1"/>
    <x v="6"/>
    <s v="STORE151"/>
  </r>
  <r>
    <n v="232824"/>
    <s v="People513"/>
    <s v="department"/>
    <s v="REGION6"/>
    <s v="STORE65"/>
    <s v="MANAGER42"/>
    <s v="NEGATIVO"/>
    <d v="1899-12-31T01:43:00"/>
    <d v="1899-12-31T01:43:00"/>
    <m/>
    <s v="POSITION6"/>
    <x v="5"/>
    <s v="STORE65"/>
  </r>
  <r>
    <n v="232830"/>
    <s v="People514"/>
    <s v="department"/>
    <s v="REGION4"/>
    <s v="STORE8"/>
    <s v="MANAGER4"/>
    <s v="POSITIVO"/>
    <d v="1899-12-30T02:29:00"/>
    <m/>
    <d v="1899-12-30T02:29:00"/>
    <s v="POSITION1"/>
    <x v="3"/>
    <s v="STORE8"/>
  </r>
  <r>
    <n v="232831"/>
    <s v="People515"/>
    <s v="department"/>
    <s v="REGION2"/>
    <s v="STORE104"/>
    <s v="MANAGER67"/>
    <s v="NEGATIVO"/>
    <d v="1899-12-30T01:27:00"/>
    <d v="1899-12-30T01:27:00"/>
    <m/>
    <s v="POSITION1"/>
    <x v="1"/>
    <s v="STORE104"/>
  </r>
  <r>
    <n v="232842"/>
    <s v="People516"/>
    <s v="department"/>
    <s v="REGION8"/>
    <s v="STORE254"/>
    <s v="MANAGER20"/>
    <s v="POSITIVO"/>
    <d v="1899-12-30T18:58:00"/>
    <m/>
    <d v="1899-12-30T18:58:00"/>
    <s v="POSITION1"/>
    <x v="7"/>
    <s v="STORE254"/>
  </r>
  <r>
    <n v="232856"/>
    <s v="People517"/>
    <s v="department"/>
    <s v="REGION4"/>
    <s v="STORE66"/>
    <s v="MANAGER43"/>
    <s v="NEGATIVO"/>
    <d v="1899-12-30T21:53:00"/>
    <d v="1899-12-30T21:53:00"/>
    <m/>
    <s v="POSITION7"/>
    <x v="3"/>
    <s v="STORE66"/>
  </r>
  <r>
    <n v="232864"/>
    <s v="People518"/>
    <s v="department"/>
    <s v="REGION2"/>
    <s v="STORE104"/>
    <s v="MANAGER67"/>
    <s v="NEGATIVO"/>
    <d v="1899-12-30T07:59:00"/>
    <d v="1899-12-30T07:59:00"/>
    <m/>
    <s v="POSITION1"/>
    <x v="1"/>
    <s v="STORE104"/>
  </r>
  <r>
    <n v="232882"/>
    <s v="People519"/>
    <s v="department"/>
    <s v="REGION6"/>
    <s v="STORE284"/>
    <s v="MANAGER75"/>
    <s v="POSITIVO"/>
    <d v="1900-01-01T12:49:00"/>
    <m/>
    <d v="1900-01-01T12:49:00"/>
    <s v="POSITION1"/>
    <x v="5"/>
    <s v="STORE284"/>
  </r>
  <r>
    <n v="232900"/>
    <s v="People520"/>
    <s v="department"/>
    <s v="REGION7"/>
    <s v="STORE140"/>
    <s v="MANAGER58"/>
    <s v="NEGATIVO"/>
    <d v="1899-12-30T04:12:00"/>
    <d v="1899-12-30T04:12:00"/>
    <m/>
    <s v="POSITION1"/>
    <x v="6"/>
    <s v="STORE140"/>
  </r>
  <r>
    <n v="232914"/>
    <s v="People521"/>
    <s v="department"/>
    <s v="REGION5"/>
    <s v="STORE162"/>
    <s v="MANAGER89"/>
    <s v="POSITIVO"/>
    <d v="1899-12-31T12:03:00"/>
    <m/>
    <d v="1899-12-31T12:03:00"/>
    <s v="POSITION1"/>
    <x v="4"/>
    <s v="STORE162"/>
  </r>
  <r>
    <n v="232916"/>
    <s v="People522"/>
    <s v="department"/>
    <s v="REGION2"/>
    <s v="STORE285"/>
    <s v="MANAGER22"/>
    <s v="NEGATIVO"/>
    <d v="1900-01-06T12:00:00"/>
    <d v="1900-01-06T12:00:00"/>
    <m/>
    <s v="POSITION1"/>
    <x v="1"/>
    <s v="STORE285"/>
  </r>
  <r>
    <n v="232918"/>
    <s v="People523"/>
    <s v="department"/>
    <s v="REGION4"/>
    <s v="STORE226"/>
    <s v="MANAGER108"/>
    <s v="POSITIVO"/>
    <d v="1899-12-30T03:37:00"/>
    <m/>
    <d v="1899-12-30T03:37:00"/>
    <s v="POSITION1"/>
    <x v="3"/>
    <s v="STORE226"/>
  </r>
  <r>
    <n v="232920"/>
    <s v="People524"/>
    <s v="department"/>
    <s v="REGION2"/>
    <s v="STORE201"/>
    <s v="MANAGER101"/>
    <s v="NEGATIVO"/>
    <d v="1899-12-30T13:44:00"/>
    <d v="1899-12-30T13:44:00"/>
    <m/>
    <s v="POSITION7"/>
    <x v="1"/>
    <s v="STORE201"/>
  </r>
  <r>
    <n v="232924"/>
    <s v="People525"/>
    <s v="department"/>
    <s v="REGION7"/>
    <s v="STORE165"/>
    <s v="MANAGER19"/>
    <s v="POSITIVO"/>
    <d v="1899-12-30T17:17:00"/>
    <m/>
    <d v="1899-12-30T17:17:00"/>
    <s v="POSITION1"/>
    <x v="6"/>
    <s v="STORE165"/>
  </r>
  <r>
    <n v="232949"/>
    <s v="People526"/>
    <s v="department"/>
    <s v="REGION1"/>
    <s v="STORE78"/>
    <s v="MANAGER52"/>
    <s v="NEGATIVO"/>
    <d v="1900-01-03T02:06:00"/>
    <d v="1900-01-03T02:06:00"/>
    <m/>
    <s v="POSITION6"/>
    <x v="0"/>
    <s v="STORE78"/>
  </r>
  <r>
    <n v="232950"/>
    <s v="People527"/>
    <s v="department"/>
    <s v="REGION5"/>
    <s v="STORE247"/>
    <s v="MANAGER35"/>
    <s v="POSITIVO"/>
    <d v="1899-12-30T00:27:00"/>
    <m/>
    <d v="1899-12-30T00:27:00"/>
    <s v="POSITION1"/>
    <x v="4"/>
    <s v="STORE247"/>
  </r>
  <r>
    <n v="232954"/>
    <s v="People528"/>
    <s v="department"/>
    <s v="REGION7"/>
    <s v="STORE231"/>
    <s v="MANAGER112"/>
    <s v="NEGATIVO"/>
    <d v="1899-12-30T01:30:00"/>
    <d v="1899-12-30T01:30:00"/>
    <m/>
    <s v="POSITION7"/>
    <x v="6"/>
    <s v="STORE231"/>
  </r>
  <r>
    <n v="232961"/>
    <s v="People529"/>
    <s v="department"/>
    <s v="REGION1"/>
    <s v="STORE266"/>
    <s v="MANAGER52"/>
    <s v="NEGATIVO"/>
    <d v="1899-12-30T00:12:00"/>
    <d v="1899-12-30T00:12:00"/>
    <m/>
    <s v="POSITION1"/>
    <x v="0"/>
    <s v="STORE266"/>
  </r>
  <r>
    <n v="232965"/>
    <s v="People530"/>
    <s v="department"/>
    <s v="REGION7"/>
    <s v="STORE81"/>
    <s v="MANAGER54"/>
    <s v="POSITIVO"/>
    <d v="1899-12-30T12:01:00"/>
    <m/>
    <d v="1899-12-30T12:01:00"/>
    <s v="POSITION6"/>
    <x v="6"/>
    <s v="STORE81"/>
  </r>
  <r>
    <n v="232970"/>
    <s v="People531"/>
    <s v="department"/>
    <s v="REGION3"/>
    <s v="STORE286"/>
    <s v="MANAGER94"/>
    <s v="POSITIVO"/>
    <d v="1899-12-30T14:11:00"/>
    <m/>
    <d v="1899-12-30T14:11:00"/>
    <s v="POSITION7"/>
    <x v="2"/>
    <s v="STORE286"/>
  </r>
  <r>
    <n v="232983"/>
    <s v="People532"/>
    <s v="department"/>
    <s v="REGION1"/>
    <s v="STORE1"/>
    <s v="MANAGER1"/>
    <s v="NEGATIVO"/>
    <d v="1899-12-30T01:40:00"/>
    <d v="1899-12-30T01:40:00"/>
    <m/>
    <s v="POSITION1"/>
    <x v="0"/>
    <s v="STORE1"/>
  </r>
  <r>
    <n v="233010"/>
    <s v="People533"/>
    <s v="department"/>
    <s v="REGION5"/>
    <s v="STORE287"/>
    <s v="MANAGER7"/>
    <s v="NEGATIVO"/>
    <d v="1899-12-30T08:03:00"/>
    <d v="1899-12-30T08:03:00"/>
    <m/>
    <s v="POSITION3"/>
    <x v="4"/>
    <s v="STORE287"/>
  </r>
  <r>
    <n v="233014"/>
    <s v="People534"/>
    <s v="department"/>
    <s v="REGION5"/>
    <s v="STORE288"/>
    <s v="MANAGER7"/>
    <s v="NEGATIVO"/>
    <d v="1899-12-31T00:51:00"/>
    <d v="1899-12-31T00:51:00"/>
    <m/>
    <s v="POSITION3"/>
    <x v="4"/>
    <s v="STORE288"/>
  </r>
  <r>
    <n v="233016"/>
    <s v="People535"/>
    <s v="department"/>
    <s v="REGION8"/>
    <s v="STORE289"/>
    <s v="MANAGER9"/>
    <s v="NEGATIVO"/>
    <d v="1899-12-30T06:36:00"/>
    <d v="1899-12-30T06:36:00"/>
    <m/>
    <s v="POSITION3"/>
    <x v="7"/>
    <s v="STORE289"/>
  </r>
  <r>
    <n v="233032"/>
    <s v="People536"/>
    <s v="department"/>
    <s v="REGION7"/>
    <s v="STORE87"/>
    <s v="MANAGER58"/>
    <s v="POSITIVO"/>
    <d v="1899-12-30T00:11:00"/>
    <m/>
    <d v="1899-12-30T00:11:00"/>
    <s v="POSITION7"/>
    <x v="6"/>
    <s v="STORE87"/>
  </r>
  <r>
    <n v="233057"/>
    <s v="People537"/>
    <s v="department"/>
    <s v="REGION4"/>
    <s v="STORE214"/>
    <s v="MANAGER4"/>
    <s v="NEGATIVO"/>
    <d v="1900-01-04T09:38:00"/>
    <d v="1900-01-04T09:38:00"/>
    <m/>
    <s v="POSITION7"/>
    <x v="3"/>
    <s v="STORE214"/>
  </r>
  <r>
    <n v="233121"/>
    <s v="People538"/>
    <s v="department"/>
    <s v="REGION5"/>
    <s v="STORE157"/>
    <s v="MANAGER17"/>
    <s v="POSITIVO"/>
    <d v="1899-12-30T08:14:00"/>
    <m/>
    <d v="1899-12-30T08:14:00"/>
    <s v="POSITION1"/>
    <x v="4"/>
    <s v="STORE157"/>
  </r>
  <r>
    <n v="233126"/>
    <s v="People539"/>
    <s v="department"/>
    <s v="REGION2"/>
    <s v="STORE290"/>
    <s v="MANAGER88"/>
    <s v="NEGATIVO"/>
    <d v="1899-12-30T07:40:00"/>
    <d v="1899-12-30T07:40:00"/>
    <m/>
    <s v="POSITION5"/>
    <x v="1"/>
    <s v="STORE290"/>
  </r>
  <r>
    <n v="233179"/>
    <s v="People540"/>
    <s v="department"/>
    <s v="REGION7"/>
    <s v="STORE106"/>
    <s v="MANAGER48"/>
    <s v="NEGATIVO"/>
    <d v="1899-12-30T01:15:00"/>
    <d v="1899-12-30T01:15:00"/>
    <m/>
    <s v="POSITION1"/>
    <x v="6"/>
    <s v="STORE106"/>
  </r>
  <r>
    <n v="233181"/>
    <s v="People541"/>
    <s v="department"/>
    <s v="REGION6"/>
    <s v="STORE291"/>
    <s v="MANAGER60"/>
    <s v="NEGATIVO"/>
    <d v="1899-12-30T12:56:00"/>
    <d v="1899-12-30T12:56:00"/>
    <m/>
    <s v="POSITION6"/>
    <x v="5"/>
    <s v="STORE291"/>
  </r>
  <r>
    <n v="233199"/>
    <s v="People542"/>
    <s v="department"/>
    <s v="REGION9"/>
    <s v="STORE292"/>
    <s v="MANAGER111"/>
    <s v="POSITIVO"/>
    <d v="1899-12-30T10:42:00"/>
    <m/>
    <d v="1899-12-30T10:42:00"/>
    <s v="POSITION1"/>
    <x v="8"/>
    <s v="STORE292"/>
  </r>
  <r>
    <n v="233201"/>
    <s v="People543"/>
    <s v="department"/>
    <s v="REGION2"/>
    <s v="STORE160"/>
    <s v="MANAGER88"/>
    <s v="POSITIVO"/>
    <d v="1899-12-30T04:41:00"/>
    <m/>
    <d v="1899-12-30T04:41:00"/>
    <s v="POSITION1"/>
    <x v="1"/>
    <s v="STORE160"/>
  </r>
  <r>
    <n v="233202"/>
    <s v="People544"/>
    <s v="department"/>
    <s v="REGION1"/>
    <s v="STORE127"/>
    <s v="MANAGER39"/>
    <s v="NEGATIVO"/>
    <d v="1899-12-30T20:26:00"/>
    <d v="1899-12-30T20:26:00"/>
    <m/>
    <s v="POSITION1"/>
    <x v="0"/>
    <s v="STORE127"/>
  </r>
  <r>
    <n v="233248"/>
    <s v="People545"/>
    <s v="department"/>
    <s v="REGION2"/>
    <s v="STORE218"/>
    <s v="MANAGER71"/>
    <s v="NEGATIVO"/>
    <d v="1899-12-30T17:26:00"/>
    <d v="1899-12-30T17:26:00"/>
    <m/>
    <s v="POSITION6"/>
    <x v="1"/>
    <s v="STORE218"/>
  </r>
  <r>
    <n v="233269"/>
    <s v="People546"/>
    <s v="department"/>
    <s v="REGION4"/>
    <s v="STORE293"/>
    <s v="MANAGER118"/>
    <s v="POSITIVO"/>
    <d v="1899-12-30T22:08:00"/>
    <m/>
    <d v="1899-12-30T22:08:00"/>
    <s v="POSITION1"/>
    <x v="3"/>
    <s v="STORE293"/>
  </r>
  <r>
    <n v="233299"/>
    <s v="People547"/>
    <s v="department"/>
    <s v="REGION6"/>
    <s v="STORE294"/>
    <s v="MANAGER109"/>
    <s v="NEGATIVO"/>
    <d v="1900-01-03T11:11:00"/>
    <d v="1900-01-03T11:11:00"/>
    <m/>
    <s v="POSITION6"/>
    <x v="5"/>
    <s v="STORE294"/>
  </r>
  <r>
    <n v="233302"/>
    <s v="People548"/>
    <s v="department"/>
    <s v="REGION9"/>
    <s v="STORE150"/>
    <s v="MANAGER79"/>
    <s v="NEGATIVO"/>
    <d v="1899-12-30T02:37:00"/>
    <d v="1899-12-30T02:37:00"/>
    <m/>
    <s v="POSITION6"/>
    <x v="8"/>
    <s v="STORE150"/>
  </r>
  <r>
    <n v="233304"/>
    <s v="People549"/>
    <s v="department"/>
    <s v="REGION1"/>
    <s v="STORE123"/>
    <s v="MANAGER76"/>
    <s v="NEGATIVO"/>
    <d v="1900-01-04T13:25:00"/>
    <d v="1900-01-04T13:25:00"/>
    <m/>
    <s v="POSITION1"/>
    <x v="0"/>
    <s v="STORE123"/>
  </r>
  <r>
    <n v="233306"/>
    <s v="People550"/>
    <s v="department"/>
    <s v="REGION9"/>
    <s v="STORE131"/>
    <s v="MANAGER79"/>
    <s v="POSITIVO"/>
    <d v="1899-12-30T04:57:00"/>
    <m/>
    <d v="1899-12-30T04:57:00"/>
    <s v="POSITION1"/>
    <x v="8"/>
    <s v="STORE131"/>
  </r>
  <r>
    <n v="233322"/>
    <s v="People551"/>
    <s v="department"/>
    <s v="REGION6"/>
    <s v="STORE120"/>
    <s v="MANAGER75"/>
    <s v="NEGATIVO"/>
    <d v="1899-12-30T11:45:00"/>
    <d v="1899-12-30T11:45:00"/>
    <m/>
    <s v="POSITION6"/>
    <x v="5"/>
    <s v="STORE120"/>
  </r>
  <r>
    <n v="233350"/>
    <s v="People552"/>
    <s v="department"/>
    <s v="REGION5"/>
    <s v="STORE142"/>
    <s v="MANAGER32"/>
    <s v="POSITIVO"/>
    <d v="1899-12-31T13:33:00"/>
    <m/>
    <d v="1899-12-31T13:33:00"/>
    <s v="POSITION1"/>
    <x v="4"/>
    <s v="STORE142"/>
  </r>
  <r>
    <n v="233355"/>
    <s v="People553"/>
    <s v="department"/>
    <s v="REGION9"/>
    <s v="STORE269"/>
    <s v="MANAGER90"/>
    <s v="NEGATIVO"/>
    <d v="1899-12-31T12:04:00"/>
    <d v="1899-12-31T12:04:00"/>
    <m/>
    <s v="POSITION1"/>
    <x v="8"/>
    <s v="STORE269"/>
  </r>
  <r>
    <n v="233380"/>
    <s v="People554"/>
    <s v="department"/>
    <s v="REGION9"/>
    <s v="STORE191"/>
    <s v="MANAGER98"/>
    <s v="NEGATIVO"/>
    <d v="1899-12-30T10:36:00"/>
    <d v="1899-12-30T10:36:00"/>
    <m/>
    <s v="POSITION1"/>
    <x v="8"/>
    <s v="STORE191"/>
  </r>
  <r>
    <n v="233411"/>
    <s v="People555"/>
    <s v="department"/>
    <s v="REGION5"/>
    <s v="STORE236"/>
    <s v="MANAGER113"/>
    <s v="NEGATIVO"/>
    <d v="1900-01-03T18:42:00"/>
    <d v="1900-01-03T18:42:00"/>
    <m/>
    <s v="POSITION1"/>
    <x v="4"/>
    <s v="STORE236"/>
  </r>
  <r>
    <n v="233434"/>
    <s v="People556"/>
    <s v="department"/>
    <s v="REGION9"/>
    <s v="STORE210"/>
    <s v="MANAGER99"/>
    <s v="NEGATIVO"/>
    <d v="1899-12-31T14:35:00"/>
    <d v="1899-12-31T14:35:00"/>
    <m/>
    <s v="POSITION1"/>
    <x v="8"/>
    <s v="STORE210"/>
  </r>
  <r>
    <n v="233436"/>
    <s v="People557"/>
    <s v="department"/>
    <s v="REGION9"/>
    <s v="STORE119"/>
    <s v="MANAGER74"/>
    <s v="POSITIVO"/>
    <d v="1899-12-30T01:21:00"/>
    <m/>
    <d v="1899-12-30T01:21:00"/>
    <s v="POSITION1"/>
    <x v="8"/>
    <s v="STORE119"/>
  </r>
  <r>
    <n v="233445"/>
    <s v="People558"/>
    <s v="department"/>
    <s v="REGION2"/>
    <s v="STORE295"/>
    <s v="MANAGER65"/>
    <s v="POSITIVO"/>
    <d v="1899-12-30T23:02:00"/>
    <m/>
    <d v="1899-12-30T23:02:00"/>
    <s v="POSITION1"/>
    <x v="1"/>
    <s v="STORE295"/>
  </r>
  <r>
    <n v="233457"/>
    <s v="People559"/>
    <s v="department"/>
    <s v="REGION9"/>
    <s v="STORE210"/>
    <s v="MANAGER99"/>
    <s v="NEGATIVO"/>
    <d v="1900-01-02T17:52:00"/>
    <d v="1900-01-02T17:52:00"/>
    <m/>
    <s v="POSITION1"/>
    <x v="8"/>
    <s v="STORE210"/>
  </r>
  <r>
    <n v="233460"/>
    <s v="People560"/>
    <s v="department"/>
    <s v="REGION2"/>
    <s v="STORE160"/>
    <s v="MANAGER88"/>
    <s v="NEGATIVO"/>
    <d v="1899-12-30T09:20:00"/>
    <d v="1899-12-30T09:20:00"/>
    <m/>
    <s v="POSITION1"/>
    <x v="1"/>
    <s v="STORE160"/>
  </r>
  <r>
    <n v="233464"/>
    <s v="People561"/>
    <s v="department"/>
    <s v="REGION2"/>
    <s v="STORE115"/>
    <s v="MANAGER71"/>
    <s v="NEGATIVO"/>
    <d v="1899-12-30T04:14:00"/>
    <d v="1899-12-30T04:14:00"/>
    <m/>
    <s v="POSITION1"/>
    <x v="1"/>
    <s v="STORE115"/>
  </r>
  <r>
    <n v="233465"/>
    <s v="People562"/>
    <s v="department"/>
    <s v="REGION2"/>
    <s v="STORE115"/>
    <s v="MANAGER71"/>
    <s v="POSITIVO"/>
    <d v="1899-12-30T05:28:00"/>
    <m/>
    <d v="1899-12-30T05:28:00"/>
    <s v="POSITION1"/>
    <x v="1"/>
    <s v="STORE115"/>
  </r>
  <r>
    <n v="233466"/>
    <s v="People563"/>
    <s v="department"/>
    <s v="REGION7"/>
    <s v="STORE74"/>
    <s v="MANAGER49"/>
    <s v="NEGATIVO"/>
    <d v="1899-12-31T12:37:00"/>
    <d v="1899-12-31T12:37:00"/>
    <m/>
    <s v="POSITION7"/>
    <x v="6"/>
    <s v="STORE74"/>
  </r>
  <r>
    <n v="233500"/>
    <s v="People564"/>
    <s v="department"/>
    <s v="REGION4"/>
    <s v="STORE214"/>
    <s v="MANAGER4"/>
    <s v="POSITIVO"/>
    <d v="1899-12-31T02:52:00"/>
    <m/>
    <d v="1899-12-31T02:52:00"/>
    <s v="POSITION6"/>
    <x v="3"/>
    <s v="STORE214"/>
  </r>
  <r>
    <n v="233511"/>
    <s v="People565"/>
    <s v="department"/>
    <s v="REGION3"/>
    <s v="STORE91"/>
    <s v="MANAGER61"/>
    <s v="NEGATIVO"/>
    <d v="1899-12-30T11:59:00"/>
    <d v="1899-12-30T11:59:00"/>
    <m/>
    <s v="POSITION7"/>
    <x v="2"/>
    <s v="STORE91"/>
  </r>
  <r>
    <n v="233524"/>
    <s v="People566"/>
    <s v="department"/>
    <s v="REGION5"/>
    <s v="STORE128"/>
    <s v="MANAGER77"/>
    <s v="NEGATIVO"/>
    <d v="1900-01-07T01:39:00"/>
    <d v="1900-01-07T01:39:00"/>
    <m/>
    <s v="POSITION1"/>
    <x v="4"/>
    <s v="STORE128"/>
  </r>
  <r>
    <n v="233554"/>
    <s v="People567"/>
    <s v="department"/>
    <s v="REGION2"/>
    <s v="STORE160"/>
    <s v="MANAGER88"/>
    <s v="NEGATIVO"/>
    <d v="1899-12-30T03:42:00"/>
    <d v="1899-12-30T03:42:00"/>
    <m/>
    <s v="POSITION1"/>
    <x v="1"/>
    <s v="STORE160"/>
  </r>
  <r>
    <n v="233559"/>
    <s v="People568"/>
    <s v="department"/>
    <s v="REGION8"/>
    <s v="STORE54"/>
    <s v="MANAGER37"/>
    <s v="POSITIVO"/>
    <d v="1899-12-30T18:20:00"/>
    <m/>
    <d v="1899-12-30T18:20:00"/>
    <s v="POSITION6"/>
    <x v="7"/>
    <s v="STORE54"/>
  </r>
  <r>
    <n v="233564"/>
    <s v="People569"/>
    <s v="department"/>
    <s v="REGION4"/>
    <s v="STORE170"/>
    <s v="MANAGER93"/>
    <s v="POSITIVO"/>
    <d v="1899-12-30T16:10:00"/>
    <m/>
    <d v="1899-12-30T16:10:00"/>
    <s v="POSITION1"/>
    <x v="3"/>
    <s v="STORE170"/>
  </r>
  <r>
    <n v="233565"/>
    <s v="People570"/>
    <s v="department"/>
    <s v="REGION3"/>
    <s v="STORE102"/>
    <s v="MANAGER12"/>
    <s v="NEGATIVO"/>
    <d v="1900-01-01T13:10:00"/>
    <d v="1900-01-01T13:10:00"/>
    <m/>
    <s v="POSITION1"/>
    <x v="2"/>
    <s v="STORE102"/>
  </r>
  <r>
    <n v="233576"/>
    <s v="People571"/>
    <s v="department"/>
    <s v="REGION9"/>
    <s v="STORE173"/>
    <s v="MANAGER92"/>
    <s v="POSITIVO"/>
    <d v="1899-12-30T00:20:00"/>
    <m/>
    <d v="1899-12-30T00:20:00"/>
    <s v="POSITION6"/>
    <x v="8"/>
    <s v="STORE173"/>
  </r>
  <r>
    <n v="233584"/>
    <s v="People572"/>
    <s v="department"/>
    <s v="REGION9"/>
    <s v="STORE168"/>
    <s v="MANAGER92"/>
    <s v="POSITIVO"/>
    <d v="1899-12-30T16:43:00"/>
    <m/>
    <d v="1899-12-30T16:43:00"/>
    <s v="POSITION1"/>
    <x v="8"/>
    <s v="STORE168"/>
  </r>
  <r>
    <n v="233600"/>
    <s v="People573"/>
    <s v="department"/>
    <s v="REGION9"/>
    <s v="STORE144"/>
    <s v="MANAGER84"/>
    <s v="POSITIVO"/>
    <d v="1899-12-30T18:20:00"/>
    <m/>
    <d v="1899-12-30T18:20:00"/>
    <s v="POSITION6"/>
    <x v="8"/>
    <s v="STORE144"/>
  </r>
  <r>
    <n v="233601"/>
    <s v="People574"/>
    <s v="department"/>
    <s v="REGION4"/>
    <s v="STORE66"/>
    <s v="MANAGER43"/>
    <s v="NEGATIVO"/>
    <d v="1899-12-30T17:54:00"/>
    <d v="1899-12-30T17:54:00"/>
    <m/>
    <s v="POSITION6"/>
    <x v="3"/>
    <s v="STORE66"/>
  </r>
  <r>
    <n v="233618"/>
    <s v="People575"/>
    <s v="department"/>
    <s v="REGION7"/>
    <s v="STORE151"/>
    <s v="MANAGER54"/>
    <s v="POSITIVO"/>
    <d v="1899-12-30T12:13:00"/>
    <m/>
    <d v="1899-12-30T12:13:00"/>
    <s v="POSITION1"/>
    <x v="6"/>
    <s v="STORE151"/>
  </r>
  <r>
    <n v="233628"/>
    <s v="People576"/>
    <s v="department"/>
    <s v="REGION8"/>
    <s v="STORE213"/>
    <s v="MANAGER37"/>
    <s v="NEGATIVO"/>
    <d v="1900-01-02T18:19:00"/>
    <d v="1900-01-02T18:19:00"/>
    <m/>
    <s v="POSITION1"/>
    <x v="7"/>
    <s v="STORE213"/>
  </r>
  <r>
    <n v="233634"/>
    <s v="People577"/>
    <s v="department"/>
    <s v="REGION8"/>
    <s v="STORE189"/>
    <s v="MANAGER97"/>
    <s v="POSITIVO"/>
    <d v="1899-12-30T14:12:00"/>
    <m/>
    <d v="1899-12-30T14:12:00"/>
    <s v="POSITION1"/>
    <x v="7"/>
    <s v="STORE189"/>
  </r>
  <r>
    <n v="233635"/>
    <s v="People578"/>
    <s v="department"/>
    <s v="REGION9"/>
    <s v="STORE265"/>
    <s v="MANAGER84"/>
    <s v="NEGATIVO"/>
    <d v="1899-12-30T06:24:00"/>
    <d v="1899-12-30T06:24:00"/>
    <m/>
    <s v="POSITION1"/>
    <x v="8"/>
    <s v="STORE265"/>
  </r>
  <r>
    <n v="233698"/>
    <s v="People579"/>
    <s v="department"/>
    <s v="REGION9"/>
    <s v="STORE265"/>
    <s v="MANAGER84"/>
    <s v="POSITIVO"/>
    <d v="1899-12-30T01:21:00"/>
    <m/>
    <d v="1899-12-30T01:21:00"/>
    <s v="POSITION1"/>
    <x v="8"/>
    <s v="STORE265"/>
  </r>
  <r>
    <n v="233706"/>
    <s v="People580"/>
    <s v="department"/>
    <s v="REGION6"/>
    <s v="STORE169"/>
    <s v="MANAGER33"/>
    <s v="POSITIVO"/>
    <d v="1899-12-30T10:15:00"/>
    <m/>
    <d v="1899-12-30T10:15:00"/>
    <s v="POSITION1"/>
    <x v="5"/>
    <s v="STORE169"/>
  </r>
  <r>
    <n v="233730"/>
    <s v="People581"/>
    <s v="department"/>
    <s v="REGION7"/>
    <s v="STORE113"/>
    <s v="MANAGER49"/>
    <s v="NEGATIVO"/>
    <d v="1899-12-30T05:49:00"/>
    <d v="1899-12-30T05:49:00"/>
    <m/>
    <s v="POSITION1"/>
    <x v="6"/>
    <s v="STORE113"/>
  </r>
  <r>
    <n v="233740"/>
    <s v="People582"/>
    <s v="department"/>
    <s v="REGION6"/>
    <s v="STORE217"/>
    <s v="MANAGER100"/>
    <s v="NEGATIVO"/>
    <d v="1899-12-30T01:37:00"/>
    <d v="1899-12-30T01:37:00"/>
    <m/>
    <s v="POSITION1"/>
    <x v="5"/>
    <s v="STORE217"/>
  </r>
  <r>
    <n v="233747"/>
    <s v="People583"/>
    <s v="department"/>
    <s v="REGION7"/>
    <s v="STORE46"/>
    <s v="MANAGER31"/>
    <s v="NEGATIVO"/>
    <d v="1899-12-30T07:12:00"/>
    <d v="1899-12-30T07:12:00"/>
    <m/>
    <s v="POSITION5"/>
    <x v="6"/>
    <s v="STORE46"/>
  </r>
  <r>
    <n v="233786"/>
    <s v="People584"/>
    <s v="department"/>
    <s v="REGION5"/>
    <s v="STORE142"/>
    <s v="MANAGER32"/>
    <s v="POSITIVO"/>
    <d v="1899-12-30T22:10:00"/>
    <m/>
    <d v="1899-12-30T22:10:00"/>
    <s v="POSITION1"/>
    <x v="4"/>
    <s v="STORE142"/>
  </r>
  <r>
    <n v="233795"/>
    <s v="People585"/>
    <s v="department"/>
    <s v="REGION3"/>
    <s v="STORE76"/>
    <s v="MANAGER51"/>
    <s v="NEGATIVO"/>
    <d v="1900-01-01T15:29:00"/>
    <d v="1900-01-01T15:29:00"/>
    <m/>
    <s v="POSITION7"/>
    <x v="2"/>
    <s v="STORE76"/>
  </r>
  <r>
    <n v="233797"/>
    <s v="People586"/>
    <s v="department"/>
    <s v="REGION6"/>
    <s v="STORE159"/>
    <s v="MANAGER87"/>
    <s v="NEGATIVO"/>
    <d v="1900-01-02T13:33:00"/>
    <d v="1900-01-02T13:33:00"/>
    <m/>
    <s v="POSITION6"/>
    <x v="5"/>
    <s v="STORE159"/>
  </r>
  <r>
    <n v="233799"/>
    <s v="People587"/>
    <s v="department"/>
    <s v="REGION9"/>
    <s v="STORE296"/>
    <s v="MANAGER10"/>
    <s v="POSITIVO"/>
    <d v="1899-12-30T15:57:00"/>
    <m/>
    <d v="1899-12-30T15:57:00"/>
    <s v="POSITION3"/>
    <x v="8"/>
    <s v="STORE296"/>
  </r>
  <r>
    <n v="233835"/>
    <s v="People588"/>
    <s v="department"/>
    <s v="REGION5"/>
    <s v="STORE259"/>
    <s v="MANAGER117"/>
    <s v="NEGATIVO"/>
    <d v="1899-12-30T00:03:00"/>
    <d v="1899-12-30T00:03:00"/>
    <m/>
    <s v="POSITION5"/>
    <x v="4"/>
    <s v="STORE259"/>
  </r>
  <r>
    <n v="233838"/>
    <s v="People589"/>
    <s v="department"/>
    <s v="REGION4"/>
    <s v="STORE226"/>
    <s v="MANAGER108"/>
    <s v="POSITIVO"/>
    <d v="1899-12-30T18:01:00"/>
    <m/>
    <d v="1899-12-30T18:01:00"/>
    <s v="POSITION1"/>
    <x v="3"/>
    <s v="STORE226"/>
  </r>
  <r>
    <n v="233895"/>
    <s v="People590"/>
    <s v="department"/>
    <s v="REGION2"/>
    <s v="STORE115"/>
    <s v="MANAGER71"/>
    <s v="POSITIVO"/>
    <d v="1899-12-30T06:25:00"/>
    <m/>
    <d v="1899-12-30T06:25:00"/>
    <s v="POSITION1"/>
    <x v="1"/>
    <s v="STORE115"/>
  </r>
  <r>
    <n v="233896"/>
    <s v="People591"/>
    <s v="department"/>
    <s v="REGION8"/>
    <s v="STORE220"/>
    <s v="MANAGER106"/>
    <s v="POSITIVO"/>
    <d v="1899-12-30T04:54:00"/>
    <m/>
    <d v="1899-12-30T04:54:00"/>
    <s v="POSITION1"/>
    <x v="7"/>
    <s v="STORE220"/>
  </r>
  <r>
    <n v="233901"/>
    <s v="People592"/>
    <s v="department"/>
    <s v="REGION2"/>
    <s v="STORE295"/>
    <s v="MANAGER65"/>
    <s v="POSITIVO"/>
    <d v="1899-12-30T02:56:00"/>
    <m/>
    <d v="1899-12-30T02:56:00"/>
    <s v="POSITION1"/>
    <x v="1"/>
    <s v="STORE295"/>
  </r>
  <r>
    <n v="233935"/>
    <s v="People593"/>
    <s v="department"/>
    <s v="REGION2"/>
    <s v="STORE252"/>
    <s v="MANAGER66"/>
    <s v="NEGATIVO"/>
    <d v="1899-12-30T04:53:00"/>
    <d v="1899-12-30T04:53:00"/>
    <m/>
    <s v="POSITION1"/>
    <x v="1"/>
    <s v="STORE252"/>
  </r>
  <r>
    <n v="233956"/>
    <s v="People594"/>
    <s v="department"/>
    <s v="REGION9"/>
    <s v="STORE125"/>
    <s v="MANAGER63"/>
    <s v="NEGATIVO"/>
    <d v="1899-12-30T00:34:00"/>
    <d v="1899-12-30T00:34:00"/>
    <m/>
    <s v="POSITION1"/>
    <x v="8"/>
    <s v="STORE125"/>
  </r>
  <r>
    <n v="233959"/>
    <s v="People595"/>
    <s v="department"/>
    <s v="REGION8"/>
    <s v="STORE203"/>
    <s v="MANAGER103"/>
    <s v="NEGATIVO"/>
    <d v="1900-01-07T14:24:00"/>
    <d v="1900-01-07T14:24:00"/>
    <m/>
    <s v="POSITION1"/>
    <x v="7"/>
    <s v="STORE203"/>
  </r>
  <r>
    <n v="233977"/>
    <s v="People596"/>
    <s v="department"/>
    <s v="REGION5"/>
    <s v="STORE247"/>
    <s v="MANAGER35"/>
    <s v="POSITIVO"/>
    <d v="1899-12-30T04:59:00"/>
    <m/>
    <d v="1899-12-30T04:59:00"/>
    <s v="POSITION1"/>
    <x v="4"/>
    <s v="STORE247"/>
  </r>
  <r>
    <n v="234121"/>
    <s v="People597"/>
    <s v="department"/>
    <s v="REGION5"/>
    <s v="STORE247"/>
    <s v="MANAGER35"/>
    <s v="NEGATIVO"/>
    <d v="1899-12-30T04:39:00"/>
    <d v="1899-12-30T04:39:00"/>
    <m/>
    <s v="POSITION1"/>
    <x v="4"/>
    <s v="STORE247"/>
  </r>
  <r>
    <n v="234141"/>
    <s v="People598"/>
    <s v="department"/>
    <s v="REGION8"/>
    <s v="STORE297"/>
    <s v="MANAGER121"/>
    <s v="NEGATIVO"/>
    <d v="1899-12-31T18:49:00"/>
    <d v="1899-12-31T18:49:00"/>
    <m/>
    <s v="POSITION1"/>
    <x v="7"/>
    <s v="STORE297"/>
  </r>
  <r>
    <n v="234142"/>
    <s v="People599"/>
    <s v="department"/>
    <s v="REGION8"/>
    <s v="STORE298"/>
    <s v="MANAGER121"/>
    <s v="NEGATIVO"/>
    <d v="1899-12-30T06:55:00"/>
    <d v="1899-12-30T06:55:00"/>
    <m/>
    <s v="POSITION6"/>
    <x v="7"/>
    <s v="STORE298"/>
  </r>
  <r>
    <n v="234143"/>
    <s v="People600"/>
    <s v="department"/>
    <s v="REGION8"/>
    <s v="STORE297"/>
    <s v="MANAGER121"/>
    <s v="NEGATIVO"/>
    <d v="1899-12-30T11:03:00"/>
    <d v="1899-12-30T11:03:00"/>
    <m/>
    <s v="POSITION1"/>
    <x v="7"/>
    <s v="STORE297"/>
  </r>
  <r>
    <n v="234144"/>
    <s v="People601"/>
    <s v="department"/>
    <s v="REGION8"/>
    <s v="STORE299"/>
    <s v="MANAGER9"/>
    <s v="POSITIVO"/>
    <d v="1899-12-30T17:01:00"/>
    <m/>
    <d v="1899-12-30T17:01:00"/>
    <s v="POSITION3"/>
    <x v="7"/>
    <s v="STORE299"/>
  </r>
  <r>
    <n v="234146"/>
    <s v="People602"/>
    <s v="department"/>
    <s v="REGION8"/>
    <s v="STORE300"/>
    <s v="MANAGER122"/>
    <s v="POSITIVO"/>
    <d v="1900-01-05T18:07:00"/>
    <m/>
    <d v="1900-01-05T18:07:00"/>
    <s v="POSITION1"/>
    <x v="7"/>
    <s v="STORE300"/>
  </r>
  <r>
    <n v="234147"/>
    <s v="People603"/>
    <s v="department"/>
    <s v="REGION4"/>
    <s v="STORE244"/>
    <s v="MANAGER115"/>
    <s v="NEGATIVO"/>
    <d v="1900-01-01T09:12:00"/>
    <d v="1900-01-01T09:12:00"/>
    <m/>
    <s v="POSITION1"/>
    <x v="3"/>
    <s v="STORE244"/>
  </r>
  <r>
    <n v="234151"/>
    <s v="People604"/>
    <s v="department"/>
    <s v="REGION2"/>
    <s v="STORE160"/>
    <s v="MANAGER88"/>
    <s v="NEGATIVO"/>
    <d v="1899-12-31T10:16:00"/>
    <d v="1899-12-31T10:16:00"/>
    <m/>
    <s v="POSITION1"/>
    <x v="1"/>
    <s v="STORE160"/>
  </r>
  <r>
    <n v="234153"/>
    <s v="People605"/>
    <s v="department"/>
    <s v="REGION7"/>
    <s v="STORE301"/>
    <s v="MANAGER8"/>
    <s v="NEGATIVO"/>
    <d v="1899-12-30T02:42:00"/>
    <d v="1899-12-30T02:42:00"/>
    <m/>
    <s v="POSITION3"/>
    <x v="6"/>
    <s v="STORE301"/>
  </r>
  <r>
    <n v="234161"/>
    <s v="People606"/>
    <s v="department"/>
    <s v="REGION8"/>
    <s v="STORE300"/>
    <s v="MANAGER122"/>
    <s v="NEGATIVO"/>
    <d v="1899-12-30T21:49:00"/>
    <d v="1899-12-30T21:49:00"/>
    <m/>
    <s v="POSITION1"/>
    <x v="7"/>
    <s v="STORE300"/>
  </r>
  <r>
    <n v="234165"/>
    <s v="People607"/>
    <s v="department"/>
    <s v="REGION8"/>
    <s v="STORE302"/>
    <s v="MANAGER122"/>
    <s v="POSITIVO"/>
    <d v="1899-12-31T19:13:00"/>
    <m/>
    <d v="1899-12-31T19:13:00"/>
    <s v="POSITION6"/>
    <x v="7"/>
    <s v="STORE302"/>
  </r>
  <r>
    <n v="234171"/>
    <s v="People608"/>
    <s v="department"/>
    <s v="REGION8"/>
    <s v="STORE189"/>
    <s v="MANAGER97"/>
    <s v="POSITIVO"/>
    <d v="1899-12-30T09:04:00"/>
    <m/>
    <d v="1899-12-30T09:04:00"/>
    <s v="POSITION1"/>
    <x v="7"/>
    <s v="STORE189"/>
  </r>
  <r>
    <n v="234179"/>
    <s v="People609"/>
    <s v="department"/>
    <s v="REGION1"/>
    <s v="STORE78"/>
    <s v="MANAGER52"/>
    <s v="NEGATIVO"/>
    <d v="1899-12-30T06:03:00"/>
    <d v="1899-12-30T06:03:00"/>
    <m/>
    <s v="POSITION7"/>
    <x v="0"/>
    <s v="STORE78"/>
  </r>
  <r>
    <n v="234208"/>
    <s v="People610"/>
    <s v="department"/>
    <s v="REGION9"/>
    <s v="STORE168"/>
    <s v="MANAGER92"/>
    <s v="POSITIVO"/>
    <d v="1899-12-30T02:08:00"/>
    <m/>
    <d v="1899-12-30T02:08:00"/>
    <s v="POSITION1"/>
    <x v="8"/>
    <s v="STORE168"/>
  </r>
  <r>
    <n v="234270"/>
    <s v="People611"/>
    <s v="department"/>
    <s v="REGION9"/>
    <s v="STORE234"/>
    <s v="MANAGER105"/>
    <s v="POSITIVO"/>
    <d v="1899-12-30T06:36:00"/>
    <m/>
    <d v="1899-12-30T06:36:00"/>
    <s v="POSITION5"/>
    <x v="8"/>
    <s v="STORE234"/>
  </r>
  <r>
    <n v="234278"/>
    <s v="People612"/>
    <s v="department"/>
    <s v="REGION2"/>
    <s v="STORE206"/>
    <s v="MANAGER101"/>
    <s v="POSITIVO"/>
    <d v="1899-12-30T12:45:00"/>
    <m/>
    <d v="1899-12-30T12:45:00"/>
    <s v="POSITION1"/>
    <x v="1"/>
    <s v="STORE206"/>
  </r>
  <r>
    <n v="234328"/>
    <s v="People613"/>
    <s v="department"/>
    <s v="REGION9"/>
    <s v="STORE265"/>
    <s v="MANAGER84"/>
    <s v="POSITIVO"/>
    <d v="1899-12-30T08:58:00"/>
    <m/>
    <d v="1899-12-30T08:58:00"/>
    <s v="POSITION1"/>
    <x v="8"/>
    <s v="STORE265"/>
  </r>
  <r>
    <n v="234334"/>
    <s v="People614"/>
    <s v="department"/>
    <s v="REGION4"/>
    <s v="STORE272"/>
    <s v="MANAGER118"/>
    <s v="POSITIVO"/>
    <d v="1899-12-31T07:32:00"/>
    <m/>
    <d v="1899-12-31T07:32:00"/>
    <s v="POSITION1"/>
    <x v="3"/>
    <s v="STORE272"/>
  </r>
  <r>
    <n v="234335"/>
    <s v="People615"/>
    <s v="department"/>
    <s v="REGION7"/>
    <s v="STORE303"/>
    <s v="MANAGER83"/>
    <s v="POSITIVO"/>
    <d v="1899-12-30T17:08:00"/>
    <m/>
    <d v="1899-12-30T17:08:00"/>
    <s v="POSITION6"/>
    <x v="6"/>
    <s v="STORE303"/>
  </r>
  <r>
    <n v="234353"/>
    <s v="People616"/>
    <s v="department"/>
    <s v="REGION3"/>
    <s v="STORE304"/>
    <s v="MANAGER123"/>
    <s v="NEGATIVO"/>
    <d v="1899-12-30T03:16:00"/>
    <d v="1899-12-30T03:16:00"/>
    <m/>
    <s v="POSITION1"/>
    <x v="2"/>
    <s v="STORE304"/>
  </r>
  <r>
    <n v="234360"/>
    <s v="People617"/>
    <s v="department"/>
    <s v="REGION2"/>
    <s v="STORE206"/>
    <s v="MANAGER101"/>
    <s v="POSITIVO"/>
    <d v="1899-12-30T16:00:00"/>
    <m/>
    <d v="1899-12-30T16:00:00"/>
    <s v="POSITION1"/>
    <x v="1"/>
    <s v="STORE206"/>
  </r>
  <r>
    <n v="234371"/>
    <s v="People618"/>
    <s v="department"/>
    <s v="REGION5"/>
    <s v="STORE142"/>
    <s v="MANAGER32"/>
    <s v="NEGATIVO"/>
    <d v="1899-12-31T03:58:00"/>
    <d v="1899-12-31T03:58:00"/>
    <m/>
    <s v="POSITION1"/>
    <x v="4"/>
    <s v="STORE142"/>
  </r>
  <r>
    <n v="234373"/>
    <s v="People619"/>
    <s v="department"/>
    <s v="REGION7"/>
    <s v="STORE235"/>
    <s v="MANAGER112"/>
    <s v="NEGATIVO"/>
    <d v="1899-12-30T11:22:00"/>
    <d v="1899-12-30T11:22:00"/>
    <m/>
    <s v="POSITION1"/>
    <x v="6"/>
    <s v="STORE235"/>
  </r>
  <r>
    <n v="234405"/>
    <s v="People620"/>
    <s v="department"/>
    <s v="REGION2"/>
    <s v="STORE223"/>
    <s v="MANAGER107"/>
    <s v="POSITIVO"/>
    <d v="1899-12-30T15:33:00"/>
    <m/>
    <d v="1899-12-30T15:33:00"/>
    <s v="POSITION1"/>
    <x v="1"/>
    <s v="STORE223"/>
  </r>
  <r>
    <n v="234407"/>
    <s v="People621"/>
    <s v="department"/>
    <s v="REGION1"/>
    <s v="STORE190"/>
    <s v="MANAGER50"/>
    <s v="NEGATIVO"/>
    <d v="1900-01-07T00:51:00"/>
    <d v="1900-01-07T00:51:00"/>
    <m/>
    <s v="POSITION1"/>
    <x v="0"/>
    <s v="STORE190"/>
  </r>
  <r>
    <n v="234409"/>
    <s v="People622"/>
    <s v="department"/>
    <s v="REGION3"/>
    <s v="STORE136"/>
    <s v="MANAGER82"/>
    <s v="NEGATIVO"/>
    <d v="1899-12-30T12:22:00"/>
    <d v="1899-12-30T12:22:00"/>
    <m/>
    <s v="POSITION1"/>
    <x v="2"/>
    <s v="STORE136"/>
  </r>
  <r>
    <n v="234411"/>
    <s v="People623"/>
    <s v="department"/>
    <s v="REGION1"/>
    <s v="STORE127"/>
    <s v="MANAGER39"/>
    <s v="POSITIVO"/>
    <d v="1899-12-31T09:18:00"/>
    <m/>
    <d v="1899-12-31T09:18:00"/>
    <s v="POSITION1"/>
    <x v="0"/>
    <s v="STORE127"/>
  </r>
  <r>
    <n v="234417"/>
    <s v="People624"/>
    <s v="department"/>
    <s v="REGION5"/>
    <s v="STORE167"/>
    <s v="MANAGER91"/>
    <s v="POSITIVO"/>
    <d v="1899-12-31T02:49:00"/>
    <m/>
    <d v="1899-12-31T02:49:00"/>
    <s v="POSITION1"/>
    <x v="4"/>
    <s v="STORE167"/>
  </r>
  <r>
    <n v="234510"/>
    <s v="People625"/>
    <s v="department"/>
    <s v="REGION3"/>
    <s v="STORE305"/>
    <s v="MANAGER3"/>
    <s v="NEGATIVO"/>
    <d v="1899-12-30T04:55:00"/>
    <d v="1899-12-30T04:55:00"/>
    <m/>
    <s v="POSITION3"/>
    <x v="2"/>
    <s v="STORE305"/>
  </r>
  <r>
    <n v="234530"/>
    <s v="People626"/>
    <s v="department"/>
    <s v="REGION9"/>
    <s v="STORE191"/>
    <s v="MANAGER98"/>
    <s v="NEGATIVO"/>
    <d v="1899-12-30T09:35:00"/>
    <d v="1899-12-30T09:35:00"/>
    <m/>
    <s v="POSITION1"/>
    <x v="8"/>
    <s v="STORE191"/>
  </r>
  <r>
    <n v="234533"/>
    <s v="People627"/>
    <s v="department"/>
    <s v="REGION8"/>
    <s v="STORE180"/>
    <s v="MANAGER95"/>
    <s v="POSITIVO"/>
    <d v="1900-01-02T03:34:00"/>
    <m/>
    <d v="1900-01-02T03:34:00"/>
    <s v="POSITION1"/>
    <x v="7"/>
    <s v="STORE180"/>
  </r>
  <r>
    <n v="234574"/>
    <s v="People628"/>
    <s v="department"/>
    <s v="REGION1"/>
    <s v="STORE105"/>
    <s v="MANAGER68"/>
    <s v="NEGATIVO"/>
    <d v="1899-12-30T02:12:00"/>
    <d v="1899-12-30T02:12:00"/>
    <m/>
    <s v="POSITION6"/>
    <x v="0"/>
    <s v="STORE105"/>
  </r>
  <r>
    <n v="234576"/>
    <s v="People629"/>
    <s v="department"/>
    <s v="REGION8"/>
    <s v="STORE283"/>
    <s v="MANAGER62"/>
    <s v="NEGATIVO"/>
    <d v="1899-12-30T02:03:00"/>
    <d v="1899-12-30T02:03:00"/>
    <m/>
    <s v="POSITION1"/>
    <x v="7"/>
    <s v="STORE283"/>
  </r>
  <r>
    <n v="234591"/>
    <s v="People630"/>
    <s v="department"/>
    <s v="REGION9"/>
    <s v="STORE233"/>
    <s v="MANAGER105"/>
    <s v="POSITIVO"/>
    <d v="1899-12-30T00:34:00"/>
    <m/>
    <d v="1899-12-30T00:34:00"/>
    <s v="POSITION1"/>
    <x v="8"/>
    <s v="STORE233"/>
  </r>
  <r>
    <n v="234601"/>
    <s v="People631"/>
    <s v="department"/>
    <s v="REGION5"/>
    <s v="STORE277"/>
    <s v="MANAGER119"/>
    <s v="POSITIVO"/>
    <d v="1899-12-30T00:39:00"/>
    <m/>
    <d v="1899-12-30T00:39:00"/>
    <s v="POSITION1"/>
    <x v="4"/>
    <s v="STORE277"/>
  </r>
  <r>
    <n v="234608"/>
    <s v="People632"/>
    <s v="department"/>
    <s v="REGION8"/>
    <s v="STORE256"/>
    <s v="MANAGER34"/>
    <s v="NEGATIVO"/>
    <d v="1899-12-30T06:30:00"/>
    <d v="1899-12-30T06:30:00"/>
    <m/>
    <s v="POSITION1"/>
    <x v="7"/>
    <s v="STORE256"/>
  </r>
  <r>
    <n v="234609"/>
    <s v="People633"/>
    <s v="department"/>
    <s v="REGION2"/>
    <s v="STORE223"/>
    <s v="MANAGER107"/>
    <s v="NEGATIVO"/>
    <d v="1899-12-30T11:24:00"/>
    <d v="1899-12-30T11:24:00"/>
    <m/>
    <s v="POSITION1"/>
    <x v="1"/>
    <s v="STORE223"/>
  </r>
  <r>
    <n v="234611"/>
    <s v="People634"/>
    <s v="department"/>
    <s v="REGION4"/>
    <s v="STORE226"/>
    <s v="MANAGER108"/>
    <s v="POSITIVO"/>
    <d v="1899-12-30T08:14:00"/>
    <m/>
    <d v="1899-12-30T08:14:00"/>
    <s v="POSITION1"/>
    <x v="3"/>
    <s v="STORE226"/>
  </r>
  <r>
    <n v="234626"/>
    <s v="People635"/>
    <s v="department"/>
    <s v="REGION8"/>
    <s v="STORE183"/>
    <s v="MANAGER28"/>
    <s v="POSITIVO"/>
    <d v="1900-01-02T03:46:00"/>
    <m/>
    <d v="1900-01-02T03:46:00"/>
    <s v="POSITION1"/>
    <x v="7"/>
    <s v="STORE183"/>
  </r>
  <r>
    <n v="234640"/>
    <s v="People636"/>
    <s v="department"/>
    <s v="REGION7"/>
    <s v="STORE87"/>
    <s v="MANAGER58"/>
    <s v="NEGATIVO"/>
    <d v="1899-12-30T05:18:00"/>
    <d v="1899-12-30T05:18:00"/>
    <m/>
    <s v="POSITION6"/>
    <x v="6"/>
    <s v="STORE87"/>
  </r>
  <r>
    <n v="234644"/>
    <s v="People637"/>
    <s v="department"/>
    <s v="REGION6"/>
    <s v="STORE228"/>
    <s v="MANAGER109"/>
    <s v="POSITIVO"/>
    <d v="1899-12-30T16:00:00"/>
    <m/>
    <d v="1899-12-30T16:00:00"/>
    <s v="POSITION1"/>
    <x v="5"/>
    <s v="STORE228"/>
  </r>
  <r>
    <n v="234647"/>
    <s v="People638"/>
    <s v="department"/>
    <s v="REGION5"/>
    <s v="STORE142"/>
    <s v="MANAGER32"/>
    <s v="POSITIVO"/>
    <d v="1899-12-30T01:42:00"/>
    <m/>
    <d v="1899-12-30T01:42:00"/>
    <s v="POSITION1"/>
    <x v="4"/>
    <s v="STORE142"/>
  </r>
  <r>
    <n v="234648"/>
    <s v="People639"/>
    <s v="department"/>
    <s v="REGION5"/>
    <s v="STORE270"/>
    <s v="MANAGER5"/>
    <s v="NEGATIVO"/>
    <d v="1900-01-07T10:35:00"/>
    <d v="1900-01-07T10:35:00"/>
    <m/>
    <s v="POSITION1"/>
    <x v="4"/>
    <s v="STORE270"/>
  </r>
  <r>
    <n v="234649"/>
    <s v="People640"/>
    <s v="department"/>
    <s v="REGION7"/>
    <s v="STORE165"/>
    <s v="MANAGER19"/>
    <s v="POSITIVO"/>
    <d v="1899-12-30T09:07:00"/>
    <m/>
    <d v="1899-12-30T09:07:00"/>
    <s v="POSITION1"/>
    <x v="6"/>
    <s v="STORE165"/>
  </r>
  <r>
    <n v="234668"/>
    <s v="People641"/>
    <s v="department"/>
    <s v="REGION8"/>
    <s v="STORE302"/>
    <s v="MANAGER122"/>
    <s v="NEGATIVO"/>
    <d v="1899-12-31T01:43:00"/>
    <d v="1899-12-31T01:43:00"/>
    <m/>
    <s v="POSITION5"/>
    <x v="7"/>
    <s v="STORE302"/>
  </r>
  <r>
    <n v="234669"/>
    <s v="People642"/>
    <s v="department"/>
    <s v="REGION7"/>
    <s v="STORE87"/>
    <s v="MANAGER58"/>
    <s v="NEGATIVO"/>
    <d v="1899-12-30T04:56:00"/>
    <d v="1899-12-30T04:56:00"/>
    <m/>
    <s v="POSITION5"/>
    <x v="6"/>
    <s v="STORE87"/>
  </r>
  <r>
    <n v="234673"/>
    <s v="People643"/>
    <s v="department"/>
    <s v="REGION5"/>
    <s v="STORE236"/>
    <s v="MANAGER113"/>
    <s v="POSITIVO"/>
    <d v="1900-01-03T20:42:00"/>
    <m/>
    <d v="1900-01-03T20:42:00"/>
    <s v="POSITION1"/>
    <x v="4"/>
    <s v="STORE236"/>
  </r>
  <r>
    <n v="234680"/>
    <s v="People644"/>
    <s v="department"/>
    <s v="REGION8"/>
    <s v="STORE306"/>
    <s v="MANAGER96"/>
    <s v="NEGATIVO"/>
    <d v="1899-12-30T00:14:00"/>
    <d v="1899-12-30T00:14:00"/>
    <m/>
    <s v="POSITION6"/>
    <x v="7"/>
    <s v="STORE306"/>
  </r>
  <r>
    <n v="234727"/>
    <s v="People645"/>
    <s v="department"/>
    <s v="REGION3"/>
    <s v="STORE179"/>
    <s v="MANAGER94"/>
    <s v="POSITIVO"/>
    <d v="1899-12-30T00:28:00"/>
    <m/>
    <d v="1899-12-30T00:28:00"/>
    <s v="POSITION1"/>
    <x v="2"/>
    <s v="STORE179"/>
  </r>
  <r>
    <n v="234732"/>
    <s v="People646"/>
    <s v="department"/>
    <s v="REGION6"/>
    <s v="STORE228"/>
    <s v="MANAGER109"/>
    <s v="NEGATIVO"/>
    <d v="1900-01-08T18:26:00"/>
    <d v="1900-01-08T18:26:00"/>
    <m/>
    <s v="POSITION1"/>
    <x v="5"/>
    <s v="STORE228"/>
  </r>
  <r>
    <n v="234733"/>
    <s v="People647"/>
    <s v="department"/>
    <s v="REGION6"/>
    <s v="STORE307"/>
    <s v="MANAGER124"/>
    <s v="POSITIVO"/>
    <d v="1900-01-03T03:22:00"/>
    <m/>
    <d v="1900-01-03T03:22:00"/>
    <s v="POSITION1"/>
    <x v="5"/>
    <s v="STORE307"/>
  </r>
  <r>
    <n v="234735"/>
    <s v="People648"/>
    <s v="department"/>
    <s v="REGION3"/>
    <s v="STORE282"/>
    <s v="MANAGER102"/>
    <s v="POSITIVO"/>
    <d v="1899-12-30T04:00:00"/>
    <m/>
    <d v="1899-12-30T04:00:00"/>
    <s v="POSITION1"/>
    <x v="2"/>
    <s v="STORE282"/>
  </r>
  <r>
    <n v="234739"/>
    <s v="People649"/>
    <s v="department"/>
    <s v="REGION8"/>
    <s v="STORE254"/>
    <s v="MANAGER20"/>
    <s v="POSITIVO"/>
    <d v="1899-12-30T13:49:00"/>
    <m/>
    <d v="1899-12-30T13:49:00"/>
    <s v="POSITION1"/>
    <x v="7"/>
    <s v="STORE254"/>
  </r>
  <r>
    <n v="234743"/>
    <s v="People650"/>
    <s v="department"/>
    <s v="REGION9"/>
    <s v="STORE263"/>
    <s v="MANAGER105"/>
    <s v="NEGATIVO"/>
    <d v="1899-12-30T21:02:00"/>
    <d v="1899-12-30T21:02:00"/>
    <m/>
    <s v="POSITION1"/>
    <x v="8"/>
    <s v="STORE263"/>
  </r>
  <r>
    <n v="234788"/>
    <s v="People651"/>
    <s v="department"/>
    <s v="REGION5"/>
    <s v="STORE308"/>
    <s v="MANAGER125"/>
    <s v="NEGATIVO"/>
    <d v="1900-01-01T22:18:00"/>
    <d v="1900-01-01T22:18:00"/>
    <m/>
    <s v="POSITION1"/>
    <x v="4"/>
    <s v="STORE308"/>
  </r>
  <r>
    <n v="234795"/>
    <s v="People652"/>
    <s v="department"/>
    <s v="REGION6"/>
    <s v="STORE307"/>
    <s v="MANAGER124"/>
    <s v="NEGATIVO"/>
    <d v="1900-01-03T06:53:00"/>
    <d v="1900-01-03T06:53:00"/>
    <m/>
    <s v="POSITION1"/>
    <x v="5"/>
    <s v="STORE307"/>
  </r>
  <r>
    <n v="234799"/>
    <s v="People653"/>
    <s v="department"/>
    <s v="REGION5"/>
    <s v="STORE308"/>
    <s v="MANAGER125"/>
    <s v="POSITIVO"/>
    <d v="1899-12-30T04:14:00"/>
    <m/>
    <d v="1899-12-30T04:14:00"/>
    <s v="POSITION1"/>
    <x v="4"/>
    <s v="STORE308"/>
  </r>
  <r>
    <n v="234802"/>
    <s v="People654"/>
    <s v="department"/>
    <s v="REGION1"/>
    <s v="STORE266"/>
    <s v="MANAGER52"/>
    <s v="NEGATIVO"/>
    <d v="1900-01-04T20:49:00"/>
    <d v="1900-01-04T20:49:00"/>
    <m/>
    <s v="POSITION1"/>
    <x v="0"/>
    <s v="STORE266"/>
  </r>
  <r>
    <n v="234813"/>
    <s v="People655"/>
    <s v="department"/>
    <s v="REGION1"/>
    <s v="STORE123"/>
    <s v="MANAGER76"/>
    <s v="NEGATIVO"/>
    <d v="1900-01-05T03:44:00"/>
    <d v="1900-01-05T03:44:00"/>
    <m/>
    <s v="POSITION1"/>
    <x v="0"/>
    <s v="STORE123"/>
  </r>
  <r>
    <n v="234853"/>
    <s v="People656"/>
    <s v="department"/>
    <s v="REGION4"/>
    <s v="STORE145"/>
    <s v="MANAGER29"/>
    <s v="POSITIVO"/>
    <d v="1899-12-30T11:14:00"/>
    <m/>
    <d v="1899-12-30T11:14:00"/>
    <s v="POSITION1"/>
    <x v="3"/>
    <s v="STORE145"/>
  </r>
  <r>
    <n v="234858"/>
    <s v="People657"/>
    <s v="department"/>
    <s v="REGION6"/>
    <s v="STORE250"/>
    <s v="MANAGER116"/>
    <s v="POSITIVO"/>
    <d v="1900-01-04T06:10:00"/>
    <m/>
    <d v="1900-01-04T06:10:00"/>
    <s v="POSITION1"/>
    <x v="5"/>
    <s v="STORE250"/>
  </r>
  <r>
    <n v="234860"/>
    <s v="People658"/>
    <s v="department"/>
    <s v="REGION9"/>
    <s v="STORE131"/>
    <s v="MANAGER79"/>
    <s v="POSITIVO"/>
    <d v="1899-12-30T11:47:00"/>
    <m/>
    <d v="1899-12-30T11:47:00"/>
    <s v="POSITION1"/>
    <x v="8"/>
    <s v="STORE131"/>
  </r>
  <r>
    <n v="234861"/>
    <s v="People659"/>
    <s v="department"/>
    <s v="REGION6"/>
    <s v="STORE309"/>
    <s v="MANAGER124"/>
    <s v="POSITIVO"/>
    <d v="1899-12-30T15:32:00"/>
    <m/>
    <d v="1899-12-30T15:32:00"/>
    <s v="POSITION5"/>
    <x v="5"/>
    <s v="STORE309"/>
  </r>
  <r>
    <n v="234862"/>
    <s v="People660"/>
    <s v="department"/>
    <s v="REGION1"/>
    <s v="STORE107"/>
    <s v="MANAGER16"/>
    <s v="NEGATIVO"/>
    <d v="1899-12-30T03:18:00"/>
    <d v="1899-12-30T03:18:00"/>
    <m/>
    <s v="POSITION1"/>
    <x v="0"/>
    <s v="STORE107"/>
  </r>
  <r>
    <n v="234910"/>
    <s v="People661"/>
    <s v="department"/>
    <s v="REGION7"/>
    <s v="STORE165"/>
    <s v="MANAGER19"/>
    <s v="NEGATIVO"/>
    <d v="1899-12-30T08:51:00"/>
    <d v="1899-12-30T08:51:00"/>
    <m/>
    <s v="POSITION1"/>
    <x v="6"/>
    <s v="STORE165"/>
  </r>
  <r>
    <n v="234931"/>
    <s v="People662"/>
    <s v="department"/>
    <s v="REGION1"/>
    <s v="STORE127"/>
    <s v="MANAGER39"/>
    <s v="POSITIVO"/>
    <d v="1899-12-30T01:08:00"/>
    <m/>
    <d v="1899-12-30T01:08:00"/>
    <s v="POSITION1"/>
    <x v="0"/>
    <s v="STORE127"/>
  </r>
  <r>
    <n v="234935"/>
    <s v="People663"/>
    <s v="department"/>
    <s v="REGION5"/>
    <s v="STORE310"/>
    <s v="MANAGER7"/>
    <s v="NEGATIVO"/>
    <d v="1899-12-30T03:38:00"/>
    <d v="1899-12-30T03:38:00"/>
    <m/>
    <s v="POSITION3"/>
    <x v="4"/>
    <s v="STORE310"/>
  </r>
  <r>
    <n v="234938"/>
    <s v="People664"/>
    <s v="department"/>
    <s v="REGION8"/>
    <s v="STORE311"/>
    <s v="MANAGER9"/>
    <s v="POSITIVO"/>
    <d v="1899-12-31T00:03:00"/>
    <m/>
    <d v="1899-12-31T00:03:00"/>
    <s v="POSITION3"/>
    <x v="7"/>
    <s v="STORE311"/>
  </r>
  <r>
    <n v="234952"/>
    <s v="People665"/>
    <s v="department"/>
    <s v="REGION5"/>
    <s v="STORE312"/>
    <s v="MANAGER125"/>
    <s v="NEGATIVO"/>
    <d v="1899-12-30T21:03:00"/>
    <d v="1899-12-30T21:03:00"/>
    <m/>
    <s v="POSITION5"/>
    <x v="4"/>
    <s v="STORE312"/>
  </r>
  <r>
    <n v="235001"/>
    <s v="People666"/>
    <s v="department"/>
    <s v="REGION1"/>
    <s v="STORE111"/>
    <s v="MANAGER45"/>
    <s v="NEGATIVO"/>
    <d v="1900-01-01T21:52:00"/>
    <d v="1900-01-01T21:52:00"/>
    <m/>
    <s v="POSITION1"/>
    <x v="0"/>
    <s v="STORE111"/>
  </r>
  <r>
    <n v="235023"/>
    <s v="People667"/>
    <s v="department"/>
    <s v="REGION8"/>
    <s v="STORE254"/>
    <s v="MANAGER20"/>
    <s v="NEGATIVO"/>
    <d v="1899-12-30T12:43:00"/>
    <d v="1899-12-30T12:43:00"/>
    <m/>
    <s v="POSITION1"/>
    <x v="7"/>
    <s v="STORE254"/>
  </r>
  <r>
    <n v="235040"/>
    <s v="People668"/>
    <s v="department"/>
    <s v="REGION6"/>
    <s v="STORE307"/>
    <s v="MANAGER124"/>
    <s v="POSITIVO"/>
    <d v="1900-01-05T11:47:00"/>
    <m/>
    <d v="1900-01-05T11:47:00"/>
    <s v="POSITION1"/>
    <x v="5"/>
    <s v="STORE307"/>
  </r>
  <r>
    <n v="235056"/>
    <s v="People669"/>
    <s v="department"/>
    <s v="REGION5"/>
    <s v="STORE236"/>
    <s v="MANAGER113"/>
    <s v="POSITIVO"/>
    <d v="1900-01-01T20:18:00"/>
    <m/>
    <d v="1900-01-01T20:18:00"/>
    <s v="POSITION1"/>
    <x v="4"/>
    <s v="STORE236"/>
  </r>
  <r>
    <n v="235076"/>
    <s v="People670"/>
    <s v="department"/>
    <s v="REGION6"/>
    <s v="STORE309"/>
    <s v="MANAGER124"/>
    <s v="POSITIVO"/>
    <d v="1899-12-30T16:50:00"/>
    <m/>
    <d v="1899-12-30T16:50:00"/>
    <s v="POSITION6"/>
    <x v="5"/>
    <s v="STORE309"/>
  </r>
  <r>
    <n v="235112"/>
    <s v="People671"/>
    <s v="department"/>
    <s v="REGION3"/>
    <s v="STORE118"/>
    <s v="MANAGER73"/>
    <s v="NEGATIVO"/>
    <d v="1899-12-30T03:14:00"/>
    <d v="1899-12-30T03:14:00"/>
    <m/>
    <s v="POSITION1"/>
    <x v="2"/>
    <s v="STORE118"/>
  </r>
  <r>
    <n v="235152"/>
    <s v="People672"/>
    <s v="department"/>
    <s v="REGION3"/>
    <s v="STORE313"/>
    <s v="MANAGER73"/>
    <s v="NEGATIVO"/>
    <d v="1900-01-01T09:18:00"/>
    <d v="1900-01-01T09:18:00"/>
    <m/>
    <s v="POSITION5"/>
    <x v="2"/>
    <s v="STORE313"/>
  </r>
  <r>
    <n v="235156"/>
    <s v="People673"/>
    <s v="department"/>
    <s v="REGION3"/>
    <s v="STORE313"/>
    <s v="MANAGER73"/>
    <s v="POSITIVO"/>
    <d v="1899-12-30T00:56:00"/>
    <m/>
    <d v="1899-12-30T00:56:00"/>
    <s v="POSITION6"/>
    <x v="2"/>
    <s v="STORE313"/>
  </r>
  <r>
    <n v="235178"/>
    <s v="People674"/>
    <s v="department"/>
    <s v="REGION9"/>
    <s v="STORE186"/>
    <s v="MANAGER36"/>
    <s v="POSITIVO"/>
    <d v="1899-12-30T05:29:00"/>
    <m/>
    <d v="1899-12-30T05:29:00"/>
    <s v="POSITION1"/>
    <x v="8"/>
    <s v="STORE186"/>
  </r>
  <r>
    <n v="235184"/>
    <s v="People675"/>
    <s v="department"/>
    <s v="REGION2"/>
    <s v="STORE178"/>
    <s v="MANAGER27"/>
    <s v="POSITIVO"/>
    <d v="1899-12-30T00:33:00"/>
    <m/>
    <d v="1899-12-30T00:33:00"/>
    <s v="POSITION1"/>
    <x v="1"/>
    <s v="STORE178"/>
  </r>
  <r>
    <n v="235185"/>
    <s v="People676"/>
    <s v="department"/>
    <s v="REGION6"/>
    <s v="STORE169"/>
    <s v="MANAGER33"/>
    <s v="POSITIVO"/>
    <d v="1899-12-31T08:21:00"/>
    <m/>
    <d v="1899-12-31T08:21:00"/>
    <s v="POSITION1"/>
    <x v="5"/>
    <s v="STORE169"/>
  </r>
  <r>
    <n v="235200"/>
    <s v="People677"/>
    <s v="department"/>
    <s v="REGION2"/>
    <s v="STORE158"/>
    <s v="MANAGER80"/>
    <s v="POSITIVO"/>
    <d v="1899-12-30T11:08:00"/>
    <m/>
    <d v="1899-12-30T11:08:00"/>
    <s v="POSITION1"/>
    <x v="1"/>
    <s v="STORE158"/>
  </r>
  <r>
    <n v="235204"/>
    <s v="People678"/>
    <s v="department"/>
    <s v="REGION3"/>
    <s v="STORE313"/>
    <s v="MANAGER73"/>
    <s v="POSITIVO"/>
    <d v="1899-12-30T14:16:00"/>
    <m/>
    <d v="1899-12-30T14:16:00"/>
    <s v="POSITION6"/>
    <x v="2"/>
    <s v="STORE313"/>
  </r>
  <r>
    <n v="235215"/>
    <s v="People679"/>
    <s v="department"/>
    <s v="REGION5"/>
    <s v="STORE258"/>
    <s v="MANAGER117"/>
    <s v="POSITIVO"/>
    <d v="1899-12-30T10:28:00"/>
    <m/>
    <d v="1899-12-30T10:28:00"/>
    <s v="POSITION1"/>
    <x v="4"/>
    <s v="STORE258"/>
  </r>
  <r>
    <n v="235232"/>
    <s v="People680"/>
    <s v="department"/>
    <s v="REGION5"/>
    <s v="STORE142"/>
    <s v="MANAGER32"/>
    <s v="NEGATIVO"/>
    <d v="1899-12-30T15:52:00"/>
    <d v="1899-12-30T15:52:00"/>
    <m/>
    <s v="POSITION1"/>
    <x v="4"/>
    <s v="STORE142"/>
  </r>
  <r>
    <n v="235236"/>
    <s v="People681"/>
    <s v="department"/>
    <s v="REGION4"/>
    <s v="STORE23"/>
    <s v="MANAGER13"/>
    <s v="POSITIVO"/>
    <d v="1899-12-30T00:19:00"/>
    <m/>
    <d v="1899-12-30T00:19:00"/>
    <s v="POSITION6"/>
    <x v="3"/>
    <s v="STORE23"/>
  </r>
  <r>
    <n v="235242"/>
    <s v="People682"/>
    <s v="department"/>
    <s v="REGION1"/>
    <s v="STORE71"/>
    <s v="MANAGER46"/>
    <s v="NEGATIVO"/>
    <d v="1899-12-30T06:24:00"/>
    <d v="1899-12-30T06:24:00"/>
    <m/>
    <s v="POSITION1"/>
    <x v="0"/>
    <s v="STORE71"/>
  </r>
  <r>
    <n v="235243"/>
    <s v="People683"/>
    <s v="department"/>
    <s v="REGION4"/>
    <s v="STORE124"/>
    <s v="MANAGER43"/>
    <s v="NEGATIVO"/>
    <d v="1899-12-30T01:17:00"/>
    <d v="1899-12-30T01:17:00"/>
    <m/>
    <s v="POSITION1"/>
    <x v="3"/>
    <s v="STORE124"/>
  </r>
  <r>
    <n v="235257"/>
    <s v="People684"/>
    <s v="department"/>
    <s v="REGION3"/>
    <s v="STORE118"/>
    <s v="MANAGER73"/>
    <s v="POSITIVO"/>
    <d v="1899-12-30T07:57:00"/>
    <m/>
    <d v="1899-12-30T07:57:00"/>
    <s v="POSITION1"/>
    <x v="2"/>
    <s v="STORE118"/>
  </r>
  <r>
    <n v="235260"/>
    <s v="People685"/>
    <s v="department"/>
    <s v="REGION6"/>
    <s v="STORE114"/>
    <s v="MANAGER70"/>
    <s v="POSITIVO"/>
    <d v="1899-12-31T03:43:00"/>
    <m/>
    <d v="1899-12-31T03:43:00"/>
    <s v="POSITION6"/>
    <x v="5"/>
    <s v="STORE114"/>
  </r>
  <r>
    <n v="235264"/>
    <s v="People686"/>
    <s v="department"/>
    <s v="REGION7"/>
    <s v="STORE151"/>
    <s v="MANAGER54"/>
    <s v="NEGATIVO"/>
    <d v="1899-12-30T03:56:00"/>
    <d v="1899-12-30T03:56:00"/>
    <m/>
    <s v="POSITION1"/>
    <x v="6"/>
    <s v="STORE151"/>
  </r>
  <r>
    <n v="235308"/>
    <s v="People687"/>
    <s v="department"/>
    <s v="REGION3"/>
    <s v="STORE149"/>
    <s v="MANAGER85"/>
    <s v="POSITIVO"/>
    <d v="1899-12-30T22:06:00"/>
    <m/>
    <d v="1899-12-30T22:06:00"/>
    <s v="POSITION1"/>
    <x v="2"/>
    <s v="STORE149"/>
  </r>
  <r>
    <n v="235365"/>
    <s v="People688"/>
    <s v="department"/>
    <s v="REGION7"/>
    <s v="STORE231"/>
    <s v="MANAGER112"/>
    <s v="POSITIVO"/>
    <d v="1899-12-30T12:30:00"/>
    <m/>
    <d v="1899-12-30T12:30:00"/>
    <s v="POSITION5"/>
    <x v="6"/>
    <s v="STORE231"/>
  </r>
  <r>
    <n v="235366"/>
    <s v="People689"/>
    <s v="department"/>
    <s v="REGION9"/>
    <s v="STORE192"/>
    <s v="MANAGER47"/>
    <s v="POSITIVO"/>
    <d v="1899-12-30T11:07:00"/>
    <m/>
    <d v="1899-12-30T11:07:00"/>
    <s v="POSITION1"/>
    <x v="8"/>
    <s v="STORE192"/>
  </r>
  <r>
    <n v="235367"/>
    <s v="People690"/>
    <s v="department"/>
    <s v="REGION9"/>
    <s v="STORE314"/>
    <s v="MANAGER126"/>
    <s v="POSITIVO"/>
    <d v="1899-12-31T04:42:00"/>
    <m/>
    <d v="1899-12-31T04:42:00"/>
    <s v="POSITION1"/>
    <x v="8"/>
    <s v="STORE314"/>
  </r>
  <r>
    <n v="235375"/>
    <s v="People691"/>
    <s v="department"/>
    <s v="REGION8"/>
    <s v="STORE315"/>
    <s v="MANAGER9"/>
    <s v="POSITIVO"/>
    <d v="1899-12-30T22:32:00"/>
    <m/>
    <d v="1899-12-30T22:32:00"/>
    <s v="POSITION3"/>
    <x v="7"/>
    <s v="STORE315"/>
  </r>
  <r>
    <n v="235376"/>
    <s v="People692"/>
    <s v="department"/>
    <s v="REGION8"/>
    <s v="STORE297"/>
    <s v="MANAGER121"/>
    <s v="NEGATIVO"/>
    <d v="1899-12-30T11:49:00"/>
    <d v="1899-12-30T11:49:00"/>
    <m/>
    <s v="POSITION1"/>
    <x v="7"/>
    <s v="STORE297"/>
  </r>
  <r>
    <n v="235399"/>
    <s v="People693"/>
    <s v="department"/>
    <s v="REGION5"/>
    <s v="STORE247"/>
    <s v="MANAGER35"/>
    <s v="POSITIVO"/>
    <d v="1899-12-30T00:30:00"/>
    <m/>
    <d v="1899-12-30T00:30:00"/>
    <s v="POSITION1"/>
    <x v="4"/>
    <s v="STORE247"/>
  </r>
  <r>
    <n v="235411"/>
    <s v="People694"/>
    <s v="department"/>
    <s v="REGION2"/>
    <s v="STORE252"/>
    <s v="MANAGER66"/>
    <s v="NEGATIVO"/>
    <d v="1899-12-31T15:34:00"/>
    <d v="1899-12-31T15:34:00"/>
    <m/>
    <s v="POSITION1"/>
    <x v="1"/>
    <s v="STORE252"/>
  </r>
  <r>
    <n v="235432"/>
    <s v="People695"/>
    <s v="department"/>
    <s v="REGION8"/>
    <s v="STORE316"/>
    <s v="MANAGER127"/>
    <s v="POSITIVO"/>
    <d v="1899-12-31T05:38:00"/>
    <m/>
    <d v="1899-12-31T05:38:00"/>
    <s v="POSITION1"/>
    <x v="7"/>
    <s v="STORE316"/>
  </r>
  <r>
    <n v="235459"/>
    <s v="People696"/>
    <s v="department"/>
    <s v="REGION5"/>
    <s v="STORE229"/>
    <s v="MANAGER110"/>
    <s v="POSITIVO"/>
    <d v="1899-12-30T14:32:00"/>
    <m/>
    <d v="1899-12-30T14:32:00"/>
    <s v="POSITION1"/>
    <x v="4"/>
    <s v="STORE229"/>
  </r>
  <r>
    <n v="235468"/>
    <s v="People697"/>
    <s v="department"/>
    <s v="REGION5"/>
    <s v="STORE174"/>
    <s v="MANAGER91"/>
    <s v="POSITIVO"/>
    <d v="1899-12-31T18:18:00"/>
    <m/>
    <d v="1899-12-31T18:18:00"/>
    <s v="POSITION6"/>
    <x v="4"/>
    <s v="STORE174"/>
  </r>
  <r>
    <n v="235471"/>
    <s v="People698"/>
    <s v="department"/>
    <s v="REGION9"/>
    <s v="STORE317"/>
    <s v="MANAGER111"/>
    <s v="POSITIVO"/>
    <d v="1899-12-30T08:51:00"/>
    <m/>
    <d v="1899-12-30T08:51:00"/>
    <s v="POSITION5"/>
    <x v="8"/>
    <s v="STORE317"/>
  </r>
  <r>
    <n v="235474"/>
    <s v="People699"/>
    <s v="department"/>
    <s v="REGION9"/>
    <s v="STORE131"/>
    <s v="MANAGER79"/>
    <s v="POSITIVO"/>
    <d v="1899-12-30T08:54:00"/>
    <m/>
    <d v="1899-12-30T08:54:00"/>
    <s v="POSITION1"/>
    <x v="8"/>
    <s v="STORE131"/>
  </r>
  <r>
    <n v="235476"/>
    <s v="People700"/>
    <s v="department"/>
    <s v="REGION4"/>
    <s v="STORE318"/>
    <s v="MANAGER14"/>
    <s v="POSITIVO"/>
    <d v="1899-12-31T23:06:00"/>
    <m/>
    <d v="1899-12-31T23:06:00"/>
    <s v="POSITION4"/>
    <x v="3"/>
    <s v="STORE318"/>
  </r>
  <r>
    <n v="235478"/>
    <s v="People701"/>
    <s v="department"/>
    <s v="REGION3"/>
    <s v="STORE319"/>
    <s v="MANAGER3"/>
    <s v="POSITIVO"/>
    <d v="1899-12-30T05:26:00"/>
    <m/>
    <d v="1899-12-30T05:26:00"/>
    <s v="POSITION3"/>
    <x v="2"/>
    <s v="STORE319"/>
  </r>
  <r>
    <n v="235485"/>
    <s v="People702"/>
    <s v="department"/>
    <s v="REGION6"/>
    <s v="STORE320"/>
    <s v="MANAGER6"/>
    <s v="POSITIVO"/>
    <d v="1899-12-30T09:12:00"/>
    <m/>
    <d v="1899-12-30T09:12:00"/>
    <s v="POSITION3"/>
    <x v="5"/>
    <s v="STORE320"/>
  </r>
  <r>
    <n v="235488"/>
    <s v="People703"/>
    <s v="department"/>
    <s v="REGION2"/>
    <s v="STORE285"/>
    <s v="MANAGER22"/>
    <s v="NEGATIVO"/>
    <d v="1900-01-06T12:00:00"/>
    <d v="1900-01-06T12:00:00"/>
    <m/>
    <s v="POSITION1"/>
    <x v="1"/>
    <s v="STORE285"/>
  </r>
  <r>
    <n v="235490"/>
    <s v="People704"/>
    <s v="department"/>
    <s v="REGION9"/>
    <s v="STORE161"/>
    <s v="MANAGER56"/>
    <s v="POSITIVO"/>
    <d v="1899-12-30T20:40:00"/>
    <m/>
    <d v="1899-12-30T20:40:00"/>
    <s v="POSITION1"/>
    <x v="8"/>
    <s v="STORE161"/>
  </r>
  <r>
    <n v="235491"/>
    <s v="People705"/>
    <s v="department"/>
    <s v="REGION9"/>
    <s v="STORE292"/>
    <s v="MANAGER111"/>
    <s v="POSITIVO"/>
    <d v="1899-12-31T07:26:00"/>
    <m/>
    <d v="1899-12-31T07:26:00"/>
    <s v="POSITION1"/>
    <x v="8"/>
    <s v="STORE292"/>
  </r>
  <r>
    <n v="235496"/>
    <s v="People706"/>
    <s v="department"/>
    <s v="REGION5"/>
    <s v="STORE247"/>
    <s v="MANAGER35"/>
    <s v="NEGATIVO"/>
    <d v="1899-12-31T12:27:00"/>
    <d v="1899-12-31T12:27:00"/>
    <m/>
    <s v="POSITION1"/>
    <x v="4"/>
    <s v="STORE247"/>
  </r>
  <r>
    <n v="235498"/>
    <s v="People707"/>
    <s v="department"/>
    <s v="REGION6"/>
    <s v="STORE156"/>
    <s v="MANAGER70"/>
    <s v="NEGATIVO"/>
    <d v="1900-01-01T05:29:00"/>
    <d v="1900-01-01T05:29:00"/>
    <m/>
    <s v="POSITION1"/>
    <x v="5"/>
    <s v="STORE156"/>
  </r>
  <r>
    <n v="235499"/>
    <s v="People708"/>
    <s v="department"/>
    <s v="REGION9"/>
    <s v="STORE141"/>
    <s v="MANAGER25"/>
    <s v="NEGATIVO"/>
    <d v="1899-12-30T21:48:00"/>
    <d v="1899-12-30T21:48:00"/>
    <m/>
    <s v="POSITION1"/>
    <x v="8"/>
    <s v="STORE141"/>
  </r>
  <r>
    <n v="235502"/>
    <s v="People709"/>
    <s v="department"/>
    <s v="REGION1"/>
    <s v="STORE103"/>
    <s v="MANAGER40"/>
    <s v="NEGATIVO"/>
    <d v="1899-12-30T16:18:00"/>
    <d v="1899-12-30T16:18:00"/>
    <m/>
    <s v="POSITION1"/>
    <x v="0"/>
    <s v="STORE103"/>
  </r>
  <r>
    <n v="235511"/>
    <s v="People710"/>
    <s v="department"/>
    <s v="REGION1"/>
    <s v="STORE103"/>
    <s v="MANAGER40"/>
    <s v="POSITIVO"/>
    <d v="1899-12-30T20:56:00"/>
    <m/>
    <d v="1899-12-30T20:56:00"/>
    <s v="POSITION1"/>
    <x v="0"/>
    <s v="STORE103"/>
  </r>
  <r>
    <n v="235528"/>
    <s v="People711"/>
    <s v="department"/>
    <s v="REGION9"/>
    <s v="STORE168"/>
    <s v="MANAGER92"/>
    <s v="POSITIVO"/>
    <d v="1899-12-30T18:03:00"/>
    <m/>
    <d v="1899-12-30T18:03:00"/>
    <s v="POSITION1"/>
    <x v="8"/>
    <s v="STORE168"/>
  </r>
  <r>
    <n v="235529"/>
    <s v="People712"/>
    <s v="department"/>
    <s v="REGION9"/>
    <s v="STORE314"/>
    <s v="MANAGER126"/>
    <s v="POSITIVO"/>
    <d v="1899-12-30T09:01:00"/>
    <m/>
    <d v="1899-12-30T09:01:00"/>
    <s v="POSITION1"/>
    <x v="8"/>
    <s v="STORE314"/>
  </r>
  <r>
    <n v="235552"/>
    <s v="People713"/>
    <s v="department"/>
    <s v="REGION9"/>
    <s v="STORE321"/>
    <s v="MANAGER126"/>
    <s v="NEGATIVO"/>
    <d v="1900-01-01T00:17:00"/>
    <d v="1900-01-01T00:17:00"/>
    <m/>
    <s v="POSITION6"/>
    <x v="8"/>
    <s v="STORE321"/>
  </r>
  <r>
    <n v="235556"/>
    <s v="People714"/>
    <s v="department"/>
    <s v="REGION2"/>
    <s v="STORE322"/>
    <s v="MANAGER2"/>
    <s v="NEGATIVO"/>
    <d v="1899-12-30T21:19:00"/>
    <d v="1899-12-30T21:19:00"/>
    <m/>
    <s v="POSITION3"/>
    <x v="1"/>
    <s v="STORE322"/>
  </r>
  <r>
    <n v="235557"/>
    <s v="People715"/>
    <s v="department"/>
    <s v="REGION3"/>
    <s v="STORE304"/>
    <s v="MANAGER123"/>
    <s v="POSITIVO"/>
    <d v="1899-12-30T20:33:00"/>
    <m/>
    <d v="1899-12-30T20:33:00"/>
    <s v="POSITION1"/>
    <x v="2"/>
    <s v="STORE304"/>
  </r>
  <r>
    <n v="235578"/>
    <s v="People716"/>
    <s v="department"/>
    <s v="REGION5"/>
    <s v="STORE277"/>
    <s v="MANAGER119"/>
    <s v="POSITIVO"/>
    <d v="1899-12-31T03:17:00"/>
    <m/>
    <d v="1899-12-31T03:17:00"/>
    <s v="POSITION1"/>
    <x v="4"/>
    <s v="STORE277"/>
  </r>
  <r>
    <n v="235586"/>
    <s v="People717"/>
    <s v="department"/>
    <s v="REGION1"/>
    <s v="STORE323"/>
    <s v="MANAGER11"/>
    <s v="NEGATIVO"/>
    <d v="1899-12-30T03:08:00"/>
    <d v="1899-12-30T03:08:00"/>
    <m/>
    <s v="POSITION3"/>
    <x v="0"/>
    <s v="STORE323"/>
  </r>
  <r>
    <n v="235651"/>
    <s v="People718"/>
    <s v="department"/>
    <s v="REGION9"/>
    <s v="STORE168"/>
    <s v="MANAGER92"/>
    <s v="POSITIVO"/>
    <d v="1899-12-30T08:37:00"/>
    <m/>
    <d v="1899-12-30T08:37:00"/>
    <s v="POSITION1"/>
    <x v="8"/>
    <s v="STORE168"/>
  </r>
  <r>
    <n v="235678"/>
    <s v="People719"/>
    <s v="department"/>
    <s v="REGION1"/>
    <s v="STORE111"/>
    <s v="MANAGER45"/>
    <s v="NEGATIVO"/>
    <d v="1899-12-31T02:59:00"/>
    <d v="1899-12-31T02:59:00"/>
    <m/>
    <s v="POSITION1"/>
    <x v="0"/>
    <s v="STORE111"/>
  </r>
  <r>
    <n v="235697"/>
    <s v="People720"/>
    <s v="department"/>
    <s v="REGION9"/>
    <s v="STORE324"/>
    <s v="MANAGER10"/>
    <s v="POSITIVO"/>
    <d v="1899-12-30T21:23:00"/>
    <m/>
    <d v="1899-12-30T21:23:00"/>
    <s v="POSITION3"/>
    <x v="8"/>
    <s v="STORE324"/>
  </r>
  <r>
    <n v="235704"/>
    <s v="People721"/>
    <s v="department"/>
    <s v="REGION2"/>
    <s v="STORE285"/>
    <s v="MANAGER22"/>
    <s v="NEGATIVO"/>
    <d v="1900-01-05T16:48:00"/>
    <d v="1900-01-05T16:48:00"/>
    <m/>
    <s v="POSITION1"/>
    <x v="1"/>
    <s v="STORE285"/>
  </r>
  <r>
    <n v="235710"/>
    <s v="People722"/>
    <s v="department"/>
    <s v="REGION8"/>
    <s v="STORE183"/>
    <s v="MANAGER28"/>
    <s v="NEGATIVO"/>
    <d v="1899-12-30T20:33:00"/>
    <d v="1899-12-30T20:33:00"/>
    <m/>
    <s v="POSITION1"/>
    <x v="7"/>
    <s v="STORE183"/>
  </r>
  <r>
    <n v="235711"/>
    <s v="People723"/>
    <s v="department"/>
    <s v="REGION8"/>
    <s v="STORE300"/>
    <s v="MANAGER122"/>
    <s v="POSITIVO"/>
    <d v="1900-01-02T08:13:00"/>
    <m/>
    <d v="1900-01-02T08:13:00"/>
    <s v="POSITION1"/>
    <x v="7"/>
    <s v="STORE300"/>
  </r>
  <r>
    <n v="235725"/>
    <s v="People724"/>
    <s v="department"/>
    <s v="REGION8"/>
    <s v="STORE300"/>
    <s v="MANAGER122"/>
    <s v="NEGATIVO"/>
    <d v="1899-12-30T19:52:00"/>
    <d v="1899-12-30T19:52:00"/>
    <m/>
    <s v="POSITION1"/>
    <x v="7"/>
    <s v="STORE300"/>
  </r>
  <r>
    <n v="235727"/>
    <s v="People725"/>
    <s v="department"/>
    <s v="REGION5"/>
    <s v="STORE280"/>
    <s v="MANAGER119"/>
    <s v="NEGATIVO"/>
    <d v="1899-12-30T12:05:00"/>
    <d v="1899-12-30T12:05:00"/>
    <m/>
    <s v="POSITION6"/>
    <x v="4"/>
    <s v="STORE280"/>
  </r>
  <r>
    <n v="235729"/>
    <s v="People726"/>
    <s v="department"/>
    <s v="REGION8"/>
    <s v="STORE213"/>
    <s v="MANAGER37"/>
    <s v="NEGATIVO"/>
    <d v="1899-12-30T15:07:00"/>
    <d v="1899-12-30T15:07:00"/>
    <m/>
    <s v="POSITION1"/>
    <x v="7"/>
    <s v="STORE213"/>
  </r>
  <r>
    <n v="235730"/>
    <s v="People727"/>
    <s v="department"/>
    <s v="REGION2"/>
    <s v="STORE295"/>
    <s v="MANAGER65"/>
    <s v="POSITIVO"/>
    <d v="1899-12-30T04:35:00"/>
    <m/>
    <d v="1899-12-30T04:35:00"/>
    <s v="POSITION1"/>
    <x v="1"/>
    <s v="STORE295"/>
  </r>
  <r>
    <n v="235731"/>
    <s v="People728"/>
    <s v="department"/>
    <s v="REGION2"/>
    <s v="STORE295"/>
    <s v="MANAGER65"/>
    <s v="NEGATIVO"/>
    <d v="1899-12-30T13:07:00"/>
    <d v="1899-12-30T13:07:00"/>
    <m/>
    <s v="POSITION1"/>
    <x v="1"/>
    <s v="STORE295"/>
  </r>
  <r>
    <n v="235743"/>
    <s v="People729"/>
    <s v="department"/>
    <s v="REGION8"/>
    <s v="STORE325"/>
    <s v="MANAGER97"/>
    <s v="NEGATIVO"/>
    <d v="1899-12-30T10:01:00"/>
    <d v="1899-12-30T10:01:00"/>
    <m/>
    <s v="POSITION6"/>
    <x v="7"/>
    <s v="STORE325"/>
  </r>
  <r>
    <n v="235747"/>
    <s v="People730"/>
    <s v="department"/>
    <s v="REGION9"/>
    <s v="STORE125"/>
    <s v="MANAGER63"/>
    <s v="POSITIVO"/>
    <d v="1899-12-31T02:33:00"/>
    <m/>
    <d v="1899-12-31T02:33:00"/>
    <s v="POSITION1"/>
    <x v="8"/>
    <s v="STORE125"/>
  </r>
  <r>
    <n v="235748"/>
    <s v="People731"/>
    <s v="department"/>
    <s v="REGION1"/>
    <s v="STORE266"/>
    <s v="MANAGER52"/>
    <s v="NEGATIVO"/>
    <d v="1899-12-30T17:48:00"/>
    <d v="1899-12-30T17:48:00"/>
    <m/>
    <s v="POSITION1"/>
    <x v="0"/>
    <s v="STORE266"/>
  </r>
  <r>
    <n v="235756"/>
    <s v="People732"/>
    <s v="department"/>
    <s v="REGION9"/>
    <s v="STORE210"/>
    <s v="MANAGER99"/>
    <s v="NEGATIVO"/>
    <d v="1899-12-31T00:50:00"/>
    <d v="1899-12-31T00:50:00"/>
    <m/>
    <s v="POSITION1"/>
    <x v="8"/>
    <s v="STORE210"/>
  </r>
  <r>
    <n v="235760"/>
    <s v="People733"/>
    <s v="department"/>
    <s v="REGION3"/>
    <s v="STORE215"/>
    <s v="MANAGER86"/>
    <s v="NEGATIVO"/>
    <d v="1899-12-30T11:01:00"/>
    <d v="1899-12-30T11:01:00"/>
    <m/>
    <s v="POSITION1"/>
    <x v="2"/>
    <s v="STORE215"/>
  </r>
  <r>
    <n v="235800"/>
    <s v="People734"/>
    <s v="department"/>
    <s v="REGION7"/>
    <s v="STORE83"/>
    <s v="MANAGER55"/>
    <s v="NEGATIVO"/>
    <d v="1899-12-31T19:10:00"/>
    <d v="1899-12-31T19:10:00"/>
    <m/>
    <s v="POSITION6"/>
    <x v="6"/>
    <s v="STORE83"/>
  </r>
  <r>
    <n v="235803"/>
    <s v="People735"/>
    <s v="department"/>
    <s v="REGION4"/>
    <s v="STORE267"/>
    <s v="MANAGER38"/>
    <s v="POSITIVO"/>
    <d v="1899-12-31T23:34:00"/>
    <m/>
    <d v="1899-12-31T23:34:00"/>
    <s v="POSITION1"/>
    <x v="3"/>
    <s v="STORE267"/>
  </r>
  <r>
    <n v="235804"/>
    <s v="People736"/>
    <s v="department"/>
    <s v="REGION8"/>
    <s v="STORE326"/>
    <s v="MANAGER127"/>
    <s v="NEGATIVO"/>
    <d v="1900-01-08T17:17:00"/>
    <d v="1900-01-08T17:17:00"/>
    <m/>
    <s v="POSITION5"/>
    <x v="7"/>
    <s v="STORE326"/>
  </r>
  <r>
    <n v="235819"/>
    <s v="People737"/>
    <s v="department"/>
    <s v="REGION8"/>
    <s v="STORE32"/>
    <s v="MANAGER20"/>
    <s v="POSITIVO"/>
    <d v="1899-12-30T00:43:00"/>
    <m/>
    <d v="1899-12-30T00:43:00"/>
    <s v="POSITION7"/>
    <x v="7"/>
    <s v="STORE32"/>
  </r>
  <r>
    <n v="235838"/>
    <s v="People738"/>
    <s v="department"/>
    <s v="REGION8"/>
    <s v="STORE327"/>
    <s v="MANAGER128"/>
    <s v="POSITIVO"/>
    <d v="1900-01-06T02:12:00"/>
    <m/>
    <d v="1900-01-06T02:12:00"/>
    <s v="POSITION1"/>
    <x v="7"/>
    <s v="STORE327"/>
  </r>
  <r>
    <n v="235843"/>
    <s v="People739"/>
    <s v="department"/>
    <s v="REGION3"/>
    <s v="STORE136"/>
    <s v="MANAGER82"/>
    <s v="NEGATIVO"/>
    <d v="1899-12-31T05:26:00"/>
    <d v="1899-12-31T05:26:00"/>
    <m/>
    <s v="POSITION1"/>
    <x v="2"/>
    <s v="STORE136"/>
  </r>
  <r>
    <n v="235844"/>
    <s v="People740"/>
    <s v="department"/>
    <s v="REGION8"/>
    <s v="STORE254"/>
    <s v="MANAGER20"/>
    <s v="POSITIVO"/>
    <d v="1899-12-30T00:44:00"/>
    <m/>
    <d v="1899-12-30T00:44:00"/>
    <s v="POSITION1"/>
    <x v="7"/>
    <s v="STORE254"/>
  </r>
  <r>
    <n v="235849"/>
    <s v="People741"/>
    <s v="department"/>
    <s v="REGION7"/>
    <s v="STORE262"/>
    <s v="MANAGER64"/>
    <s v="NEGATIVO"/>
    <d v="1900-01-13T08:40:00"/>
    <d v="1900-01-13T08:40:00"/>
    <m/>
    <s v="POSITION1"/>
    <x v="6"/>
    <s v="STORE262"/>
  </r>
  <r>
    <n v="235865"/>
    <s v="People742"/>
    <s v="department"/>
    <s v="REGION7"/>
    <s v="STORE87"/>
    <s v="MANAGER58"/>
    <s v="NEGATIVO"/>
    <d v="1899-12-30T00:43:00"/>
    <d v="1899-12-30T00:43:00"/>
    <m/>
    <s v="POSITION6"/>
    <x v="6"/>
    <s v="STORE87"/>
  </r>
  <r>
    <n v="235882"/>
    <s v="People743"/>
    <s v="department"/>
    <s v="REGION1"/>
    <s v="STORE111"/>
    <s v="MANAGER45"/>
    <s v="NEGATIVO"/>
    <d v="1899-12-30T14:50:00"/>
    <d v="1899-12-30T14:50:00"/>
    <m/>
    <s v="POSITION1"/>
    <x v="0"/>
    <s v="STORE111"/>
  </r>
  <r>
    <n v="235894"/>
    <s v="People744"/>
    <s v="department"/>
    <s v="REGION1"/>
    <s v="STORE107"/>
    <s v="MANAGER16"/>
    <s v="POSITIVO"/>
    <d v="1899-12-30T17:56:00"/>
    <m/>
    <d v="1899-12-30T17:56:00"/>
    <s v="POSITION1"/>
    <x v="0"/>
    <s v="STORE107"/>
  </r>
  <r>
    <n v="235897"/>
    <s v="People745"/>
    <s v="department"/>
    <s v="REGION4"/>
    <s v="STORE219"/>
    <s v="MANAGER13"/>
    <s v="POSITIVO"/>
    <d v="1899-12-30T14:29:00"/>
    <m/>
    <d v="1899-12-30T14:29:00"/>
    <s v="POSITION1"/>
    <x v="3"/>
    <s v="STORE219"/>
  </r>
  <r>
    <n v="235901"/>
    <s v="People746"/>
    <s v="department"/>
    <s v="REGION2"/>
    <s v="STORE240"/>
    <s v="MANAGER15"/>
    <s v="POSITIVO"/>
    <d v="1899-12-31T05:08:00"/>
    <m/>
    <d v="1899-12-31T05:08:00"/>
    <s v="POSITION1"/>
    <x v="1"/>
    <s v="STORE240"/>
  </r>
  <r>
    <n v="235902"/>
    <s v="People747"/>
    <s v="department"/>
    <s v="REGION6"/>
    <s v="STORE156"/>
    <s v="MANAGER70"/>
    <s v="NEGATIVO"/>
    <d v="1899-12-31T08:02:00"/>
    <d v="1899-12-31T08:02:00"/>
    <m/>
    <s v="POSITION1"/>
    <x v="5"/>
    <s v="STORE156"/>
  </r>
  <r>
    <n v="235907"/>
    <s v="People748"/>
    <s v="department"/>
    <s v="REGION2"/>
    <s v="STORE158"/>
    <s v="MANAGER80"/>
    <s v="NEGATIVO"/>
    <d v="1899-12-30T02:10:00"/>
    <d v="1899-12-30T02:10:00"/>
    <m/>
    <s v="POSITION1"/>
    <x v="1"/>
    <s v="STORE158"/>
  </r>
  <r>
    <n v="235908"/>
    <s v="People749"/>
    <s v="department"/>
    <s v="REGION3"/>
    <s v="STORE196"/>
    <s v="MANAGER61"/>
    <s v="POSITIVO"/>
    <d v="1899-12-30T14:43:00"/>
    <m/>
    <d v="1899-12-30T14:43:00"/>
    <s v="POSITION1"/>
    <x v="2"/>
    <s v="STORE196"/>
  </r>
  <r>
    <n v="235930"/>
    <s v="People750"/>
    <s v="department"/>
    <s v="REGION3"/>
    <s v="STORE102"/>
    <s v="MANAGER12"/>
    <s v="POSITIVO"/>
    <d v="1899-12-30T07:22:00"/>
    <m/>
    <d v="1899-12-30T07:22:00"/>
    <s v="POSITION1"/>
    <x v="2"/>
    <s v="STORE102"/>
  </r>
  <r>
    <n v="235951"/>
    <s v="People751"/>
    <s v="department"/>
    <s v="REGION5"/>
    <s v="STORE258"/>
    <s v="MANAGER117"/>
    <s v="POSITIVO"/>
    <d v="1899-12-30T00:08:00"/>
    <m/>
    <d v="1899-12-30T00:08:00"/>
    <s v="POSITION1"/>
    <x v="4"/>
    <s v="STORE258"/>
  </r>
  <r>
    <n v="235957"/>
    <s v="People752"/>
    <s v="department"/>
    <s v="REGION9"/>
    <s v="STORE328"/>
    <s v="MANAGER105"/>
    <s v="NEGATIVO"/>
    <d v="1900-01-19T02:58:00"/>
    <d v="1900-01-19T02:58:00"/>
    <m/>
    <s v="POSITION6"/>
    <x v="8"/>
    <s v="STORE328"/>
  </r>
  <r>
    <n v="235960"/>
    <s v="People753"/>
    <s v="department"/>
    <s v="REGION3"/>
    <s v="STORE238"/>
    <s v="MANAGER114"/>
    <s v="POSITIVO"/>
    <d v="1899-12-30T03:06:00"/>
    <m/>
    <d v="1899-12-30T03:06:00"/>
    <s v="POSITION1"/>
    <x v="2"/>
    <s v="STORE238"/>
  </r>
  <r>
    <n v="235963"/>
    <s v="People754"/>
    <s v="department"/>
    <s v="REGION9"/>
    <s v="STORE329"/>
    <s v="MANAGER105"/>
    <s v="NEGATIVO"/>
    <d v="1900-01-21T16:00:00"/>
    <d v="1900-01-21T16:00:00"/>
    <m/>
    <s v="POSITION1"/>
    <x v="8"/>
    <s v="STORE329"/>
  </r>
  <r>
    <n v="235966"/>
    <s v="People755"/>
    <s v="department"/>
    <s v="REGION9"/>
    <s v="STORE328"/>
    <s v="MANAGER105"/>
    <s v="NEGATIVO"/>
    <d v="1899-12-31T23:11:00"/>
    <d v="1899-12-31T23:11:00"/>
    <m/>
    <s v="POSITION5"/>
    <x v="8"/>
    <s v="STORE328"/>
  </r>
  <r>
    <n v="235967"/>
    <s v="People756"/>
    <s v="department"/>
    <s v="REGION5"/>
    <s v="STORE330"/>
    <s v="MANAGER7"/>
    <s v="POSITIVO"/>
    <d v="1899-12-30T16:13:00"/>
    <m/>
    <d v="1899-12-30T16:13:00"/>
    <s v="POSITION3"/>
    <x v="4"/>
    <s v="STORE330"/>
  </r>
  <r>
    <n v="235974"/>
    <s v="People757"/>
    <s v="department"/>
    <s v="REGION3"/>
    <s v="STORE135"/>
    <s v="MANAGER81"/>
    <s v="POSITIVO"/>
    <d v="1899-12-30T18:05:00"/>
    <m/>
    <d v="1899-12-30T18:05:00"/>
    <s v="POSITION1"/>
    <x v="2"/>
    <s v="STORE135"/>
  </r>
  <r>
    <n v="235978"/>
    <s v="People758"/>
    <s v="department"/>
    <s v="REGION1"/>
    <s v="STORE278"/>
    <s v="MANAGER120"/>
    <s v="NEGATIVO"/>
    <d v="1899-12-30T10:30:00"/>
    <d v="1899-12-30T10:30:00"/>
    <m/>
    <s v="POSITION1"/>
    <x v="0"/>
    <s v="STORE278"/>
  </r>
  <r>
    <n v="235980"/>
    <s v="People759"/>
    <s v="department"/>
    <s v="REGION4"/>
    <s v="STORE331"/>
    <s v="MANAGER129"/>
    <s v="POSITIVO"/>
    <d v="1899-12-30T02:05:00"/>
    <m/>
    <d v="1899-12-30T02:05:00"/>
    <s v="POSITION5"/>
    <x v="3"/>
    <s v="STORE331"/>
  </r>
  <r>
    <n v="235982"/>
    <s v="People760"/>
    <s v="department"/>
    <s v="REGION4"/>
    <s v="STORE332"/>
    <s v="MANAGER129"/>
    <s v="POSITIVO"/>
    <d v="1899-12-30T14:42:00"/>
    <m/>
    <d v="1899-12-30T14:42:00"/>
    <s v="POSITION1"/>
    <x v="3"/>
    <s v="STORE332"/>
  </r>
  <r>
    <n v="235983"/>
    <s v="People761"/>
    <s v="department"/>
    <s v="REGION4"/>
    <s v="STORE332"/>
    <s v="MANAGER129"/>
    <s v="NEGATIVO"/>
    <d v="1899-12-31T19:18:00"/>
    <d v="1899-12-31T19:18:00"/>
    <m/>
    <s v="POSITION1"/>
    <x v="3"/>
    <s v="STORE332"/>
  </r>
  <r>
    <n v="236001"/>
    <s v="People762"/>
    <s v="department"/>
    <s v="REGION7"/>
    <s v="STORE235"/>
    <s v="MANAGER112"/>
    <s v="POSITIVO"/>
    <d v="1899-12-30T03:32:00"/>
    <m/>
    <d v="1899-12-30T03:32:00"/>
    <s v="POSITION1"/>
    <x v="6"/>
    <s v="STORE235"/>
  </r>
  <r>
    <n v="236003"/>
    <s v="People763"/>
    <s v="department"/>
    <s v="REGION9"/>
    <s v="STORE333"/>
    <s v="MANAGER10"/>
    <s v="POSITIVO"/>
    <d v="1899-12-30T10:13:00"/>
    <m/>
    <d v="1899-12-30T10:13:00"/>
    <s v="POSITION3"/>
    <x v="8"/>
    <s v="STORE333"/>
  </r>
  <r>
    <n v="236004"/>
    <s v="People764"/>
    <s v="department"/>
    <s v="REGION4"/>
    <s v="STORE246"/>
    <s v="MANAGER78"/>
    <s v="NEGATIVO"/>
    <d v="1899-12-30T13:17:00"/>
    <d v="1899-12-30T13:17:00"/>
    <m/>
    <s v="POSITION6"/>
    <x v="3"/>
    <s v="STORE246"/>
  </r>
  <r>
    <n v="236032"/>
    <s v="People765"/>
    <s v="department"/>
    <s v="REGION8"/>
    <s v="STORE116"/>
    <s v="MANAGER72"/>
    <s v="NEGATIVO"/>
    <d v="1899-12-30T02:34:00"/>
    <d v="1899-12-30T02:34:00"/>
    <m/>
    <s v="POSITION1"/>
    <x v="7"/>
    <s v="STORE116"/>
  </r>
  <r>
    <n v="236041"/>
    <s v="People766"/>
    <s v="department"/>
    <s v="REGION4"/>
    <s v="STORE334"/>
    <s v="MANAGER14"/>
    <s v="POSITIVO"/>
    <d v="1899-12-30T15:16:00"/>
    <m/>
    <d v="1899-12-30T15:16:00"/>
    <s v="POSITION3"/>
    <x v="3"/>
    <s v="STORE334"/>
  </r>
  <r>
    <n v="236042"/>
    <s v="People767"/>
    <s v="department"/>
    <s v="REGION9"/>
    <s v="STORE191"/>
    <s v="MANAGER98"/>
    <s v="NEGATIVO"/>
    <d v="1899-12-30T11:27:00"/>
    <d v="1899-12-30T11:27:00"/>
    <m/>
    <s v="POSITION1"/>
    <x v="8"/>
    <s v="STORE191"/>
  </r>
  <r>
    <n v="236044"/>
    <s v="People768"/>
    <s v="department"/>
    <s v="REGION5"/>
    <s v="STORE335"/>
    <s v="MANAGER113"/>
    <s v="NEGATIVO"/>
    <d v="1899-12-31T12:05:00"/>
    <d v="1899-12-31T12:05:00"/>
    <m/>
    <s v="POSITION5"/>
    <x v="4"/>
    <s v="STORE335"/>
  </r>
  <r>
    <n v="236084"/>
    <s v="People769"/>
    <s v="department"/>
    <s v="REGION8"/>
    <s v="STORE300"/>
    <s v="MANAGER122"/>
    <s v="POSITIVO"/>
    <d v="1899-12-30T09:24:00"/>
    <m/>
    <d v="1899-12-30T09:24:00"/>
    <s v="POSITION1"/>
    <x v="7"/>
    <s v="STORE300"/>
  </r>
  <r>
    <n v="236087"/>
    <s v="People770"/>
    <s v="department"/>
    <s v="REGION1"/>
    <s v="STORE1"/>
    <s v="MANAGER1"/>
    <s v="NEGATIVO"/>
    <d v="1899-12-30T20:45:00"/>
    <d v="1899-12-30T20:45:00"/>
    <m/>
    <s v="POSITION10"/>
    <x v="0"/>
    <s v="STORE1"/>
  </r>
  <r>
    <n v="236130"/>
    <s v="People771"/>
    <s v="department"/>
    <s v="REGION8"/>
    <s v="STORE298"/>
    <s v="MANAGER121"/>
    <s v="POSITIVO"/>
    <d v="1899-12-30T09:50:00"/>
    <m/>
    <d v="1899-12-30T09:50:00"/>
    <s v="POSITION5"/>
    <x v="7"/>
    <s v="STORE298"/>
  </r>
  <r>
    <n v="236141"/>
    <s v="People772"/>
    <s v="department"/>
    <s v="REGION1"/>
    <s v="STORE78"/>
    <s v="MANAGER52"/>
    <s v="NEGATIVO"/>
    <d v="1899-12-31T17:01:00"/>
    <d v="1899-12-31T17:01:00"/>
    <m/>
    <s v="POSITION6"/>
    <x v="0"/>
    <s v="STORE78"/>
  </r>
  <r>
    <n v="236147"/>
    <s v="People773"/>
    <s v="department"/>
    <s v="REGION2"/>
    <s v="STORE99"/>
    <s v="MANAGER66"/>
    <s v="POSITIVO"/>
    <d v="1899-12-30T14:04:00"/>
    <m/>
    <d v="1899-12-30T14:04:00"/>
    <s v="POSITION6"/>
    <x v="1"/>
    <s v="STORE99"/>
  </r>
  <r>
    <n v="236158"/>
    <s v="People774"/>
    <s v="department"/>
    <s v="REGION9"/>
    <s v="STORE154"/>
    <s v="MANAGER10"/>
    <s v="POSITIVO"/>
    <d v="1899-12-31T20:14:00"/>
    <m/>
    <d v="1899-12-31T20:14:00"/>
    <s v="POSITION4"/>
    <x v="8"/>
    <s v="STORE154"/>
  </r>
  <r>
    <n v="236168"/>
    <s v="People775"/>
    <s v="department"/>
    <s v="REGION4"/>
    <s v="STORE332"/>
    <s v="MANAGER129"/>
    <s v="NEGATIVO"/>
    <d v="1899-12-31T05:12:00"/>
    <d v="1899-12-31T05:12:00"/>
    <m/>
    <s v="POSITION1"/>
    <x v="3"/>
    <s v="STORE332"/>
  </r>
  <r>
    <n v="236207"/>
    <s v="People776"/>
    <s v="department"/>
    <s v="REGION9"/>
    <s v="STORE119"/>
    <s v="MANAGER74"/>
    <s v="POSITIVO"/>
    <d v="1899-12-30T08:38:00"/>
    <m/>
    <d v="1899-12-30T08:38:00"/>
    <s v="POSITION1"/>
    <x v="8"/>
    <s v="STORE119"/>
  </r>
  <r>
    <n v="236227"/>
    <s v="People777"/>
    <s v="department"/>
    <s v="REGION2"/>
    <s v="STORE178"/>
    <s v="MANAGER27"/>
    <s v="NEGATIVO"/>
    <d v="1899-12-30T07:03:00"/>
    <d v="1899-12-30T07:03:00"/>
    <m/>
    <s v="POSITION1"/>
    <x v="1"/>
    <s v="STORE178"/>
  </r>
  <r>
    <n v="236234"/>
    <s v="People778"/>
    <s v="department"/>
    <s v="REGION6"/>
    <s v="STORE184"/>
    <s v="MANAGER87"/>
    <s v="NEGATIVO"/>
    <d v="1900-01-06T05:24:00"/>
    <d v="1900-01-06T05:24:00"/>
    <m/>
    <s v="POSITION1"/>
    <x v="5"/>
    <s v="STORE184"/>
  </r>
  <r>
    <n v="236239"/>
    <s v="People779"/>
    <s v="department"/>
    <s v="REGION9"/>
    <s v="STORE321"/>
    <s v="MANAGER126"/>
    <s v="NEGATIVO"/>
    <d v="1900-01-15T10:07:00"/>
    <d v="1900-01-15T10:07:00"/>
    <m/>
    <s v="POSITION8"/>
    <x v="8"/>
    <s v="STORE321"/>
  </r>
  <r>
    <n v="236240"/>
    <s v="People780"/>
    <s v="department"/>
    <s v="REGION2"/>
    <s v="STORE39"/>
    <s v="MANAGER27"/>
    <s v="POSITIVO"/>
    <d v="1899-12-31T04:07:00"/>
    <m/>
    <d v="1899-12-31T04:07:00"/>
    <s v="POSITION6"/>
    <x v="1"/>
    <s v="STORE39"/>
  </r>
  <r>
    <n v="236241"/>
    <s v="People781"/>
    <s v="department"/>
    <s v="REGION4"/>
    <s v="STORE336"/>
    <s v="MANAGER118"/>
    <s v="NEGATIVO"/>
    <d v="1900-01-03T01:25:00"/>
    <d v="1900-01-03T01:25:00"/>
    <m/>
    <s v="POSITION5"/>
    <x v="3"/>
    <s v="STORE336"/>
  </r>
  <r>
    <n v="236242"/>
    <s v="People782"/>
    <s v="department"/>
    <s v="REGION3"/>
    <s v="STORE143"/>
    <s v="MANAGER3"/>
    <s v="POSITIVO"/>
    <d v="1899-12-30T00:06:00"/>
    <m/>
    <d v="1899-12-30T00:06:00"/>
    <s v="POSITION3"/>
    <x v="2"/>
    <s v="STORE143"/>
  </r>
  <r>
    <n v="236245"/>
    <s v="People783"/>
    <s v="department"/>
    <s v="REGION1"/>
    <s v="STORE71"/>
    <s v="MANAGER46"/>
    <s v="POSITIVO"/>
    <d v="1899-12-30T15:00:00"/>
    <m/>
    <d v="1899-12-30T15:00:00"/>
    <s v="POSITION1"/>
    <x v="0"/>
    <s v="STORE71"/>
  </r>
  <r>
    <n v="236246"/>
    <s v="People784"/>
    <s v="department"/>
    <s v="REGION9"/>
    <s v="STORE161"/>
    <s v="MANAGER56"/>
    <s v="POSITIVO"/>
    <d v="1900-01-01T17:01:00"/>
    <m/>
    <d v="1900-01-01T17:01:00"/>
    <s v="POSITION1"/>
    <x v="8"/>
    <s v="STORE161"/>
  </r>
  <r>
    <n v="236248"/>
    <s v="People785"/>
    <s v="department"/>
    <s v="REGION9"/>
    <s v="STORE314"/>
    <s v="MANAGER126"/>
    <s v="POSITIVO"/>
    <d v="1899-12-30T02:56:00"/>
    <m/>
    <d v="1899-12-30T02:56:00"/>
    <s v="POSITION1"/>
    <x v="8"/>
    <s v="STORE314"/>
  </r>
  <r>
    <n v="236253"/>
    <s v="People786"/>
    <s v="department"/>
    <s v="REGION9"/>
    <s v="STORE317"/>
    <s v="MANAGER111"/>
    <s v="NEGATIVO"/>
    <d v="1899-12-30T13:28:00"/>
    <d v="1899-12-30T13:28:00"/>
    <m/>
    <s v="POSITION6"/>
    <x v="8"/>
    <s v="STORE317"/>
  </r>
  <r>
    <n v="236257"/>
    <s v="People787"/>
    <s v="department"/>
    <s v="REGION5"/>
    <s v="STORE157"/>
    <s v="MANAGER17"/>
    <s v="POSITIVO"/>
    <d v="1899-12-31T12:18:00"/>
    <m/>
    <d v="1899-12-31T12:18:00"/>
    <s v="POSITION1"/>
    <x v="4"/>
    <s v="STORE157"/>
  </r>
  <r>
    <n v="236263"/>
    <s v="People788"/>
    <s v="department"/>
    <s v="REGION1"/>
    <s v="STORE70"/>
    <s v="MANAGER45"/>
    <s v="NEGATIVO"/>
    <d v="1899-12-30T15:57:00"/>
    <d v="1899-12-30T15:57:00"/>
    <m/>
    <s v="POSITION6"/>
    <x v="0"/>
    <s v="STORE70"/>
  </r>
  <r>
    <n v="236275"/>
    <s v="People789"/>
    <s v="department"/>
    <s v="REGION4"/>
    <s v="STORE109"/>
    <s v="MANAGER69"/>
    <s v="POSITIVO"/>
    <d v="1899-12-30T00:03:00"/>
    <m/>
    <d v="1899-12-30T00:03:00"/>
    <s v="POSITION1"/>
    <x v="3"/>
    <s v="STORE109"/>
  </r>
  <r>
    <n v="236301"/>
    <s v="People790"/>
    <s v="department"/>
    <s v="REGION4"/>
    <s v="STORE337"/>
    <s v="MANAGER104"/>
    <s v="POSITIVO"/>
    <d v="1899-12-30T20:44:00"/>
    <m/>
    <d v="1899-12-30T20:44:00"/>
    <s v="POSITION1"/>
    <x v="3"/>
    <s v="STORE337"/>
  </r>
  <r>
    <n v="236302"/>
    <s v="People791"/>
    <s v="department"/>
    <s v="REGION4"/>
    <s v="STORE337"/>
    <s v="MANAGER104"/>
    <s v="POSITIVO"/>
    <d v="1899-12-31T23:49:00"/>
    <m/>
    <d v="1899-12-31T23:49:00"/>
    <s v="POSITION1"/>
    <x v="3"/>
    <s v="STORE337"/>
  </r>
  <r>
    <n v="236304"/>
    <s v="People792"/>
    <s v="department"/>
    <s v="REGION4"/>
    <s v="STORE337"/>
    <s v="MANAGER104"/>
    <s v="POSITIVO"/>
    <d v="1899-12-30T10:25:00"/>
    <m/>
    <d v="1899-12-30T10:25:00"/>
    <s v="POSITION1"/>
    <x v="3"/>
    <s v="STORE337"/>
  </r>
  <r>
    <n v="236306"/>
    <s v="People793"/>
    <s v="department"/>
    <s v="REGION4"/>
    <s v="STORE337"/>
    <s v="MANAGER104"/>
    <s v="POSITIVO"/>
    <d v="1899-12-30T01:27:00"/>
    <m/>
    <d v="1899-12-30T01:27:00"/>
    <s v="POSITION1"/>
    <x v="3"/>
    <s v="STORE337"/>
  </r>
  <r>
    <n v="236316"/>
    <s v="People794"/>
    <s v="department"/>
    <s v="REGION9"/>
    <s v="STORE233"/>
    <s v="MANAGER105"/>
    <s v="POSITIVO"/>
    <d v="1899-12-30T04:14:00"/>
    <m/>
    <d v="1899-12-30T04:14:00"/>
    <s v="POSITION1"/>
    <x v="8"/>
    <s v="STORE233"/>
  </r>
  <r>
    <n v="236321"/>
    <s v="People795"/>
    <s v="department"/>
    <s v="REGION4"/>
    <s v="STORE338"/>
    <s v="MANAGER14"/>
    <s v="POSITIVO"/>
    <d v="1899-12-30T12:05:00"/>
    <m/>
    <d v="1899-12-30T12:05:00"/>
    <s v="POSITION3"/>
    <x v="3"/>
    <s v="STORE338"/>
  </r>
  <r>
    <n v="236333"/>
    <s v="People796"/>
    <s v="department"/>
    <s v="REGION6"/>
    <s v="STORE169"/>
    <s v="MANAGER33"/>
    <s v="NEGATIVO"/>
    <d v="1899-12-30T08:36:00"/>
    <d v="1899-12-30T08:36:00"/>
    <m/>
    <s v="POSITION1"/>
    <x v="5"/>
    <s v="STORE169"/>
  </r>
  <r>
    <n v="236351"/>
    <s v="People797"/>
    <s v="department"/>
    <s v="REGION1"/>
    <s v="STORE24"/>
    <s v="MANAGER1"/>
    <s v="NEGATIVO"/>
    <d v="1900-01-01T10:17:00"/>
    <d v="1900-01-01T10:17:00"/>
    <m/>
    <s v="POSITION6"/>
    <x v="0"/>
    <s v="STORE24"/>
  </r>
  <r>
    <n v="236352"/>
    <s v="People798"/>
    <s v="department"/>
    <s v="REGION9"/>
    <s v="STORE269"/>
    <s v="MANAGER90"/>
    <s v="NEGATIVO"/>
    <d v="1899-12-30T13:11:00"/>
    <d v="1899-12-30T13:11:00"/>
    <m/>
    <s v="POSITION1"/>
    <x v="8"/>
    <s v="STORE269"/>
  </r>
  <r>
    <n v="236353"/>
    <s v="People799"/>
    <s v="department"/>
    <s v="REGION5"/>
    <s v="STORE339"/>
    <s v="MANAGER7"/>
    <s v="NEGATIVO"/>
    <d v="1899-12-31T03:40:00"/>
    <d v="1899-12-31T03:40:00"/>
    <m/>
    <s v="POSITION3"/>
    <x v="4"/>
    <s v="STORE339"/>
  </r>
  <r>
    <n v="236361"/>
    <s v="People800"/>
    <s v="department"/>
    <s v="REGION3"/>
    <s v="STORE273"/>
    <s v="MANAGER44"/>
    <s v="NEGATIVO"/>
    <d v="1899-12-30T00:48:00"/>
    <d v="1899-12-30T00:48:00"/>
    <m/>
    <s v="POSITION1"/>
    <x v="2"/>
    <s v="STORE273"/>
  </r>
  <r>
    <n v="236376"/>
    <s v="People801"/>
    <s v="department"/>
    <s v="REGION7"/>
    <s v="STORE140"/>
    <s v="MANAGER58"/>
    <s v="POSITIVO"/>
    <d v="1899-12-31T07:32:00"/>
    <m/>
    <d v="1899-12-31T07:32:00"/>
    <s v="POSITION1"/>
    <x v="6"/>
    <s v="STORE140"/>
  </r>
  <r>
    <n v="236378"/>
    <s v="People802"/>
    <s v="department"/>
    <s v="REGION9"/>
    <s v="STORE340"/>
    <s v="MANAGER10"/>
    <s v="POSITIVO"/>
    <d v="1899-12-30T08:48:00"/>
    <m/>
    <d v="1899-12-30T08:48:00"/>
    <s v="POSITION3"/>
    <x v="8"/>
    <s v="STORE340"/>
  </r>
  <r>
    <n v="236401"/>
    <s v="People803"/>
    <s v="department"/>
    <s v="REGION8"/>
    <s v="STORE298"/>
    <s v="MANAGER121"/>
    <s v="NEGATIVO"/>
    <d v="1899-12-30T14:31:00"/>
    <d v="1899-12-30T14:31:00"/>
    <m/>
    <s v="POSITION6"/>
    <x v="7"/>
    <s v="STORE298"/>
  </r>
  <r>
    <n v="236405"/>
    <s v="People804"/>
    <s v="department"/>
    <s v="REGION1"/>
    <s v="STORE278"/>
    <s v="MANAGER120"/>
    <s v="NEGATIVO"/>
    <d v="1899-12-31T00:49:00"/>
    <d v="1899-12-31T00:49:00"/>
    <m/>
    <s v="POSITION1"/>
    <x v="0"/>
    <s v="STORE278"/>
  </r>
  <r>
    <n v="236411"/>
    <s v="People805"/>
    <s v="department"/>
    <s v="REGION8"/>
    <s v="STORE256"/>
    <s v="MANAGER34"/>
    <s v="POSITIVO"/>
    <d v="1899-12-31T08:04:00"/>
    <m/>
    <d v="1899-12-31T08:04:00"/>
    <s v="POSITION1"/>
    <x v="7"/>
    <s v="STORE256"/>
  </r>
  <r>
    <n v="236436"/>
    <s v="People806"/>
    <s v="department"/>
    <s v="REGION6"/>
    <s v="STORE250"/>
    <s v="MANAGER116"/>
    <s v="POSITIVO"/>
    <d v="1900-01-03T20:27:00"/>
    <m/>
    <d v="1900-01-03T20:27:00"/>
    <s v="POSITION1"/>
    <x v="5"/>
    <s v="STORE250"/>
  </r>
  <r>
    <n v="236464"/>
    <s v="People807"/>
    <s v="department"/>
    <s v="REGION7"/>
    <s v="STORE164"/>
    <s v="MANAGER31"/>
    <s v="POSITIVO"/>
    <d v="1899-12-30T09:28:00"/>
    <m/>
    <d v="1899-12-30T09:28:00"/>
    <s v="POSITION1"/>
    <x v="6"/>
    <s v="STORE164"/>
  </r>
  <r>
    <n v="236484"/>
    <s v="People808"/>
    <s v="department"/>
    <s v="REGION9"/>
    <s v="STORE263"/>
    <s v="MANAGER105"/>
    <s v="POSITIVO"/>
    <d v="1899-12-30T10:17:00"/>
    <m/>
    <d v="1899-12-30T10:17:00"/>
    <s v="POSITION1"/>
    <x v="8"/>
    <s v="STORE263"/>
  </r>
  <r>
    <n v="236499"/>
    <s v="People809"/>
    <s v="department"/>
    <s v="REGION4"/>
    <s v="STORE23"/>
    <s v="MANAGER13"/>
    <s v="POSITIVO"/>
    <d v="1899-12-30T07:13:00"/>
    <m/>
    <d v="1899-12-30T07:13:00"/>
    <s v="POSITION6"/>
    <x v="3"/>
    <s v="STORE23"/>
  </r>
  <r>
    <n v="236512"/>
    <s v="People810"/>
    <s v="department"/>
    <s v="REGION9"/>
    <s v="STORE161"/>
    <s v="MANAGER56"/>
    <s v="POSITIVO"/>
    <d v="1899-12-31T19:53:00"/>
    <m/>
    <d v="1899-12-31T19:53:00"/>
    <s v="POSITION1"/>
    <x v="8"/>
    <s v="STORE161"/>
  </r>
  <r>
    <n v="236514"/>
    <s v="People811"/>
    <s v="department"/>
    <s v="REGION4"/>
    <s v="STORE8"/>
    <s v="MANAGER4"/>
    <s v="POSITIVO"/>
    <d v="1899-12-31T02:34:00"/>
    <m/>
    <d v="1899-12-31T02:34:00"/>
    <s v="POSITION1"/>
    <x v="3"/>
    <s v="STORE8"/>
  </r>
  <r>
    <n v="236518"/>
    <s v="People812"/>
    <s v="department"/>
    <s v="REGION9"/>
    <s v="STORE161"/>
    <s v="MANAGER56"/>
    <s v="POSITIVO"/>
    <d v="1899-12-31T03:11:00"/>
    <m/>
    <d v="1899-12-31T03:11:00"/>
    <s v="POSITION1"/>
    <x v="8"/>
    <s v="STORE161"/>
  </r>
  <r>
    <n v="236519"/>
    <s v="People813"/>
    <s v="department"/>
    <s v="REGION2"/>
    <s v="STORE98"/>
    <s v="MANAGER65"/>
    <s v="POSITIVO"/>
    <d v="1899-12-30T13:07:00"/>
    <m/>
    <d v="1899-12-30T13:07:00"/>
    <s v="POSITION6"/>
    <x v="1"/>
    <s v="STORE98"/>
  </r>
  <r>
    <n v="236521"/>
    <s v="People814"/>
    <s v="department"/>
    <s v="REGION4"/>
    <s v="STORE214"/>
    <s v="MANAGER4"/>
    <s v="POSITIVO"/>
    <d v="1899-12-31T05:45:00"/>
    <m/>
    <d v="1899-12-31T05:45:00"/>
    <s v="POSITION6"/>
    <x v="3"/>
    <s v="STORE214"/>
  </r>
  <r>
    <n v="236524"/>
    <s v="People815"/>
    <s v="department"/>
    <s v="REGION1"/>
    <s v="STORE71"/>
    <s v="MANAGER46"/>
    <s v="POSITIVO"/>
    <d v="1899-12-31T00:08:00"/>
    <m/>
    <d v="1899-12-31T00:08:00"/>
    <s v="POSITION1"/>
    <x v="0"/>
    <s v="STORE71"/>
  </r>
  <r>
    <n v="236529"/>
    <s v="People816"/>
    <s v="department"/>
    <s v="REGION4"/>
    <s v="STORE23"/>
    <s v="MANAGER13"/>
    <s v="POSITIVO"/>
    <d v="1899-12-30T18:16:00"/>
    <m/>
    <d v="1899-12-30T18:16:00"/>
    <s v="POSITION6"/>
    <x v="3"/>
    <s v="STORE23"/>
  </r>
  <r>
    <n v="236530"/>
    <s v="People817"/>
    <s v="department"/>
    <s v="REGION5"/>
    <s v="STORE335"/>
    <s v="MANAGER113"/>
    <s v="NEGATIVO"/>
    <d v="1900-01-05T17:37:00"/>
    <d v="1900-01-05T17:37:00"/>
    <m/>
    <s v="POSITION6"/>
    <x v="4"/>
    <s v="STORE335"/>
  </r>
  <r>
    <n v="236536"/>
    <s v="People818"/>
    <s v="department"/>
    <s v="REGION3"/>
    <s v="STORE132"/>
    <s v="MANAGER3"/>
    <s v="NEGATIVO"/>
    <d v="1899-12-31T01:38:00"/>
    <d v="1899-12-31T01:38:00"/>
    <m/>
    <s v="POSITION3"/>
    <x v="2"/>
    <s v="STORE132"/>
  </r>
  <r>
    <n v="236588"/>
    <s v="People819"/>
    <s v="department"/>
    <s v="REGION4"/>
    <s v="STORE172"/>
    <s v="MANAGER93"/>
    <s v="POSITIVO"/>
    <d v="1899-12-30T22:35:00"/>
    <m/>
    <d v="1899-12-30T22:35:00"/>
    <s v="POSITION6"/>
    <x v="3"/>
    <s v="STORE172"/>
  </r>
  <r>
    <n v="236589"/>
    <s v="People820"/>
    <s v="department"/>
    <s v="REGION3"/>
    <s v="STORE179"/>
    <s v="MANAGER94"/>
    <s v="NEGATIVO"/>
    <d v="1899-12-30T08:09:00"/>
    <d v="1899-12-30T08:09:00"/>
    <m/>
    <s v="POSITION1"/>
    <x v="2"/>
    <s v="STORE179"/>
  </r>
  <r>
    <n v="236617"/>
    <s v="People821"/>
    <s v="department"/>
    <s v="REGION9"/>
    <s v="STORE79"/>
    <s v="MANAGER53"/>
    <s v="NEGATIVO"/>
    <d v="1900-01-10T19:20:00"/>
    <d v="1900-01-10T19:20:00"/>
    <m/>
    <s v="POSITION6"/>
    <x v="8"/>
    <s v="STORE79"/>
  </r>
  <r>
    <n v="236623"/>
    <s v="People822"/>
    <s v="department"/>
    <s v="REGION6"/>
    <s v="STORE294"/>
    <s v="MANAGER109"/>
    <s v="NEGATIVO"/>
    <d v="1900-01-11T02:24:00"/>
    <d v="1900-01-11T02:24:00"/>
    <m/>
    <s v="POSITION5"/>
    <x v="5"/>
    <s v="STORE294"/>
  </r>
  <r>
    <n v="236626"/>
    <s v="People823"/>
    <s v="department"/>
    <s v="REGION8"/>
    <s v="STORE327"/>
    <s v="MANAGER128"/>
    <s v="POSITIVO"/>
    <d v="1899-12-31T08:05:00"/>
    <m/>
    <d v="1899-12-31T08:05:00"/>
    <s v="POSITION1"/>
    <x v="7"/>
    <s v="STORE327"/>
  </r>
  <r>
    <n v="236673"/>
    <s v="People824"/>
    <s v="department"/>
    <s v="REGION1"/>
    <s v="STORE341"/>
    <s v="MANAGER11"/>
    <s v="NEGATIVO"/>
    <d v="1899-12-30T19:35:00"/>
    <d v="1899-12-30T19:35:00"/>
    <m/>
    <s v="POSITION3"/>
    <x v="0"/>
    <s v="STORE341"/>
  </r>
  <r>
    <n v="236703"/>
    <s v="People825"/>
    <s v="department"/>
    <s v="REGION5"/>
    <s v="STORE270"/>
    <s v="MANAGER5"/>
    <s v="NEGATIVO"/>
    <d v="1899-12-30T10:07:00"/>
    <d v="1899-12-30T10:07:00"/>
    <m/>
    <s v="POSITION1"/>
    <x v="4"/>
    <s v="STORE270"/>
  </r>
  <r>
    <n v="236788"/>
    <s v="People826"/>
    <s v="department"/>
    <s v="REGION8"/>
    <s v="STORE325"/>
    <s v="MANAGER97"/>
    <s v="POSITIVO"/>
    <d v="1899-12-30T06:47:00"/>
    <m/>
    <d v="1899-12-30T06:47:00"/>
    <s v="POSITION5"/>
    <x v="7"/>
    <s v="STORE325"/>
  </r>
  <r>
    <n v="236819"/>
    <s v="People827"/>
    <s v="department"/>
    <s v="REGION6"/>
    <s v="STORE139"/>
    <s v="MANAGER42"/>
    <s v="NEGATIVO"/>
    <d v="1900-01-04T06:32:00"/>
    <d v="1900-01-04T06:32:00"/>
    <m/>
    <s v="POSITION1"/>
    <x v="5"/>
    <s v="STORE139"/>
  </r>
  <r>
    <n v="236859"/>
    <s v="People828"/>
    <s v="department"/>
    <s v="REGION5"/>
    <s v="STORE342"/>
    <s v="MANAGER130"/>
    <s v="NEGATIVO"/>
    <d v="1900-01-04T12:00:00"/>
    <d v="1900-01-04T12:00:00"/>
    <m/>
    <s v="POSITION1"/>
    <x v="4"/>
    <s v="STORE342"/>
  </r>
  <r>
    <n v="236862"/>
    <s v="People829"/>
    <s v="department"/>
    <s v="REGION8"/>
    <s v="STORE325"/>
    <s v="MANAGER97"/>
    <s v="POSITIVO"/>
    <d v="1899-12-30T23:56:00"/>
    <m/>
    <d v="1899-12-30T23:56:00"/>
    <s v="POSITION6"/>
    <x v="7"/>
    <s v="STORE325"/>
  </r>
  <r>
    <n v="236870"/>
    <s v="People830"/>
    <s v="department"/>
    <s v="REGION9"/>
    <s v="STORE210"/>
    <s v="MANAGER99"/>
    <s v="NEGATIVO"/>
    <d v="1900-01-04T18:37:00"/>
    <d v="1900-01-04T18:37:00"/>
    <m/>
    <s v="POSITION1"/>
    <x v="8"/>
    <s v="STORE210"/>
  </r>
  <r>
    <n v="236871"/>
    <s v="People831"/>
    <s v="department"/>
    <s v="REGION5"/>
    <s v="STORE342"/>
    <s v="MANAGER130"/>
    <s v="NEGATIVO"/>
    <d v="1900-01-03T21:27:00"/>
    <d v="1900-01-03T21:27:00"/>
    <m/>
    <s v="POSITION1"/>
    <x v="4"/>
    <s v="STORE342"/>
  </r>
  <r>
    <n v="236872"/>
    <s v="People832"/>
    <s v="department"/>
    <s v="REGION6"/>
    <s v="STORE291"/>
    <s v="MANAGER60"/>
    <s v="NEGATIVO"/>
    <d v="1899-12-30T17:06:00"/>
    <d v="1899-12-30T17:06:00"/>
    <m/>
    <s v="POSITION6"/>
    <x v="5"/>
    <s v="STORE291"/>
  </r>
  <r>
    <n v="236876"/>
    <s v="People833"/>
    <s v="department"/>
    <s v="REGION5"/>
    <s v="STORE343"/>
    <s v="MANAGER7"/>
    <s v="NEGATIVO"/>
    <d v="1900-01-05T16:02:00"/>
    <d v="1900-01-05T16:02:00"/>
    <m/>
    <s v="POSITION3"/>
    <x v="4"/>
    <s v="STORE343"/>
  </r>
  <r>
    <n v="236881"/>
    <s v="People834"/>
    <s v="department"/>
    <s v="REGION9"/>
    <s v="STORE144"/>
    <s v="MANAGER84"/>
    <s v="NEGATIVO"/>
    <d v="1899-12-30T07:44:00"/>
    <d v="1899-12-30T07:44:00"/>
    <m/>
    <s v="POSITION6"/>
    <x v="8"/>
    <s v="STORE144"/>
  </r>
  <r>
    <n v="236884"/>
    <s v="People835"/>
    <s v="department"/>
    <s v="REGION1"/>
    <s v="STORE103"/>
    <s v="MANAGER40"/>
    <s v="NEGATIVO"/>
    <d v="1900-01-05T00:15:00"/>
    <d v="1900-01-05T00:15:00"/>
    <m/>
    <s v="POSITION1"/>
    <x v="0"/>
    <s v="STORE103"/>
  </r>
  <r>
    <n v="236898"/>
    <s v="People836"/>
    <s v="department"/>
    <s v="REGION2"/>
    <s v="STORE201"/>
    <s v="MANAGER101"/>
    <s v="NEGATIVO"/>
    <d v="1899-12-30T19:33:00"/>
    <d v="1899-12-30T19:33:00"/>
    <m/>
    <s v="POSITION5"/>
    <x v="1"/>
    <s v="STORE201"/>
  </r>
  <r>
    <n v="236969"/>
    <s v="People837"/>
    <s v="department"/>
    <s v="REGION5"/>
    <s v="STORE308"/>
    <s v="MANAGER125"/>
    <s v="NEGATIVO"/>
    <d v="1899-12-30T05:39:00"/>
    <d v="1899-12-30T05:39:00"/>
    <m/>
    <s v="POSITION1"/>
    <x v="4"/>
    <s v="STORE308"/>
  </r>
  <r>
    <n v="236974"/>
    <s v="People838"/>
    <s v="department"/>
    <s v="REGION9"/>
    <s v="STORE344"/>
    <s v="MANAGER105"/>
    <s v="NEGATIVO"/>
    <d v="1899-12-30T21:34:00"/>
    <d v="1899-12-30T21:34:00"/>
    <m/>
    <s v="POSITION1"/>
    <x v="8"/>
    <s v="STORE344"/>
  </r>
  <r>
    <n v="236983"/>
    <s v="People839"/>
    <s v="department"/>
    <s v="REGION3"/>
    <s v="STORE286"/>
    <s v="MANAGER94"/>
    <s v="NEGATIVO"/>
    <d v="1899-12-30T17:57:00"/>
    <d v="1899-12-30T17:57:00"/>
    <m/>
    <s v="POSITION6"/>
    <x v="2"/>
    <s v="STORE286"/>
  </r>
  <r>
    <n v="236997"/>
    <s v="People840"/>
    <s v="department"/>
    <s v="REGION6"/>
    <s v="STORE20"/>
    <s v="MANAGER6"/>
    <s v="NEGATIVO"/>
    <d v="1899-12-30T08:05:00"/>
    <d v="1899-12-30T08:05:00"/>
    <m/>
    <s v="POSITION3"/>
    <x v="5"/>
    <s v="STORE20"/>
  </r>
  <r>
    <n v="237008"/>
    <s v="People841"/>
    <s v="department"/>
    <s v="REGION9"/>
    <s v="STORE344"/>
    <s v="MANAGER105"/>
    <s v="POSITIVO"/>
    <d v="1899-12-30T07:52:00"/>
    <m/>
    <d v="1899-12-30T07:52:00"/>
    <s v="POSITION1"/>
    <x v="8"/>
    <s v="STORE344"/>
  </r>
  <r>
    <n v="237011"/>
    <s v="People842"/>
    <s v="department"/>
    <s v="REGION9"/>
    <s v="STORE344"/>
    <s v="MANAGER105"/>
    <s v="NEGATIVO"/>
    <d v="1900-01-07T16:25:00"/>
    <d v="1900-01-07T16:25:00"/>
    <m/>
    <s v="POSITION1"/>
    <x v="8"/>
    <s v="STORE344"/>
  </r>
  <r>
    <n v="237031"/>
    <s v="People843"/>
    <s v="department"/>
    <s v="REGION9"/>
    <s v="STORE211"/>
    <s v="MANAGER105"/>
    <s v="POSITIVO"/>
    <d v="1899-12-30T03:39:00"/>
    <m/>
    <d v="1899-12-30T03:39:00"/>
    <s v="POSITION5"/>
    <x v="8"/>
    <s v="STORE211"/>
  </r>
  <r>
    <n v="237138"/>
    <s v="People844"/>
    <s v="department"/>
    <s v="REGION9"/>
    <s v="STORE345"/>
    <s v="MANAGER105"/>
    <s v="POSITIVO"/>
    <d v="1899-12-30T01:36:00"/>
    <m/>
    <d v="1899-12-30T01:36:00"/>
    <s v="POSITION6"/>
    <x v="8"/>
    <s v="STORE345"/>
  </r>
  <r>
    <n v="237157"/>
    <s v="People845"/>
    <s v="department"/>
    <s v="REGION9"/>
    <s v="STORE193"/>
    <s v="MANAGER99"/>
    <s v="POSITIVO"/>
    <d v="1899-12-30T13:57:00"/>
    <m/>
    <d v="1899-12-30T13:57:00"/>
    <s v="POSITION6"/>
    <x v="8"/>
    <s v="STORE193"/>
  </r>
  <r>
    <n v="237158"/>
    <s v="People846"/>
    <s v="department"/>
    <s v="REGION1"/>
    <s v="STORE107"/>
    <s v="MANAGER16"/>
    <s v="NEGATIVO"/>
    <d v="1900-01-01T14:27:00"/>
    <d v="1900-01-01T14:27:00"/>
    <m/>
    <s v="POSITION1"/>
    <x v="0"/>
    <s v="STORE107"/>
  </r>
  <r>
    <n v="237160"/>
    <s v="People847"/>
    <s v="department"/>
    <s v="REGION4"/>
    <s v="STORE331"/>
    <s v="MANAGER129"/>
    <s v="NEGATIVO"/>
    <d v="1899-12-30T11:20:00"/>
    <d v="1899-12-30T11:20:00"/>
    <m/>
    <s v="POSITION6"/>
    <x v="3"/>
    <s v="STORE331"/>
  </r>
  <r>
    <n v="237161"/>
    <s v="People848"/>
    <s v="department"/>
    <s v="REGION9"/>
    <s v="STORE193"/>
    <s v="MANAGER99"/>
    <s v="POSITIVO"/>
    <d v="1899-12-30T06:16:00"/>
    <m/>
    <d v="1899-12-30T06:16:00"/>
    <s v="POSITION5"/>
    <x v="8"/>
    <s v="STORE193"/>
  </r>
  <r>
    <n v="237162"/>
    <s v="People849"/>
    <s v="department"/>
    <s v="REGION5"/>
    <s v="STORE312"/>
    <s v="MANAGER125"/>
    <s v="POSITIVO"/>
    <d v="1899-12-30T09:32:00"/>
    <m/>
    <d v="1899-12-30T09:32:00"/>
    <s v="POSITION6"/>
    <x v="4"/>
    <s v="STORE312"/>
  </r>
  <r>
    <n v="237163"/>
    <s v="People850"/>
    <s v="department"/>
    <s v="REGION9"/>
    <s v="STORE166"/>
    <s v="MANAGER90"/>
    <s v="POSITIVO"/>
    <d v="1899-12-30T05:00:00"/>
    <m/>
    <d v="1899-12-30T05:00:00"/>
    <s v="POSITION6"/>
    <x v="8"/>
    <s v="STORE166"/>
  </r>
  <r>
    <n v="237176"/>
    <s v="People851"/>
    <s v="department"/>
    <s v="REGION6"/>
    <s v="STORE159"/>
    <s v="MANAGER87"/>
    <s v="NEGATIVO"/>
    <d v="1900-01-14T07:03:00"/>
    <d v="1900-01-14T07:03:00"/>
    <m/>
    <s v="POSITION6"/>
    <x v="5"/>
    <s v="STORE159"/>
  </r>
  <r>
    <n v="237178"/>
    <s v="People852"/>
    <s v="department"/>
    <s v="REGION4"/>
    <s v="STORE237"/>
    <s v="MANAGER104"/>
    <s v="POSITIVO"/>
    <d v="1899-12-30T05:04:00"/>
    <m/>
    <d v="1899-12-30T05:04:00"/>
    <s v="POSITION5"/>
    <x v="3"/>
    <s v="STORE237"/>
  </r>
  <r>
    <n v="237179"/>
    <s v="People853"/>
    <s v="department"/>
    <s v="REGION1"/>
    <s v="STORE346"/>
    <s v="MANAGER46"/>
    <s v="NEGATIVO"/>
    <d v="1899-12-30T02:10:00"/>
    <d v="1899-12-30T02:10:00"/>
    <m/>
    <s v="POSITION6"/>
    <x v="0"/>
    <s v="STORE346"/>
  </r>
  <r>
    <n v="237191"/>
    <s v="People854"/>
    <s v="department"/>
    <s v="REGION9"/>
    <s v="STORE345"/>
    <s v="MANAGER105"/>
    <s v="POSITIVO"/>
    <d v="1899-12-30T08:45:00"/>
    <m/>
    <d v="1899-12-30T08:45:00"/>
    <s v="POSITION5"/>
    <x v="8"/>
    <s v="STORE345"/>
  </r>
  <r>
    <n v="237193"/>
    <s v="People855"/>
    <s v="department"/>
    <s v="REGION1"/>
    <s v="STORE346"/>
    <s v="MANAGER46"/>
    <s v="POSITIVO"/>
    <d v="1899-12-30T00:47:00"/>
    <m/>
    <d v="1899-12-30T00:47:00"/>
    <s v="POSITION6"/>
    <x v="0"/>
    <s v="STORE346"/>
  </r>
  <r>
    <n v="237203"/>
    <s v="People856"/>
    <s v="department"/>
    <s v="REGION6"/>
    <s v="STORE253"/>
    <s v="MANAGER116"/>
    <s v="NEGATIVO"/>
    <d v="1899-12-30T04:28:00"/>
    <d v="1899-12-30T04:28:00"/>
    <m/>
    <s v="POSITION6"/>
    <x v="5"/>
    <s v="STORE253"/>
  </r>
  <r>
    <n v="237207"/>
    <s v="People857"/>
    <s v="department"/>
    <s v="REGION3"/>
    <s v="STORE215"/>
    <s v="MANAGER86"/>
    <s v="NEGATIVO"/>
    <d v="1899-12-30T11:19:00"/>
    <d v="1899-12-30T11:19:00"/>
    <m/>
    <s v="POSITION1"/>
    <x v="2"/>
    <s v="STORE215"/>
  </r>
  <r>
    <n v="237208"/>
    <s v="People858"/>
    <s v="department"/>
    <s v="REGION1"/>
    <s v="STORE346"/>
    <s v="MANAGER46"/>
    <s v="NEGATIVO"/>
    <d v="1899-12-30T02:03:00"/>
    <d v="1899-12-30T02:03:00"/>
    <m/>
    <s v="POSITION5"/>
    <x v="0"/>
    <s v="STORE346"/>
  </r>
  <r>
    <n v="237209"/>
    <s v="People859"/>
    <s v="department"/>
    <s v="REGION8"/>
    <s v="STORE316"/>
    <s v="MANAGER127"/>
    <s v="NEGATIVO"/>
    <d v="1899-12-31T13:19:00"/>
    <d v="1899-12-31T13:19:00"/>
    <m/>
    <s v="POSITION1"/>
    <x v="7"/>
    <s v="STORE316"/>
  </r>
  <r>
    <n v="237210"/>
    <s v="People860"/>
    <s v="department"/>
    <s v="REGION4"/>
    <s v="STORE347"/>
    <s v="MANAGER108"/>
    <s v="NEGATIVO"/>
    <d v="1899-12-30T05:27:00"/>
    <d v="1899-12-30T05:27:00"/>
    <m/>
    <s v="POSITION6"/>
    <x v="3"/>
    <s v="STORE347"/>
  </r>
  <r>
    <n v="237211"/>
    <s v="People861"/>
    <s v="department"/>
    <s v="REGION8"/>
    <s v="STORE306"/>
    <s v="MANAGER96"/>
    <s v="NEGATIVO"/>
    <d v="1900-01-05T20:09:00"/>
    <d v="1900-01-05T20:09:00"/>
    <m/>
    <s v="POSITION5"/>
    <x v="7"/>
    <s v="STORE306"/>
  </r>
  <r>
    <n v="237216"/>
    <s v="People862"/>
    <s v="department"/>
    <s v="REGION4"/>
    <s v="STORE332"/>
    <s v="MANAGER129"/>
    <s v="NEGATIVO"/>
    <d v="1899-12-30T11:07:00"/>
    <d v="1899-12-30T11:07:00"/>
    <m/>
    <s v="POSITION1"/>
    <x v="3"/>
    <s v="STORE332"/>
  </r>
  <r>
    <n v="237232"/>
    <s v="People863"/>
    <s v="department"/>
    <s v="REGION8"/>
    <s v="STORE348"/>
    <s v="MANAGER131"/>
    <s v="NEGATIVO"/>
    <d v="1899-12-30T01:48:00"/>
    <d v="1899-12-30T01:48:00"/>
    <m/>
    <s v="POSITION6"/>
    <x v="7"/>
    <s v="STORE348"/>
  </r>
  <r>
    <n v="237233"/>
    <s v="People864"/>
    <s v="department"/>
    <s v="REGION5"/>
    <s v="STORE47"/>
    <s v="MANAGER32"/>
    <s v="NEGATIVO"/>
    <d v="1899-12-31T22:16:00"/>
    <d v="1899-12-31T22:16:00"/>
    <m/>
    <s v="POSITION6"/>
    <x v="4"/>
    <s v="STORE47"/>
  </r>
  <r>
    <n v="237275"/>
    <s v="People865"/>
    <s v="department"/>
    <s v="REGION5"/>
    <s v="STORE342"/>
    <s v="MANAGER130"/>
    <s v="POSITIVO"/>
    <d v="1899-12-31T23:52:00"/>
    <m/>
    <d v="1899-12-31T23:52:00"/>
    <s v="POSITION1"/>
    <x v="4"/>
    <s v="STORE342"/>
  </r>
  <r>
    <n v="237313"/>
    <s v="People866"/>
    <s v="department"/>
    <s v="REGION8"/>
    <s v="STORE349"/>
    <s v="MANAGER132"/>
    <s v="POSITIVO"/>
    <d v="1899-12-31T06:15:00"/>
    <m/>
    <d v="1899-12-31T06:15:00"/>
    <s v="POSITION1"/>
    <x v="7"/>
    <s v="STORE349"/>
  </r>
  <r>
    <n v="237314"/>
    <s v="People867"/>
    <s v="department"/>
    <s v="REGION8"/>
    <s v="STORE349"/>
    <s v="MANAGER132"/>
    <s v="POSITIVO"/>
    <d v="1899-12-31T07:21:00"/>
    <m/>
    <d v="1899-12-31T07:21:00"/>
    <s v="POSITION1"/>
    <x v="7"/>
    <s v="STORE349"/>
  </r>
  <r>
    <n v="237315"/>
    <s v="People868"/>
    <s v="department"/>
    <s v="REGION8"/>
    <s v="STORE349"/>
    <s v="MANAGER132"/>
    <s v="POSITIVO"/>
    <d v="1899-12-30T15:52:00"/>
    <m/>
    <d v="1899-12-30T15:52:00"/>
    <s v="POSITION1"/>
    <x v="7"/>
    <s v="STORE349"/>
  </r>
  <r>
    <n v="237317"/>
    <s v="People869"/>
    <s v="department"/>
    <s v="REGION1"/>
    <s v="STORE350"/>
    <s v="MANAGER76"/>
    <s v="NEGATIVO"/>
    <d v="1900-01-14T00:48:00"/>
    <d v="1900-01-14T00:48:00"/>
    <m/>
    <s v="POSITION6"/>
    <x v="0"/>
    <s v="STORE350"/>
  </r>
  <r>
    <n v="237318"/>
    <s v="People870"/>
    <s v="department"/>
    <s v="REGION8"/>
    <s v="STORE351"/>
    <s v="MANAGER131"/>
    <s v="POSITIVO"/>
    <d v="1899-12-31T20:00:00"/>
    <m/>
    <d v="1899-12-31T20:00:00"/>
    <s v="POSITION1"/>
    <x v="7"/>
    <s v="STORE351"/>
  </r>
  <r>
    <n v="237319"/>
    <s v="People871"/>
    <s v="department"/>
    <s v="REGION5"/>
    <s v="STORE342"/>
    <s v="MANAGER130"/>
    <s v="POSITIVO"/>
    <d v="1899-12-30T22:50:00"/>
    <m/>
    <d v="1899-12-30T22:50:00"/>
    <s v="POSITION1"/>
    <x v="4"/>
    <s v="STORE342"/>
  </r>
  <r>
    <n v="237322"/>
    <s v="People872"/>
    <s v="department"/>
    <s v="REGION3"/>
    <s v="STORE255"/>
    <s v="MANAGER114"/>
    <s v="POSITIVO"/>
    <d v="1899-12-30T01:59:00"/>
    <m/>
    <d v="1899-12-30T01:59:00"/>
    <s v="POSITION6"/>
    <x v="2"/>
    <s v="STORE255"/>
  </r>
  <r>
    <n v="237324"/>
    <s v="People873"/>
    <s v="department"/>
    <s v="REGION8"/>
    <s v="STORE352"/>
    <s v="MANAGER132"/>
    <s v="POSITIVO"/>
    <d v="1899-12-30T08:00:00"/>
    <m/>
    <d v="1899-12-30T08:00:00"/>
    <s v="POSITION5"/>
    <x v="7"/>
    <s v="STORE352"/>
  </r>
  <r>
    <n v="237325"/>
    <s v="People874"/>
    <s v="department"/>
    <s v="REGION8"/>
    <s v="STORE352"/>
    <s v="MANAGER132"/>
    <s v="POSITIVO"/>
    <d v="1899-12-30T08:00:00"/>
    <m/>
    <d v="1899-12-30T08:00:00"/>
    <s v="POSITION6"/>
    <x v="7"/>
    <s v="STORE352"/>
  </r>
  <r>
    <n v="237329"/>
    <s v="People875"/>
    <s v="department"/>
    <s v="REGION9"/>
    <s v="STORE353"/>
    <s v="MANAGER111"/>
    <s v="POSITIVO"/>
    <d v="1899-12-30T00:03:00"/>
    <m/>
    <d v="1899-12-30T00:03:00"/>
    <s v="POSITION5"/>
    <x v="8"/>
    <s v="STORE353"/>
  </r>
  <r>
    <n v="237330"/>
    <s v="People876"/>
    <s v="department"/>
    <s v="REGION9"/>
    <s v="STORE354"/>
    <s v="MANAGER10"/>
    <s v="NEGATIVO"/>
    <d v="1899-12-30T00:06:00"/>
    <d v="1899-12-30T00:06:00"/>
    <m/>
    <s v="POSITION3"/>
    <x v="8"/>
    <s v="STORE354"/>
  </r>
  <r>
    <n v="237379"/>
    <s v="People877"/>
    <s v="department"/>
    <s v="REGION6"/>
    <s v="STORE250"/>
    <s v="MANAGER116"/>
    <s v="NEGATIVO"/>
    <d v="1899-12-30T04:16:00"/>
    <d v="1899-12-30T04:16:00"/>
    <m/>
    <s v="POSITION1"/>
    <x v="5"/>
    <s v="STORE250"/>
  </r>
  <r>
    <n v="237380"/>
    <s v="People878"/>
    <s v="department"/>
    <s v="REGION8"/>
    <s v="STORE355"/>
    <s v="MANAGER128"/>
    <s v="NEGATIVO"/>
    <d v="1900-01-03T17:36:00"/>
    <d v="1900-01-03T17:36:00"/>
    <m/>
    <s v="POSITION6"/>
    <x v="7"/>
    <s v="STORE355"/>
  </r>
  <r>
    <n v="237381"/>
    <s v="People879"/>
    <s v="department"/>
    <s v="REGION9"/>
    <s v="STORE356"/>
    <s v="MANAGER10"/>
    <s v="POSITIVO"/>
    <d v="1899-12-30T06:59:00"/>
    <m/>
    <d v="1899-12-30T06:59:00"/>
    <s v="POSITION3"/>
    <x v="8"/>
    <s v="STORE356"/>
  </r>
  <r>
    <n v="237382"/>
    <s v="People880"/>
    <s v="department"/>
    <s v="REGION1"/>
    <s v="STORE103"/>
    <s v="MANAGER40"/>
    <s v="NEGATIVO"/>
    <d v="1899-12-30T04:51:00"/>
    <d v="1899-12-30T04:51:00"/>
    <m/>
    <s v="POSITION1"/>
    <x v="0"/>
    <s v="STORE103"/>
  </r>
  <r>
    <n v="237396"/>
    <s v="People881"/>
    <s v="department"/>
    <s v="REGION1"/>
    <s v="STORE103"/>
    <s v="MANAGER40"/>
    <s v="NEGATIVO"/>
    <d v="1899-12-31T12:02:00"/>
    <d v="1899-12-31T12:02:00"/>
    <m/>
    <s v="POSITION1"/>
    <x v="0"/>
    <s v="STORE103"/>
  </r>
  <r>
    <n v="237405"/>
    <s v="People882"/>
    <s v="department"/>
    <s v="REGION3"/>
    <s v="STORE304"/>
    <s v="MANAGER123"/>
    <s v="POSITIVO"/>
    <d v="1899-12-30T19:35:00"/>
    <m/>
    <d v="1899-12-30T19:35:00"/>
    <s v="POSITION1"/>
    <x v="2"/>
    <s v="STORE304"/>
  </r>
  <r>
    <n v="237407"/>
    <s v="People883"/>
    <s v="department"/>
    <s v="REGION3"/>
    <s v="STORE304"/>
    <s v="MANAGER123"/>
    <s v="POSITIVO"/>
    <d v="1899-12-30T03:51:00"/>
    <m/>
    <d v="1899-12-30T03:51:00"/>
    <s v="POSITION1"/>
    <x v="2"/>
    <s v="STORE304"/>
  </r>
  <r>
    <n v="237413"/>
    <s v="People884"/>
    <s v="department"/>
    <s v="REGION6"/>
    <s v="STORE139"/>
    <s v="MANAGER42"/>
    <s v="POSITIVO"/>
    <d v="1899-12-31T17:52:00"/>
    <m/>
    <d v="1899-12-31T17:52:00"/>
    <s v="POSITION1"/>
    <x v="5"/>
    <s v="STORE139"/>
  </r>
  <r>
    <n v="237415"/>
    <s v="People885"/>
    <s v="department"/>
    <s v="REGION3"/>
    <s v="STORE357"/>
    <s v="MANAGER123"/>
    <s v="NEGATIVO"/>
    <d v="1899-12-30T00:05:00"/>
    <d v="1899-12-30T00:05:00"/>
    <m/>
    <s v="POSITION6"/>
    <x v="2"/>
    <s v="STORE357"/>
  </r>
  <r>
    <n v="237417"/>
    <s v="People886"/>
    <s v="department"/>
    <s v="REGION6"/>
    <s v="STORE307"/>
    <s v="MANAGER124"/>
    <s v="POSITIVO"/>
    <d v="1899-12-31T18:00:00"/>
    <m/>
    <d v="1899-12-31T18:00:00"/>
    <s v="POSITION1"/>
    <x v="5"/>
    <s v="STORE307"/>
  </r>
  <r>
    <n v="237418"/>
    <s v="People887"/>
    <s v="department"/>
    <s v="REGION5"/>
    <s v="STORE121"/>
    <s v="MANAGER24"/>
    <s v="POSITIVO"/>
    <d v="1899-12-30T19:29:00"/>
    <m/>
    <d v="1899-12-30T19:29:00"/>
    <s v="POSITION1"/>
    <x v="4"/>
    <s v="STORE121"/>
  </r>
  <r>
    <n v="237420"/>
    <s v="People888"/>
    <s v="department"/>
    <s v="REGION7"/>
    <s v="STORE235"/>
    <s v="MANAGER112"/>
    <s v="POSITIVO"/>
    <d v="1899-12-30T09:23:00"/>
    <m/>
    <d v="1899-12-30T09:23:00"/>
    <s v="POSITION1"/>
    <x v="6"/>
    <s v="STORE235"/>
  </r>
  <r>
    <n v="237421"/>
    <s v="People889"/>
    <s v="department"/>
    <s v="REGION4"/>
    <s v="STORE358"/>
    <s v="MANAGER14"/>
    <s v="POSITIVO"/>
    <d v="1899-12-31T01:24:00"/>
    <m/>
    <d v="1899-12-31T01:24:00"/>
    <s v="POSITION3"/>
    <x v="3"/>
    <s v="STORE358"/>
  </r>
  <r>
    <n v="237422"/>
    <s v="People890"/>
    <s v="department"/>
    <s v="REGION1"/>
    <s v="STORE78"/>
    <s v="MANAGER52"/>
    <s v="POSITIVO"/>
    <d v="1899-12-30T01:12:00"/>
    <m/>
    <d v="1899-12-30T01:12:00"/>
    <s v="POSITION6"/>
    <x v="0"/>
    <s v="STORE78"/>
  </r>
  <r>
    <n v="237423"/>
    <s v="People891"/>
    <s v="department"/>
    <s v="REGION4"/>
    <s v="STORE109"/>
    <s v="MANAGER69"/>
    <s v="POSITIVO"/>
    <d v="1899-12-30T00:27:00"/>
    <m/>
    <d v="1899-12-30T00:27:00"/>
    <s v="POSITION1"/>
    <x v="3"/>
    <s v="STORE109"/>
  </r>
  <r>
    <n v="237424"/>
    <s v="People892"/>
    <s v="department"/>
    <s v="REGION3"/>
    <s v="STORE215"/>
    <s v="MANAGER86"/>
    <s v="NEGATIVO"/>
    <d v="1899-12-30T02:48:00"/>
    <d v="1899-12-30T02:48:00"/>
    <m/>
    <s v="POSITION1"/>
    <x v="2"/>
    <s v="STORE215"/>
  </r>
  <r>
    <n v="237425"/>
    <s v="People893"/>
    <s v="department"/>
    <s v="REGION7"/>
    <s v="STORE137"/>
    <s v="MANAGER83"/>
    <s v="NEGATIVO"/>
    <d v="1899-12-30T04:56:00"/>
    <d v="1899-12-30T04:56:00"/>
    <m/>
    <s v="POSITION1"/>
    <x v="6"/>
    <s v="STORE137"/>
  </r>
  <r>
    <n v="237491"/>
    <s v="People894"/>
    <s v="department"/>
    <s v="REGION9"/>
    <s v="STORE230"/>
    <s v="MANAGER111"/>
    <s v="NEGATIVO"/>
    <d v="1899-12-30T00:08:00"/>
    <d v="1899-12-30T00:08:00"/>
    <m/>
    <s v="POSITION1"/>
    <x v="8"/>
    <s v="STORE230"/>
  </r>
  <r>
    <n v="237507"/>
    <s v="People895"/>
    <s v="department"/>
    <s v="REGION8"/>
    <s v="STORE359"/>
    <s v="MANAGER9"/>
    <s v="POSITIVO"/>
    <d v="1899-12-30T00:59:00"/>
    <m/>
    <d v="1899-12-30T00:59:00"/>
    <s v="POSITION3"/>
    <x v="7"/>
    <s v="STORE359"/>
  </r>
  <r>
    <n v="237508"/>
    <s v="People896"/>
    <s v="department"/>
    <s v="REGION8"/>
    <s v="STORE220"/>
    <s v="MANAGER106"/>
    <s v="POSITIVO"/>
    <d v="1899-12-30T04:35:00"/>
    <m/>
    <d v="1899-12-30T04:35:00"/>
    <s v="POSITION1"/>
    <x v="7"/>
    <s v="STORE220"/>
  </r>
  <r>
    <n v="237509"/>
    <s v="People897"/>
    <s v="department"/>
    <s v="REGION5"/>
    <s v="STORE342"/>
    <s v="MANAGER130"/>
    <s v="POSITIVO"/>
    <d v="1899-12-31T10:36:00"/>
    <m/>
    <d v="1899-12-31T10:36:00"/>
    <s v="POSITION1"/>
    <x v="4"/>
    <s v="STORE342"/>
  </r>
  <r>
    <n v="237562"/>
    <s v="People898"/>
    <s v="department"/>
    <s v="REGION1"/>
    <s v="STORE350"/>
    <s v="MANAGER76"/>
    <s v="NEGATIVO"/>
    <d v="1900-01-08T04:00:00"/>
    <d v="1900-01-08T04:00:00"/>
    <m/>
    <s v="POSITION5"/>
    <x v="0"/>
    <s v="STORE350"/>
  </r>
  <r>
    <n v="237563"/>
    <s v="People899"/>
    <s v="department"/>
    <s v="REGION8"/>
    <s v="STORE351"/>
    <s v="MANAGER131"/>
    <s v="POSITIVO"/>
    <d v="1899-12-30T11:00:00"/>
    <m/>
    <d v="1899-12-30T11:00:00"/>
    <s v="POSITION1"/>
    <x v="7"/>
    <s v="STORE351"/>
  </r>
  <r>
    <n v="237564"/>
    <s v="People900"/>
    <s v="department"/>
    <s v="REGION8"/>
    <s v="STORE348"/>
    <s v="MANAGER131"/>
    <s v="POSITIVO"/>
    <d v="1899-12-30T04:00:00"/>
    <m/>
    <d v="1899-12-30T04:00:00"/>
    <s v="POSITION5"/>
    <x v="7"/>
    <s v="STORE348"/>
  </r>
  <r>
    <n v="237565"/>
    <s v="People901"/>
    <s v="department"/>
    <s v="REGION8"/>
    <s v="STORE355"/>
    <s v="MANAGER128"/>
    <s v="NEGATIVO"/>
    <d v="1899-12-31T16:00:00"/>
    <d v="1899-12-31T16:00:00"/>
    <m/>
    <s v="POSITION5"/>
    <x v="7"/>
    <s v="STORE355"/>
  </r>
  <r>
    <n v="237566"/>
    <s v="People902"/>
    <s v="department"/>
    <s v="REGION9"/>
    <s v="STORE292"/>
    <s v="MANAGER111"/>
    <s v="NEGATIVO"/>
    <d v="1899-12-31T14:13:00"/>
    <d v="1899-12-31T14:13:00"/>
    <m/>
    <s v="POSITION1"/>
    <x v="8"/>
    <s v="STORE292"/>
  </r>
  <r>
    <n v="237567"/>
    <s v="People903"/>
    <s v="department"/>
    <s v="REGION6"/>
    <s v="STORE139"/>
    <s v="MANAGER42"/>
    <s v="NEGATIVO"/>
    <d v="1899-12-30T12:12:00"/>
    <d v="1899-12-30T12:12:00"/>
    <m/>
    <s v="POSITION1"/>
    <x v="5"/>
    <s v="STORE139"/>
  </r>
  <r>
    <n v="237575"/>
    <s v="People904"/>
    <s v="department"/>
    <s v="REGION7"/>
    <s v="STORE164"/>
    <s v="MANAGER31"/>
    <s v="POSITIVO"/>
    <d v="1899-12-30T06:04:00"/>
    <m/>
    <d v="1899-12-30T06:04:00"/>
    <s v="POSITION1"/>
    <x v="6"/>
    <s v="STORE164"/>
  </r>
  <r>
    <n v="237584"/>
    <s v="People905"/>
    <s v="department"/>
    <s v="REGION8"/>
    <s v="STORE220"/>
    <s v="MANAGER106"/>
    <s v="POSITIVO"/>
    <d v="1899-12-30T00:11:00"/>
    <m/>
    <d v="1899-12-30T00:11:00"/>
    <s v="POSITION1"/>
    <x v="7"/>
    <s v="STORE220"/>
  </r>
  <r>
    <n v="237593"/>
    <s v="People906"/>
    <s v="department"/>
    <s v="REGION6"/>
    <s v="STORE208"/>
    <s v="MANAGER57"/>
    <s v="NEGATIVO"/>
    <d v="1899-12-30T05:18:00"/>
    <d v="1899-12-30T05:18:00"/>
    <m/>
    <s v="POSITION1"/>
    <x v="5"/>
    <s v="STORE208"/>
  </r>
  <r>
    <n v="237621"/>
    <s v="People907"/>
    <s v="department"/>
    <s v="REGION5"/>
    <s v="STORE162"/>
    <s v="MANAGER89"/>
    <s v="POSITIVO"/>
    <d v="1899-12-31T06:08:00"/>
    <m/>
    <d v="1899-12-31T06:08:00"/>
    <s v="POSITION1"/>
    <x v="4"/>
    <s v="STORE162"/>
  </r>
  <r>
    <n v="237622"/>
    <s v="People908"/>
    <s v="department"/>
    <s v="REGION5"/>
    <s v="STORE247"/>
    <s v="MANAGER35"/>
    <s v="NEGATIVO"/>
    <d v="1899-12-30T15:46:00"/>
    <d v="1899-12-30T15:46:00"/>
    <m/>
    <s v="POSITION1"/>
    <x v="4"/>
    <s v="STORE247"/>
  </r>
  <r>
    <n v="237624"/>
    <s v="People909"/>
    <s v="department"/>
    <s v="REGION3"/>
    <s v="STORE282"/>
    <s v="MANAGER102"/>
    <s v="POSITIVO"/>
    <d v="1899-12-30T01:37:00"/>
    <m/>
    <d v="1899-12-30T01:37:00"/>
    <s v="POSITION1"/>
    <x v="2"/>
    <s v="STORE282"/>
  </r>
  <r>
    <n v="237629"/>
    <s v="People910"/>
    <s v="department"/>
    <s v="REGION9"/>
    <s v="STORE353"/>
    <s v="MANAGER111"/>
    <s v="POSITIVO"/>
    <d v="1899-12-30T01:11:00"/>
    <m/>
    <d v="1899-12-30T01:11:00"/>
    <s v="POSITION6"/>
    <x v="8"/>
    <s v="STORE353"/>
  </r>
  <r>
    <n v="237633"/>
    <s v="People911"/>
    <s v="department"/>
    <s v="REGION4"/>
    <s v="STORE42"/>
    <s v="MANAGER29"/>
    <s v="POSITIVO"/>
    <d v="1899-12-30T15:23:00"/>
    <m/>
    <d v="1899-12-30T15:23:00"/>
    <s v="POSITION5"/>
    <x v="3"/>
    <s v="STORE42"/>
  </r>
  <r>
    <n v="237634"/>
    <s v="People912"/>
    <s v="department"/>
    <s v="REGION3"/>
    <s v="STORE357"/>
    <s v="MANAGER123"/>
    <s v="NEGATIVO"/>
    <d v="1899-12-30T01:02:00"/>
    <d v="1899-12-30T01:02:00"/>
    <m/>
    <s v="POSITION5"/>
    <x v="2"/>
    <s v="STORE357"/>
  </r>
  <r>
    <n v="237635"/>
    <s v="People913"/>
    <s v="department"/>
    <s v="REGION9"/>
    <s v="STORE230"/>
    <s v="MANAGER111"/>
    <s v="POSITIVO"/>
    <d v="1899-12-30T10:14:00"/>
    <m/>
    <d v="1899-12-30T10:14:00"/>
    <s v="POSITION1"/>
    <x v="8"/>
    <s v="STORE230"/>
  </r>
  <r>
    <n v="237666"/>
    <s v="People914"/>
    <s v="department"/>
    <s v="REGION8"/>
    <s v="STORE256"/>
    <s v="MANAGER34"/>
    <s v="POSITIVO"/>
    <d v="1899-12-31T03:21:00"/>
    <m/>
    <d v="1899-12-31T03:21:00"/>
    <s v="POSITION1"/>
    <x v="7"/>
    <s v="STORE256"/>
  </r>
  <r>
    <n v="237668"/>
    <s v="People915"/>
    <s v="department"/>
    <s v="REGION5"/>
    <s v="STORE142"/>
    <s v="MANAGER32"/>
    <s v="POSITIVO"/>
    <d v="1899-12-31T03:32:00"/>
    <m/>
    <d v="1899-12-31T03:32:00"/>
    <s v="POSITION1"/>
    <x v="4"/>
    <s v="STORE142"/>
  </r>
  <r>
    <n v="237669"/>
    <s v="People916"/>
    <s v="department"/>
    <s v="REGION7"/>
    <s v="STORE151"/>
    <s v="MANAGER54"/>
    <s v="POSITIVO"/>
    <d v="1899-12-30T08:59:00"/>
    <m/>
    <d v="1899-12-30T08:59:00"/>
    <s v="POSITION1"/>
    <x v="6"/>
    <s v="STORE151"/>
  </r>
  <r>
    <n v="237670"/>
    <s v="People917"/>
    <s v="department"/>
    <s v="REGION8"/>
    <s v="STORE256"/>
    <s v="MANAGER34"/>
    <s v="POSITIVO"/>
    <d v="1899-12-30T22:12:00"/>
    <m/>
    <d v="1899-12-30T22:12:00"/>
    <s v="POSITION1"/>
    <x v="7"/>
    <s v="STORE256"/>
  </r>
  <r>
    <n v="237672"/>
    <s v="People918"/>
    <s v="department"/>
    <s v="REGION1"/>
    <s v="STORE190"/>
    <s v="MANAGER50"/>
    <s v="POSITIVO"/>
    <d v="1899-12-31T05:51:00"/>
    <m/>
    <d v="1899-12-31T05:51:00"/>
    <s v="POSITION1"/>
    <x v="0"/>
    <s v="STORE190"/>
  </r>
  <r>
    <n v="237697"/>
    <s v="People919"/>
    <s v="department"/>
    <s v="REGION8"/>
    <s v="STORE297"/>
    <s v="MANAGER121"/>
    <s v="NEGATIVO"/>
    <d v="1899-12-30T10:22:00"/>
    <d v="1899-12-30T10:22:00"/>
    <m/>
    <s v="POSITION1"/>
    <x v="7"/>
    <s v="STORE297"/>
  </r>
  <r>
    <n v="237698"/>
    <s v="People920"/>
    <s v="department"/>
    <s v="REGION7"/>
    <s v="STORE151"/>
    <s v="MANAGER54"/>
    <s v="POSITIVO"/>
    <d v="1899-12-30T17:21:00"/>
    <m/>
    <d v="1899-12-30T17:21:00"/>
    <s v="POSITION1"/>
    <x v="6"/>
    <s v="STORE151"/>
  </r>
  <r>
    <n v="237704"/>
    <s v="People921"/>
    <s v="department"/>
    <s v="REGION8"/>
    <s v="STORE327"/>
    <s v="MANAGER128"/>
    <s v="POSITIVO"/>
    <d v="1900-01-01T22:24:00"/>
    <m/>
    <d v="1900-01-01T22:24:00"/>
    <s v="POSITION1"/>
    <x v="7"/>
    <s v="STORE327"/>
  </r>
  <r>
    <n v="237707"/>
    <s v="People922"/>
    <s v="department"/>
    <s v="REGION8"/>
    <s v="STORE297"/>
    <s v="MANAGER121"/>
    <s v="NEGATIVO"/>
    <d v="1899-12-31T02:23:00"/>
    <d v="1899-12-31T02:23:00"/>
    <m/>
    <s v="POSITION1"/>
    <x v="7"/>
    <s v="STORE297"/>
  </r>
  <r>
    <n v="237715"/>
    <s v="People923"/>
    <s v="department"/>
    <s v="REGION8"/>
    <s v="STORE256"/>
    <s v="MANAGER34"/>
    <s v="POSITIVO"/>
    <d v="1899-12-30T17:19:00"/>
    <m/>
    <d v="1899-12-30T17:19:00"/>
    <s v="POSITION1"/>
    <x v="7"/>
    <s v="STORE256"/>
  </r>
  <r>
    <n v="237726"/>
    <s v="People924"/>
    <s v="department"/>
    <s v="REGION7"/>
    <s v="STORE140"/>
    <s v="MANAGER58"/>
    <s v="NEGATIVO"/>
    <d v="1899-12-30T09:19:00"/>
    <d v="1899-12-30T09:19:00"/>
    <m/>
    <s v="POSITION1"/>
    <x v="6"/>
    <s v="STORE140"/>
  </r>
  <r>
    <n v="237730"/>
    <s v="People925"/>
    <s v="department"/>
    <s v="REGION8"/>
    <s v="STORE198"/>
    <s v="MANAGER18"/>
    <s v="POSITIVO"/>
    <d v="1899-12-30T02:45:00"/>
    <m/>
    <d v="1899-12-30T02:45:00"/>
    <s v="POSITION1"/>
    <x v="7"/>
    <s v="STORE198"/>
  </r>
  <r>
    <n v="237742"/>
    <s v="People926"/>
    <s v="department"/>
    <s v="REGION7"/>
    <s v="STORE88"/>
    <s v="MANAGER59"/>
    <s v="NEGATIVO"/>
    <d v="1899-12-30T03:57:00"/>
    <d v="1899-12-30T03:57:00"/>
    <m/>
    <s v="POSITION5"/>
    <x v="6"/>
    <s v="STORE88"/>
  </r>
  <r>
    <n v="237749"/>
    <s v="People927"/>
    <s v="department"/>
    <s v="REGION4"/>
    <s v="STORE23"/>
    <s v="MANAGER13"/>
    <s v="POSITIVO"/>
    <d v="1899-12-30T06:15:00"/>
    <m/>
    <d v="1899-12-30T06:15:00"/>
    <s v="POSITION5"/>
    <x v="3"/>
    <s v="STORE23"/>
  </r>
  <r>
    <n v="237750"/>
    <s v="People928"/>
    <s v="department"/>
    <s v="REGION5"/>
    <s v="STORE360"/>
    <s v="MANAGER130"/>
    <s v="NEGATIVO"/>
    <d v="1899-12-30T00:44:00"/>
    <d v="1899-12-30T00:44:00"/>
    <m/>
    <s v="POSITION5"/>
    <x v="4"/>
    <s v="STORE360"/>
  </r>
  <r>
    <n v="237751"/>
    <s v="People929"/>
    <s v="department"/>
    <s v="REGION2"/>
    <s v="STORE133"/>
    <s v="MANAGER80"/>
    <s v="NEGATIVO"/>
    <d v="1899-12-30T02:11:00"/>
    <d v="1899-12-30T02:11:00"/>
    <m/>
    <s v="POSITION6"/>
    <x v="1"/>
    <s v="STORE133"/>
  </r>
  <r>
    <n v="237754"/>
    <s v="People930"/>
    <s v="department"/>
    <s v="REGION8"/>
    <s v="STORE361"/>
    <s v="MANAGER133"/>
    <s v="POSITIVO"/>
    <d v="1899-12-30T16:48:00"/>
    <m/>
    <d v="1899-12-30T16:48:00"/>
    <s v="POSITION1"/>
    <x v="7"/>
    <s v="STORE361"/>
  </r>
  <r>
    <n v="237791"/>
    <s v="People931"/>
    <s v="department"/>
    <s v="REGION8"/>
    <s v="STORE183"/>
    <s v="MANAGER28"/>
    <s v="POSITIVO"/>
    <d v="1899-12-31T23:19:00"/>
    <m/>
    <d v="1899-12-31T23:19:00"/>
    <s v="POSITION1"/>
    <x v="7"/>
    <s v="STORE183"/>
  </r>
  <r>
    <n v="237800"/>
    <s v="People932"/>
    <s v="department"/>
    <s v="REGION2"/>
    <s v="STORE290"/>
    <s v="MANAGER88"/>
    <s v="NEGATIVO"/>
    <d v="1899-12-30T03:59:00"/>
    <d v="1899-12-30T03:59:00"/>
    <m/>
    <s v="POSITION6"/>
    <x v="1"/>
    <s v="STORE290"/>
  </r>
  <r>
    <n v="237801"/>
    <s v="People933"/>
    <s v="department"/>
    <s v="REGION5"/>
    <s v="STORE360"/>
    <s v="MANAGER130"/>
    <s v="POSITIVO"/>
    <d v="1899-12-30T18:28:00"/>
    <m/>
    <d v="1899-12-30T18:28:00"/>
    <s v="POSITION6"/>
    <x v="4"/>
    <s v="STORE360"/>
  </r>
  <r>
    <n v="237829"/>
    <s v="People934"/>
    <s v="department"/>
    <s v="REGION5"/>
    <s v="STORE157"/>
    <s v="MANAGER17"/>
    <s v="POSITIVO"/>
    <d v="1899-12-30T00:19:00"/>
    <m/>
    <d v="1899-12-30T00:19:00"/>
    <s v="POSITION1"/>
    <x v="4"/>
    <s v="STORE157"/>
  </r>
  <r>
    <n v="237832"/>
    <s v="People935"/>
    <s v="department"/>
    <s v="REGION1"/>
    <s v="STORE278"/>
    <s v="MANAGER120"/>
    <s v="NEGATIVO"/>
    <d v="1899-12-30T00:52:00"/>
    <d v="1899-12-30T00:52:00"/>
    <m/>
    <s v="POSITION1"/>
    <x v="0"/>
    <s v="STORE278"/>
  </r>
  <r>
    <n v="237838"/>
    <s v="People936"/>
    <s v="department"/>
    <s v="REGION1"/>
    <s v="STORE266"/>
    <s v="MANAGER52"/>
    <s v="NEGATIVO"/>
    <d v="1899-12-30T02:48:00"/>
    <d v="1899-12-30T02:48:00"/>
    <m/>
    <s v="POSITION1"/>
    <x v="0"/>
    <s v="STORE266"/>
  </r>
  <r>
    <n v="237886"/>
    <s v="People937"/>
    <s v="department"/>
    <s v="REGION1"/>
    <s v="STORE1"/>
    <s v="MANAGER1"/>
    <s v="NEGATIVO"/>
    <d v="1899-12-30T02:02:00"/>
    <d v="1899-12-30T02:02:00"/>
    <m/>
    <s v="POSITION1"/>
    <x v="0"/>
    <s v="STORE1"/>
  </r>
  <r>
    <n v="237897"/>
    <s v="People938"/>
    <s v="department"/>
    <s v="REGION8"/>
    <s v="STORE362"/>
    <s v="MANAGER133"/>
    <s v="POSITIVO"/>
    <d v="1899-12-30T01:24:00"/>
    <m/>
    <d v="1899-12-30T01:24:00"/>
    <s v="POSITION5"/>
    <x v="7"/>
    <s v="STORE362"/>
  </r>
  <r>
    <n v="237899"/>
    <s v="People939"/>
    <s v="department"/>
    <s v="REGION8"/>
    <s v="STORE362"/>
    <s v="MANAGER133"/>
    <s v="POSITIVO"/>
    <d v="1899-12-30T01:36:00"/>
    <m/>
    <d v="1899-12-30T01:36:00"/>
    <s v="POSITION6"/>
    <x v="7"/>
    <s v="STORE362"/>
  </r>
  <r>
    <n v="237900"/>
    <s v="People940"/>
    <s v="department"/>
    <s v="REGION8"/>
    <s v="STORE361"/>
    <s v="MANAGER133"/>
    <s v="POSITIVO"/>
    <d v="1899-12-30T15:24:00"/>
    <m/>
    <d v="1899-12-30T15:24:00"/>
    <s v="POSITION1"/>
    <x v="7"/>
    <s v="STORE361"/>
  </r>
  <r>
    <n v="237901"/>
    <s v="People941"/>
    <s v="department"/>
    <s v="REGION8"/>
    <s v="STORE361"/>
    <s v="MANAGER133"/>
    <s v="POSITIVO"/>
    <d v="1899-12-30T19:24:00"/>
    <m/>
    <d v="1899-12-30T19:24:00"/>
    <s v="POSITION1"/>
    <x v="7"/>
    <s v="STORE361"/>
  </r>
  <r>
    <n v="237914"/>
    <s v="People942"/>
    <s v="department"/>
    <s v="REGION3"/>
    <s v="STORE238"/>
    <s v="MANAGER114"/>
    <s v="POSITIVO"/>
    <d v="1899-12-30T06:43:00"/>
    <m/>
    <d v="1899-12-30T06:43:00"/>
    <s v="POSITION1"/>
    <x v="2"/>
    <s v="STORE238"/>
  </r>
  <r>
    <n v="237934"/>
    <s v="People943"/>
    <s v="department"/>
    <s v="REGION8"/>
    <s v="STORE355"/>
    <s v="MANAGER128"/>
    <s v="NEGATIVO"/>
    <d v="1899-12-30T12:00:00"/>
    <d v="1899-12-30T12:00:00"/>
    <m/>
    <s v="POSITION6"/>
    <x v="7"/>
    <s v="STORE355"/>
  </r>
  <r>
    <n v="237937"/>
    <s v="People944"/>
    <s v="department"/>
    <s v="REGION9"/>
    <s v="STORE353"/>
    <s v="MANAGER111"/>
    <s v="POSITIVO"/>
    <d v="1899-12-30T01:12:00"/>
    <m/>
    <d v="1899-12-30T01:12:00"/>
    <s v="POSITION6"/>
    <x v="8"/>
    <s v="STORE353"/>
  </r>
  <r>
    <n v="237944"/>
    <s v="People945"/>
    <s v="department"/>
    <s v="REGION4"/>
    <s v="STORE244"/>
    <s v="MANAGER115"/>
    <s v="POSITIVO"/>
    <d v="1899-12-30T20:45:00"/>
    <m/>
    <d v="1899-12-30T20:45:00"/>
    <s v="POSITION1"/>
    <x v="3"/>
    <s v="STORE244"/>
  </r>
  <r>
    <n v="238036"/>
    <s v="People946"/>
    <s v="department"/>
    <s v="REGION8"/>
    <s v="STORE183"/>
    <s v="MANAGER28"/>
    <s v="POSITIVO"/>
    <d v="1899-12-30T08:48:00"/>
    <m/>
    <d v="1899-12-30T08:48:00"/>
    <s v="POSITION1"/>
    <x v="7"/>
    <s v="STORE183"/>
  </r>
  <r>
    <n v="238038"/>
    <s v="People947"/>
    <s v="department"/>
    <s v="REGION9"/>
    <s v="STORE263"/>
    <s v="MANAGER105"/>
    <s v="NEGATIVO"/>
    <d v="1899-12-30T12:50:00"/>
    <d v="1899-12-30T12:50:00"/>
    <m/>
    <s v="POSITION1"/>
    <x v="8"/>
    <s v="STORE263"/>
  </r>
  <r>
    <n v="238045"/>
    <s v="People948"/>
    <s v="department"/>
    <s v="REGION6"/>
    <s v="STORE284"/>
    <s v="MANAGER75"/>
    <s v="NEGATIVO"/>
    <d v="1899-12-30T14:59:00"/>
    <d v="1899-12-30T14:59:00"/>
    <m/>
    <s v="POSITION1"/>
    <x v="5"/>
    <s v="STORE284"/>
  </r>
  <r>
    <n v="238046"/>
    <s v="People949"/>
    <s v="department"/>
    <s v="REGION9"/>
    <s v="STORE329"/>
    <s v="MANAGER105"/>
    <s v="POSITIVO"/>
    <d v="1899-12-30T04:40:00"/>
    <m/>
    <d v="1899-12-30T04:40:00"/>
    <s v="POSITION1"/>
    <x v="8"/>
    <s v="STORE329"/>
  </r>
  <r>
    <n v="238048"/>
    <s v="People950"/>
    <s v="department"/>
    <s v="REGION5"/>
    <s v="STORE175"/>
    <s v="MANAGER30"/>
    <s v="POSITIVO"/>
    <d v="1899-12-30T20:17:00"/>
    <m/>
    <d v="1899-12-30T20:17:00"/>
    <s v="POSITION1"/>
    <x v="4"/>
    <s v="STORE175"/>
  </r>
  <r>
    <n v="238051"/>
    <s v="People951"/>
    <s v="department"/>
    <s v="REGION9"/>
    <s v="STORE233"/>
    <s v="MANAGER105"/>
    <s v="POSITIVO"/>
    <d v="1899-12-30T08:25:00"/>
    <m/>
    <d v="1899-12-30T08:25:00"/>
    <s v="POSITION1"/>
    <x v="8"/>
    <s v="STORE233"/>
  </r>
  <r>
    <n v="238052"/>
    <s v="People952"/>
    <s v="department"/>
    <s v="REGION7"/>
    <s v="STORE129"/>
    <s v="MANAGER55"/>
    <s v="POSITIVO"/>
    <d v="1899-12-30T10:48:00"/>
    <m/>
    <d v="1899-12-30T10:48:00"/>
    <s v="POSITION1"/>
    <x v="6"/>
    <s v="STORE129"/>
  </r>
  <r>
    <n v="238053"/>
    <s v="People953"/>
    <s v="department"/>
    <s v="REGION9"/>
    <s v="STORE329"/>
    <s v="MANAGER105"/>
    <s v="POSITIVO"/>
    <d v="1899-12-30T19:16:00"/>
    <m/>
    <d v="1899-12-30T19:16:00"/>
    <s v="POSITION1"/>
    <x v="8"/>
    <s v="STORE329"/>
  </r>
  <r>
    <n v="238086"/>
    <s v="People954"/>
    <s v="department"/>
    <s v="REGION1"/>
    <s v="STORE363"/>
    <s v="MANAGER76"/>
    <s v="NEGATIVO"/>
    <d v="1899-12-30T08:48:00"/>
    <d v="1899-12-30T08:48:00"/>
    <m/>
    <s v="POSITION1"/>
    <x v="0"/>
    <s v="STORE363"/>
  </r>
  <r>
    <n v="238087"/>
    <s v="People955"/>
    <s v="department"/>
    <s v="REGION6"/>
    <s v="STORE284"/>
    <s v="MANAGER75"/>
    <s v="NEGATIVO"/>
    <d v="1899-12-30T06:05:00"/>
    <d v="1899-12-30T06:05:00"/>
    <m/>
    <s v="POSITION1"/>
    <x v="5"/>
    <s v="STORE284"/>
  </r>
  <r>
    <n v="238191"/>
    <s v="People956"/>
    <s v="department"/>
    <s v="REGION8"/>
    <s v="STORE198"/>
    <s v="MANAGER18"/>
    <s v="NEGATIVO"/>
    <d v="1899-12-30T04:29:00"/>
    <d v="1899-12-30T04:29:00"/>
    <m/>
    <s v="POSITION1"/>
    <x v="7"/>
    <s v="STORE198"/>
  </r>
  <r>
    <n v="238194"/>
    <s v="People957"/>
    <s v="department"/>
    <s v="REGION6"/>
    <s v="STORE169"/>
    <s v="MANAGER33"/>
    <s v="POSITIVO"/>
    <d v="1899-12-30T03:00:00"/>
    <m/>
    <d v="1899-12-30T03:00:00"/>
    <s v="POSITION1"/>
    <x v="5"/>
    <s v="STORE169"/>
  </r>
  <r>
    <n v="238205"/>
    <s v="People958"/>
    <s v="department"/>
    <s v="REGION7"/>
    <s v="STORE46"/>
    <s v="MANAGER31"/>
    <s v="NEGATIVO"/>
    <d v="1899-12-30T01:26:00"/>
    <d v="1899-12-30T01:26:00"/>
    <m/>
    <s v="POSITION6"/>
    <x v="6"/>
    <s v="STORE46"/>
  </r>
  <r>
    <n v="238206"/>
    <s v="People959"/>
    <s v="department"/>
    <s v="REGION2"/>
    <s v="STORE240"/>
    <s v="MANAGER15"/>
    <s v="POSITIVO"/>
    <d v="1899-12-30T01:53:00"/>
    <m/>
    <d v="1899-12-30T01:53:00"/>
    <s v="POSITION1"/>
    <x v="1"/>
    <s v="STORE240"/>
  </r>
  <r>
    <n v="238218"/>
    <s v="People960"/>
    <s v="department"/>
    <s v="REGION8"/>
    <s v="STORE326"/>
    <s v="MANAGER127"/>
    <s v="POSITIVO"/>
    <d v="1899-12-30T07:41:00"/>
    <m/>
    <d v="1899-12-30T07:41:00"/>
    <s v="POSITION6"/>
    <x v="7"/>
    <s v="STORE326"/>
  </r>
  <r>
    <n v="238220"/>
    <s v="People961"/>
    <s v="department"/>
    <s v="REGION8"/>
    <s v="STORE316"/>
    <s v="MANAGER127"/>
    <s v="NEGATIVO"/>
    <d v="1899-12-30T08:48:00"/>
    <d v="1899-12-30T08:48:00"/>
    <m/>
    <s v="POSITION1"/>
    <x v="7"/>
    <s v="STORE316"/>
  </r>
  <r>
    <n v="238235"/>
    <s v="People962"/>
    <s v="department"/>
    <s v="REGION2"/>
    <s v="STORE138"/>
    <s v="MANAGER23"/>
    <s v="POSITIVO"/>
    <d v="1899-12-30T08:30:00"/>
    <m/>
    <d v="1899-12-30T08:30:00"/>
    <s v="POSITION1"/>
    <x v="1"/>
    <s v="STORE138"/>
  </r>
  <r>
    <n v="200117"/>
    <s v="People963"/>
    <s v="department"/>
    <s v="REGION8"/>
    <s v="STORE364"/>
    <s v="MANAGER9"/>
    <s v="POSITIVO"/>
    <d v="1899-12-30T20:32:00"/>
    <m/>
    <d v="1899-12-30T20:32:00"/>
    <s v="POSITION4"/>
    <x v="7"/>
    <s v="STORE364"/>
  </r>
  <r>
    <n v="200217"/>
    <s v="People964"/>
    <s v="department"/>
    <s v="REGION3"/>
    <s v="STORE76"/>
    <s v="MANAGER51"/>
    <s v="POSITIVO"/>
    <d v="1899-12-30T08:07:00"/>
    <m/>
    <d v="1899-12-30T08:07:00"/>
    <s v="POSITION6"/>
    <x v="2"/>
    <s v="STORE76"/>
  </r>
  <r>
    <n v="200234"/>
    <s v="People965"/>
    <s v="department"/>
    <s v="REGION3"/>
    <s v="STORE260"/>
    <s v="MANAGER82"/>
    <s v="POSITIVO"/>
    <d v="1899-12-30T04:52:00"/>
    <m/>
    <d v="1899-12-30T04:52:00"/>
    <s v="POSITION5"/>
    <x v="2"/>
    <s v="STORE260"/>
  </r>
  <r>
    <n v="200289"/>
    <s v="People966"/>
    <s v="department"/>
    <s v="REGION3"/>
    <s v="STORE286"/>
    <s v="MANAGER94"/>
    <s v="NEGATIVO"/>
    <d v="1899-12-30T21:09:00"/>
    <d v="1899-12-30T21:09:00"/>
    <m/>
    <s v="POSITION5"/>
    <x v="2"/>
    <s v="STORE286"/>
  </r>
  <r>
    <n v="200294"/>
    <s v="People967"/>
    <s v="department"/>
    <s v="REGION7"/>
    <s v="STORE73"/>
    <s v="MANAGER48"/>
    <s v="POSITIVO"/>
    <d v="1899-12-30T02:46:00"/>
    <m/>
    <d v="1899-12-30T02:46:00"/>
    <s v="POSITION6"/>
    <x v="6"/>
    <s v="STORE73"/>
  </r>
  <r>
    <n v="200335"/>
    <s v="People968"/>
    <s v="department"/>
    <s v="REGION7"/>
    <s v="STORE73"/>
    <s v="MANAGER48"/>
    <s v="NEGATIVO"/>
    <d v="1899-12-30T06:24:00"/>
    <d v="1899-12-30T06:24:00"/>
    <m/>
    <s v="POSITION5"/>
    <x v="6"/>
    <s v="STORE73"/>
  </r>
  <r>
    <n v="200336"/>
    <s v="People969"/>
    <s v="department"/>
    <s v="REGION7"/>
    <s v="STORE73"/>
    <s v="MANAGER48"/>
    <s v="NEGATIVO"/>
    <d v="1899-12-30T01:34:00"/>
    <d v="1899-12-30T01:34:00"/>
    <m/>
    <s v="POSITION5"/>
    <x v="6"/>
    <s v="STORE73"/>
  </r>
  <r>
    <n v="200445"/>
    <s v="People970"/>
    <s v="department"/>
    <s v="REGION2"/>
    <s v="STORE365"/>
    <s v="MANAGER107"/>
    <s v="NEGATIVO"/>
    <d v="1899-12-30T11:43:00"/>
    <d v="1899-12-30T11:43:00"/>
    <m/>
    <s v="POSITION6"/>
    <x v="1"/>
    <s v="STORE365"/>
  </r>
  <r>
    <n v="200513"/>
    <s v="People971"/>
    <s v="department"/>
    <s v="REGION4"/>
    <s v="STORE243"/>
    <s v="MANAGER115"/>
    <s v="NEGATIVO"/>
    <d v="1900-01-01T13:31:00"/>
    <d v="1900-01-01T13:31:00"/>
    <m/>
    <s v="POSITION6"/>
    <x v="3"/>
    <s v="STORE243"/>
  </r>
  <r>
    <n v="200533"/>
    <s v="People972"/>
    <s v="department"/>
    <s v="REGION4"/>
    <s v="STORE58"/>
    <s v="MANAGER38"/>
    <s v="NEGATIVO"/>
    <d v="1899-12-30T14:48:00"/>
    <d v="1899-12-30T14:48:00"/>
    <m/>
    <s v="POSITION5"/>
    <x v="3"/>
    <s v="STORE58"/>
  </r>
  <r>
    <n v="200542"/>
    <s v="People973"/>
    <s v="department"/>
    <s v="REGION2"/>
    <s v="STORE187"/>
    <s v="MANAGER41"/>
    <s v="POSITIVO"/>
    <d v="1899-12-30T13:55:00"/>
    <m/>
    <d v="1899-12-30T13:55:00"/>
    <s v="POSITION1"/>
    <x v="1"/>
    <s v="STORE187"/>
  </r>
  <r>
    <n v="200557"/>
    <s v="People974"/>
    <s v="department"/>
    <s v="REGION6"/>
    <s v="STORE200"/>
    <s v="MANAGER100"/>
    <s v="NEGATIVO"/>
    <d v="1899-12-30T06:49:00"/>
    <d v="1899-12-30T06:49:00"/>
    <m/>
    <s v="POSITION5"/>
    <x v="5"/>
    <s v="STORE200"/>
  </r>
  <r>
    <n v="200590"/>
    <s v="People975"/>
    <s v="department"/>
    <s v="REGION3"/>
    <s v="STORE366"/>
    <s v="MANAGER3"/>
    <s v="POSITIVO"/>
    <d v="1899-12-30T04:36:00"/>
    <m/>
    <d v="1899-12-30T04:36:00"/>
    <s v="POSITION2"/>
    <x v="2"/>
    <s v="STORE366"/>
  </r>
  <r>
    <n v="200602"/>
    <s v="People976"/>
    <s v="department"/>
    <s v="REGION7"/>
    <s v="STORE73"/>
    <s v="MANAGER48"/>
    <s v="POSITIVO"/>
    <d v="1899-12-30T07:23:00"/>
    <m/>
    <d v="1899-12-30T07:23:00"/>
    <s v="POSITION6"/>
    <x v="6"/>
    <s v="STORE73"/>
  </r>
  <r>
    <n v="200657"/>
    <s v="People977"/>
    <s v="department"/>
    <s v="REGION7"/>
    <s v="STORE367"/>
    <s v="MANAGER8"/>
    <s v="POSITIVO"/>
    <d v="1899-12-30T07:50:00"/>
    <m/>
    <d v="1899-12-30T07:50:00"/>
    <s v="POSITION2"/>
    <x v="6"/>
    <s v="STORE367"/>
  </r>
  <r>
    <n v="200680"/>
    <s v="People978"/>
    <s v="department"/>
    <s v="REGION7"/>
    <s v="STORE88"/>
    <s v="MANAGER59"/>
    <s v="POSITIVO"/>
    <d v="1899-12-30T04:16:00"/>
    <m/>
    <d v="1899-12-30T04:16:00"/>
    <s v="POSITION5"/>
    <x v="6"/>
    <s v="STORE88"/>
  </r>
  <r>
    <n v="200746"/>
    <s v="People979"/>
    <s v="department"/>
    <s v="REGION7"/>
    <s v="STORE88"/>
    <s v="MANAGER59"/>
    <s v="POSITIVO"/>
    <d v="1899-12-30T16:48:00"/>
    <m/>
    <d v="1899-12-30T16:48:00"/>
    <s v="POSITION6"/>
    <x v="6"/>
    <s v="STORE88"/>
  </r>
  <r>
    <n v="200751"/>
    <s v="People980"/>
    <s v="department"/>
    <s v="REGION7"/>
    <s v="STORE368"/>
    <s v="MANAGER8"/>
    <s v="POSITIVO"/>
    <d v="1899-12-30T03:27:00"/>
    <m/>
    <d v="1899-12-30T03:27:00"/>
    <s v="POSITION2"/>
    <x v="6"/>
    <s v="STORE368"/>
  </r>
  <r>
    <n v="200763"/>
    <s v="People981"/>
    <s v="department"/>
    <s v="REGION9"/>
    <s v="STORE369"/>
    <s v="MANAGER10"/>
    <s v="POSITIVO"/>
    <d v="1899-12-30T14:11:00"/>
    <m/>
    <d v="1899-12-30T14:11:00"/>
    <s v="POSITION2"/>
    <x v="8"/>
    <s v="STORE369"/>
  </r>
  <r>
    <n v="200765"/>
    <s v="People982"/>
    <s v="department"/>
    <s v="REGION2"/>
    <s v="STORE370"/>
    <s v="MANAGER2"/>
    <s v="POSITIVO"/>
    <d v="1899-12-30T05:23:00"/>
    <m/>
    <d v="1899-12-30T05:23:00"/>
    <s v="POSITION2"/>
    <x v="1"/>
    <s v="STORE370"/>
  </r>
  <r>
    <n v="200784"/>
    <s v="People983"/>
    <s v="department"/>
    <s v="REGION4"/>
    <s v="STORE243"/>
    <s v="MANAGER115"/>
    <s v="NEGATIVO"/>
    <d v="1899-12-30T05:52:00"/>
    <d v="1899-12-30T05:52:00"/>
    <m/>
    <s v="POSITION5"/>
    <x v="3"/>
    <s v="STORE243"/>
  </r>
  <r>
    <n v="200805"/>
    <s v="People984"/>
    <s v="department"/>
    <s v="REGION9"/>
    <s v="STORE84"/>
    <s v="MANAGER56"/>
    <s v="POSITIVO"/>
    <d v="1899-12-30T01:31:00"/>
    <m/>
    <d v="1899-12-30T01:31:00"/>
    <s v="POSITION6"/>
    <x v="8"/>
    <s v="STORE84"/>
  </r>
  <r>
    <n v="200858"/>
    <s v="People985"/>
    <s v="department"/>
    <s v="REGION4"/>
    <s v="STORE371"/>
    <s v="MANAGER14"/>
    <s v="POSITIVO"/>
    <d v="1899-12-30T15:44:00"/>
    <m/>
    <d v="1899-12-30T15:44:00"/>
    <s v="POSITION2"/>
    <x v="3"/>
    <s v="STORE371"/>
  </r>
  <r>
    <n v="200888"/>
    <s v="People986"/>
    <s v="department"/>
    <s v="REGION3"/>
    <s v="STORE372"/>
    <s v="MANAGER3"/>
    <s v="POSITIVO"/>
    <d v="1899-12-30T12:52:00"/>
    <m/>
    <d v="1899-12-30T12:52:00"/>
    <s v="POSITION2"/>
    <x v="2"/>
    <s v="STORE372"/>
  </r>
  <r>
    <n v="200893"/>
    <s v="People987"/>
    <s v="department"/>
    <s v="REGION4"/>
    <s v="STORE347"/>
    <s v="MANAGER108"/>
    <s v="NEGATIVO"/>
    <d v="1900-01-05T17:14:00"/>
    <d v="1900-01-05T17:14:00"/>
    <m/>
    <s v="POSITION5"/>
    <x v="3"/>
    <s v="STORE347"/>
  </r>
  <r>
    <n v="200899"/>
    <s v="People988"/>
    <s v="department"/>
    <s v="REGION3"/>
    <s v="STORE202"/>
    <s v="MANAGER102"/>
    <s v="NEGATIVO"/>
    <d v="1899-12-31T10:32:00"/>
    <d v="1899-12-31T10:32:00"/>
    <m/>
    <s v="POSITION5"/>
    <x v="2"/>
    <s v="STORE202"/>
  </r>
  <r>
    <n v="200922"/>
    <s v="People989"/>
    <s v="department"/>
    <s v="REGION2"/>
    <s v="STORE187"/>
    <s v="MANAGER41"/>
    <s v="NEGATIVO"/>
    <d v="1899-12-30T07:34:00"/>
    <d v="1899-12-30T07:34:00"/>
    <m/>
    <s v="POSITION1"/>
    <x v="1"/>
    <s v="STORE187"/>
  </r>
  <r>
    <n v="201004"/>
    <s v="People990"/>
    <s v="department"/>
    <s v="REGION9"/>
    <s v="STORE37"/>
    <s v="MANAGER25"/>
    <s v="NEGATIVO"/>
    <d v="1899-12-30T03:25:00"/>
    <d v="1899-12-30T03:25:00"/>
    <m/>
    <s v="POSITION5"/>
    <x v="8"/>
    <s v="STORE37"/>
  </r>
  <r>
    <n v="201012"/>
    <s v="People991"/>
    <s v="department"/>
    <s v="REGION2"/>
    <s v="STORE64"/>
    <s v="MANAGER41"/>
    <s v="NEGATIVO"/>
    <d v="1899-12-30T01:59:00"/>
    <d v="1899-12-30T01:59:00"/>
    <m/>
    <s v="POSITION5"/>
    <x v="1"/>
    <s v="STORE64"/>
  </r>
  <r>
    <n v="201018"/>
    <s v="People992"/>
    <s v="department"/>
    <s v="REGION1"/>
    <s v="STORE373"/>
    <s v="MANAGER11"/>
    <s v="POSITIVO"/>
    <d v="1899-12-30T17:33:00"/>
    <m/>
    <d v="1899-12-30T17:33:00"/>
    <s v="POSITION2"/>
    <x v="0"/>
    <s v="STORE373"/>
  </r>
  <r>
    <n v="201042"/>
    <s v="People993"/>
    <s v="department"/>
    <s v="REGION2"/>
    <s v="STORE218"/>
    <s v="MANAGER71"/>
    <s v="NEGATIVO"/>
    <d v="1899-12-30T03:03:00"/>
    <d v="1899-12-30T03:03:00"/>
    <m/>
    <s v="POSITION5"/>
    <x v="1"/>
    <s v="STORE218"/>
  </r>
  <r>
    <n v="201108"/>
    <s v="People994"/>
    <s v="department"/>
    <s v="REGION7"/>
    <s v="STORE374"/>
    <s v="MANAGER8"/>
    <s v="POSITIVO"/>
    <d v="1899-12-31T00:46:00"/>
    <m/>
    <d v="1899-12-31T00:46:00"/>
    <s v="POSITION2"/>
    <x v="6"/>
    <s v="STORE374"/>
  </r>
  <r>
    <n v="201126"/>
    <s v="People995"/>
    <s v="department"/>
    <s v="REGION8"/>
    <s v="STORE375"/>
    <s v="MANAGER103"/>
    <s v="NEGATIVO"/>
    <d v="1899-12-30T00:59:00"/>
    <d v="1899-12-30T00:59:00"/>
    <m/>
    <s v="POSITION5"/>
    <x v="7"/>
    <s v="STORE375"/>
  </r>
  <r>
    <n v="201179"/>
    <s v="People996"/>
    <s v="department"/>
    <s v="REGION7"/>
    <s v="STORE151"/>
    <s v="MANAGER54"/>
    <s v="NEGATIVO"/>
    <d v="1899-12-31T23:32:00"/>
    <d v="1899-12-31T23:32:00"/>
    <m/>
    <s v="POSITION1"/>
    <x v="6"/>
    <s v="STORE151"/>
  </r>
  <r>
    <n v="201221"/>
    <s v="People997"/>
    <s v="department"/>
    <s v="REGION2"/>
    <s v="STORE239"/>
    <s v="MANAGER21"/>
    <s v="POSITIVO"/>
    <d v="1899-12-31T07:28:00"/>
    <m/>
    <d v="1899-12-31T07:28:00"/>
    <s v="POSITION1"/>
    <x v="1"/>
    <s v="STORE239"/>
  </r>
  <r>
    <n v="201227"/>
    <s v="People998"/>
    <s v="department"/>
    <s v="REGION2"/>
    <s v="STORE365"/>
    <s v="MANAGER107"/>
    <s v="NEGATIVO"/>
    <d v="1899-12-30T11:21:00"/>
    <d v="1899-12-30T11:21:00"/>
    <m/>
    <s v="POSITION6"/>
    <x v="1"/>
    <s v="STORE365"/>
  </r>
  <r>
    <n v="201241"/>
    <s v="People999"/>
    <s v="department"/>
    <s v="REGION2"/>
    <s v="STORE365"/>
    <s v="MANAGER107"/>
    <s v="NEGATIVO"/>
    <d v="1899-12-30T12:43:00"/>
    <d v="1899-12-30T12:43:00"/>
    <m/>
    <s v="POSITION5"/>
    <x v="1"/>
    <s v="STORE365"/>
  </r>
  <r>
    <n v="201242"/>
    <s v="People1000"/>
    <s v="department"/>
    <s v="REGION2"/>
    <s v="STORE35"/>
    <s v="MANAGER23"/>
    <s v="NEGATIVO"/>
    <d v="1899-12-31T09:28:00"/>
    <d v="1899-12-31T09:28:00"/>
    <m/>
    <s v="POSITION7"/>
    <x v="1"/>
    <s v="STORE35"/>
  </r>
  <r>
    <n v="201250"/>
    <s v="People1001"/>
    <s v="department"/>
    <s v="REGION4"/>
    <s v="STORE336"/>
    <s v="MANAGER118"/>
    <s v="POSITIVO"/>
    <d v="1899-12-30T15:24:00"/>
    <m/>
    <d v="1899-12-30T15:24:00"/>
    <s v="POSITION6"/>
    <x v="3"/>
    <s v="STORE336"/>
  </r>
  <r>
    <n v="201264"/>
    <s v="People1002"/>
    <s v="department"/>
    <s v="REGION7"/>
    <s v="STORE106"/>
    <s v="MANAGER48"/>
    <s v="POSITIVO"/>
    <d v="1899-12-30T01:03:00"/>
    <m/>
    <d v="1899-12-30T01:03:00"/>
    <s v="POSITION1"/>
    <x v="6"/>
    <s v="STORE106"/>
  </r>
  <r>
    <n v="201272"/>
    <s v="People1003"/>
    <s v="department"/>
    <s v="REGION6"/>
    <s v="STORE217"/>
    <s v="MANAGER100"/>
    <s v="POSITIVO"/>
    <d v="1899-12-31T17:49:00"/>
    <m/>
    <d v="1899-12-31T17:49:00"/>
    <s v="POSITION1"/>
    <x v="5"/>
    <s v="STORE217"/>
  </r>
  <r>
    <n v="201280"/>
    <s v="People1004"/>
    <s v="department"/>
    <s v="REGION4"/>
    <s v="STORE336"/>
    <s v="MANAGER118"/>
    <s v="POSITIVO"/>
    <d v="1899-12-30T07:21:00"/>
    <m/>
    <d v="1899-12-30T07:21:00"/>
    <s v="POSITION6"/>
    <x v="3"/>
    <s v="STORE336"/>
  </r>
  <r>
    <n v="201282"/>
    <s v="People1005"/>
    <s v="department"/>
    <s v="REGION7"/>
    <s v="STORE106"/>
    <s v="MANAGER48"/>
    <s v="POSITIVO"/>
    <d v="1899-12-30T08:25:00"/>
    <m/>
    <d v="1899-12-30T08:25:00"/>
    <s v="POSITION1"/>
    <x v="6"/>
    <s v="STORE106"/>
  </r>
  <r>
    <n v="201292"/>
    <s v="People1006"/>
    <s v="department"/>
    <s v="REGION9"/>
    <s v="STORE168"/>
    <s v="MANAGER92"/>
    <s v="NEGATIVO"/>
    <d v="1899-12-30T06:39:00"/>
    <d v="1899-12-30T06:39:00"/>
    <m/>
    <s v="POSITION1"/>
    <x v="8"/>
    <s v="STORE168"/>
  </r>
  <r>
    <n v="201347"/>
    <s v="People1007"/>
    <s v="department"/>
    <s v="REGION2"/>
    <s v="STORE33"/>
    <s v="MANAGER21"/>
    <s v="POSITIVO"/>
    <d v="1899-12-30T05:35:00"/>
    <m/>
    <d v="1899-12-30T05:35:00"/>
    <s v="POSITION6"/>
    <x v="1"/>
    <s v="STORE33"/>
  </r>
  <r>
    <n v="201377"/>
    <s v="People1008"/>
    <s v="department"/>
    <s v="REGION2"/>
    <s v="STORE239"/>
    <s v="MANAGER21"/>
    <s v="NEGATIVO"/>
    <d v="1900-01-09T20:48:00"/>
    <d v="1900-01-09T20:48:00"/>
    <m/>
    <s v="POSITION1"/>
    <x v="1"/>
    <s v="STORE239"/>
  </r>
  <r>
    <n v="201397"/>
    <s v="People1009"/>
    <s v="department"/>
    <s v="REGION5"/>
    <s v="STORE47"/>
    <s v="MANAGER32"/>
    <s v="NEGATIVO"/>
    <d v="1900-01-08T07:49:00"/>
    <d v="1900-01-08T07:49:00"/>
    <m/>
    <s v="POSITION6"/>
    <x v="4"/>
    <s v="STORE47"/>
  </r>
  <r>
    <n v="201416"/>
    <s v="People1010"/>
    <s v="department"/>
    <s v="REGION9"/>
    <s v="STORE93"/>
    <s v="MANAGER63"/>
    <s v="NEGATIVO"/>
    <d v="1900-01-03T00:45:00"/>
    <d v="1900-01-03T00:45:00"/>
    <m/>
    <s v="POSITION5"/>
    <x v="8"/>
    <s v="STORE93"/>
  </r>
  <r>
    <n v="201441"/>
    <s v="People1011"/>
    <s v="department"/>
    <s v="REGION8"/>
    <s v="STORE375"/>
    <s v="MANAGER103"/>
    <s v="NEGATIVO"/>
    <d v="1900-01-05T01:27:00"/>
    <d v="1900-01-05T01:27:00"/>
    <m/>
    <s v="POSITION6"/>
    <x v="7"/>
    <s v="STORE375"/>
  </r>
  <r>
    <n v="201457"/>
    <s v="People1012"/>
    <s v="department"/>
    <s v="REGION2"/>
    <s v="STORE26"/>
    <s v="MANAGER15"/>
    <s v="NEGATIVO"/>
    <d v="1899-12-31T00:26:00"/>
    <d v="1899-12-31T00:26:00"/>
    <m/>
    <s v="POSITION6"/>
    <x v="1"/>
    <s v="STORE26"/>
  </r>
  <r>
    <n v="201469"/>
    <s v="People1013"/>
    <s v="department"/>
    <s v="REGION5"/>
    <s v="STORE376"/>
    <s v="MANAGER110"/>
    <s v="POSITIVO"/>
    <d v="1899-12-30T11:15:00"/>
    <m/>
    <d v="1899-12-30T11:15:00"/>
    <s v="POSITION6"/>
    <x v="4"/>
    <s v="STORE376"/>
  </r>
  <r>
    <n v="201474"/>
    <s v="People1014"/>
    <s v="department"/>
    <s v="REGION2"/>
    <s v="STORE239"/>
    <s v="MANAGER21"/>
    <s v="NEGATIVO"/>
    <d v="1899-12-30T19:25:00"/>
    <d v="1899-12-30T19:25:00"/>
    <m/>
    <s v="POSITION1"/>
    <x v="1"/>
    <s v="STORE239"/>
  </r>
  <r>
    <n v="201556"/>
    <s v="People1015"/>
    <s v="department"/>
    <s v="REGION3"/>
    <s v="STORE286"/>
    <s v="MANAGER94"/>
    <s v="NEGATIVO"/>
    <d v="1899-12-30T08:14:00"/>
    <d v="1899-12-30T08:14:00"/>
    <m/>
    <s v="POSITION6"/>
    <x v="2"/>
    <s v="STORE286"/>
  </r>
  <r>
    <n v="201568"/>
    <s v="People1016"/>
    <s v="department"/>
    <s v="REGION6"/>
    <s v="STORE184"/>
    <s v="MANAGER87"/>
    <s v="NEGATIVO"/>
    <d v="1900-01-02T13:56:00"/>
    <d v="1900-01-02T13:56:00"/>
    <m/>
    <s v="POSITION1"/>
    <x v="5"/>
    <s v="STORE184"/>
  </r>
  <r>
    <n v="201614"/>
    <s v="People1017"/>
    <s v="department"/>
    <s v="REGION2"/>
    <s v="STORE64"/>
    <s v="MANAGER41"/>
    <s v="NEGATIVO"/>
    <d v="1899-12-30T04:00:00"/>
    <d v="1899-12-30T04:00:00"/>
    <m/>
    <s v="POSITION6"/>
    <x v="1"/>
    <s v="STORE64"/>
  </r>
  <r>
    <n v="201688"/>
    <s v="People1018"/>
    <s v="department"/>
    <s v="REGION2"/>
    <s v="STORE26"/>
    <s v="MANAGER15"/>
    <s v="NEGATIVO"/>
    <d v="1899-12-30T07:39:00"/>
    <d v="1899-12-30T07:39:00"/>
    <m/>
    <s v="POSITION5"/>
    <x v="1"/>
    <s v="STORE26"/>
  </r>
  <r>
    <n v="201691"/>
    <s v="People1019"/>
    <s v="department"/>
    <s v="REGION5"/>
    <s v="STORE162"/>
    <s v="MANAGER89"/>
    <s v="NEGATIVO"/>
    <d v="1900-01-01T06:56:00"/>
    <d v="1900-01-01T06:56:00"/>
    <m/>
    <s v="POSITION1"/>
    <x v="4"/>
    <s v="STORE162"/>
  </r>
  <r>
    <n v="201712"/>
    <s v="People1020"/>
    <s v="department"/>
    <s v="REGION5"/>
    <s v="STORE229"/>
    <s v="MANAGER110"/>
    <s v="POSITIVO"/>
    <d v="1899-12-30T19:55:00"/>
    <m/>
    <d v="1899-12-30T19:55:00"/>
    <s v="POSITION1"/>
    <x v="4"/>
    <s v="STORE229"/>
  </r>
  <r>
    <n v="201734"/>
    <s v="People1021"/>
    <s v="department"/>
    <s v="REGION1"/>
    <s v="STORE60"/>
    <s v="MANAGER39"/>
    <s v="NEGATIVO"/>
    <d v="1900-01-16T02:00:00"/>
    <d v="1900-01-16T02:00:00"/>
    <m/>
    <s v="POSITION5"/>
    <x v="0"/>
    <s v="STORE60"/>
  </r>
  <r>
    <n v="201736"/>
    <s v="People1022"/>
    <s v="department"/>
    <s v="REGION6"/>
    <s v="STORE200"/>
    <s v="MANAGER100"/>
    <s v="POSITIVO"/>
    <d v="1899-12-31T04:42:00"/>
    <m/>
    <d v="1899-12-31T04:42:00"/>
    <s v="POSITION6"/>
    <x v="5"/>
    <s v="STORE200"/>
  </r>
  <r>
    <n v="201755"/>
    <s v="People1023"/>
    <s v="department"/>
    <s v="REGION7"/>
    <s v="STORE140"/>
    <s v="MANAGER58"/>
    <s v="POSITIVO"/>
    <d v="1899-12-30T02:48:00"/>
    <m/>
    <d v="1899-12-30T02:48:00"/>
    <s v="POSITION1"/>
    <x v="6"/>
    <s v="STORE140"/>
  </r>
  <r>
    <n v="201779"/>
    <s v="People1024"/>
    <s v="department"/>
    <s v="REGION3"/>
    <s v="STORE155"/>
    <s v="MANAGER86"/>
    <s v="POSITIVO"/>
    <d v="1899-12-30T03:18:00"/>
    <m/>
    <d v="1899-12-30T03:18:00"/>
    <s v="POSITION5"/>
    <x v="2"/>
    <s v="STORE155"/>
  </r>
  <r>
    <n v="201783"/>
    <s v="People1025"/>
    <s v="department"/>
    <s v="REGION5"/>
    <s v="STORE52"/>
    <s v="MANAGER35"/>
    <s v="NEGATIVO"/>
    <d v="1900-01-04T01:59:00"/>
    <d v="1900-01-04T01:59:00"/>
    <m/>
    <s v="POSITION5"/>
    <x v="4"/>
    <s v="STORE52"/>
  </r>
  <r>
    <n v="201809"/>
    <s v="People1026"/>
    <s v="department"/>
    <s v="REGION9"/>
    <s v="STORE131"/>
    <s v="MANAGER79"/>
    <s v="POSITIVO"/>
    <d v="1899-12-30T14:59:00"/>
    <m/>
    <d v="1899-12-30T14:59:00"/>
    <s v="POSITION1"/>
    <x v="8"/>
    <s v="STORE131"/>
  </r>
  <r>
    <n v="201815"/>
    <s v="People1027"/>
    <s v="department"/>
    <s v="REGION5"/>
    <s v="STORE121"/>
    <s v="MANAGER24"/>
    <s v="NEGATIVO"/>
    <d v="1900-01-03T17:34:00"/>
    <d v="1900-01-03T17:34:00"/>
    <m/>
    <s v="POSITION1"/>
    <x v="4"/>
    <s v="STORE121"/>
  </r>
  <r>
    <n v="201821"/>
    <s v="People1028"/>
    <s v="department"/>
    <s v="REGION2"/>
    <s v="STORE223"/>
    <s v="MANAGER107"/>
    <s v="NEGATIVO"/>
    <d v="1899-12-30T12:46:00"/>
    <d v="1899-12-30T12:46:00"/>
    <m/>
    <s v="POSITION1"/>
    <x v="1"/>
    <s v="STORE223"/>
  </r>
  <r>
    <n v="201853"/>
    <s v="People1029"/>
    <s v="department"/>
    <s v="REGION2"/>
    <s v="STORE240"/>
    <s v="MANAGER15"/>
    <s v="POSITIVO"/>
    <d v="1899-12-30T00:11:00"/>
    <m/>
    <d v="1899-12-30T00:11:00"/>
    <s v="POSITION1"/>
    <x v="1"/>
    <s v="STORE240"/>
  </r>
  <r>
    <n v="201857"/>
    <s v="People1030"/>
    <s v="department"/>
    <s v="REGION2"/>
    <s v="STORE34"/>
    <s v="MANAGER22"/>
    <s v="POSITIVO"/>
    <d v="1899-12-30T14:26:00"/>
    <m/>
    <d v="1899-12-30T14:26:00"/>
    <s v="POSITION6"/>
    <x v="1"/>
    <s v="STORE34"/>
  </r>
  <r>
    <n v="201872"/>
    <s v="People1031"/>
    <s v="department"/>
    <s v="REGION5"/>
    <s v="STORE376"/>
    <s v="MANAGER110"/>
    <s v="NEGATIVO"/>
    <d v="1899-12-30T01:52:00"/>
    <d v="1899-12-30T01:52:00"/>
    <m/>
    <s v="POSITION6"/>
    <x v="4"/>
    <s v="STORE376"/>
  </r>
  <r>
    <n v="201873"/>
    <s v="People1032"/>
    <s v="department"/>
    <s v="REGION3"/>
    <s v="STORE91"/>
    <s v="MANAGER61"/>
    <s v="NEGATIVO"/>
    <d v="1899-12-30T14:40:00"/>
    <d v="1899-12-30T14:40:00"/>
    <m/>
    <s v="POSITION6"/>
    <x v="2"/>
    <s v="STORE91"/>
  </r>
  <r>
    <n v="201881"/>
    <s v="People1033"/>
    <s v="department"/>
    <s v="REGION6"/>
    <s v="STORE291"/>
    <s v="MANAGER60"/>
    <s v="NEGATIVO"/>
    <d v="1899-12-30T22:57:00"/>
    <d v="1899-12-30T22:57:00"/>
    <m/>
    <s v="POSITION5"/>
    <x v="5"/>
    <s v="STORE291"/>
  </r>
  <r>
    <n v="201900"/>
    <s v="People1034"/>
    <s v="department"/>
    <s v="REGION5"/>
    <s v="STORE376"/>
    <s v="MANAGER110"/>
    <s v="NEGATIVO"/>
    <d v="1900-01-02T20:27:00"/>
    <d v="1900-01-02T20:27:00"/>
    <m/>
    <s v="POSITION5"/>
    <x v="4"/>
    <s v="STORE376"/>
  </r>
  <r>
    <n v="201985"/>
    <s v="People1035"/>
    <s v="department"/>
    <s v="REGION2"/>
    <s v="STORE33"/>
    <s v="MANAGER21"/>
    <s v="NEGATIVO"/>
    <d v="1900-01-01T00:33:00"/>
    <d v="1900-01-01T00:33:00"/>
    <m/>
    <s v="POSITION6"/>
    <x v="1"/>
    <s v="STORE33"/>
  </r>
  <r>
    <n v="201996"/>
    <s v="People1036"/>
    <s v="department"/>
    <s v="REGION2"/>
    <s v="STORE239"/>
    <s v="MANAGER21"/>
    <s v="POSITIVO"/>
    <d v="1900-01-02T12:43:00"/>
    <m/>
    <d v="1900-01-02T12:43:00"/>
    <s v="POSITION1"/>
    <x v="1"/>
    <s v="STORE239"/>
  </r>
  <r>
    <n v="202049"/>
    <s v="People1037"/>
    <s v="department"/>
    <s v="REGION3"/>
    <s v="STORE202"/>
    <s v="MANAGER102"/>
    <s v="NEGATIVO"/>
    <d v="1900-01-16T18:58:00"/>
    <d v="1900-01-16T18:58:00"/>
    <m/>
    <s v="POSITION6"/>
    <x v="2"/>
    <s v="STORE202"/>
  </r>
  <r>
    <n v="202070"/>
    <s v="People1038"/>
    <s v="department"/>
    <s v="REGION6"/>
    <s v="STORE86"/>
    <s v="MANAGER57"/>
    <s v="NEGATIVO"/>
    <d v="1899-12-30T05:35:00"/>
    <d v="1899-12-30T05:35:00"/>
    <m/>
    <s v="POSITION5"/>
    <x v="5"/>
    <s v="STORE86"/>
  </r>
  <r>
    <n v="202075"/>
    <s v="People1039"/>
    <s v="department"/>
    <s v="REGION6"/>
    <s v="STORE208"/>
    <s v="MANAGER57"/>
    <s v="NEGATIVO"/>
    <d v="1899-12-30T01:50:00"/>
    <d v="1899-12-30T01:50:00"/>
    <m/>
    <s v="POSITION1"/>
    <x v="5"/>
    <s v="STORE208"/>
  </r>
  <r>
    <n v="202078"/>
    <s v="People1040"/>
    <s v="department"/>
    <s v="REGION4"/>
    <s v="STORE124"/>
    <s v="MANAGER43"/>
    <s v="POSITIVO"/>
    <d v="1899-12-30T08:10:00"/>
    <m/>
    <d v="1899-12-30T08:10:00"/>
    <s v="POSITION1"/>
    <x v="3"/>
    <s v="STORE124"/>
  </r>
  <r>
    <n v="202098"/>
    <s v="People1041"/>
    <s v="department"/>
    <s v="REGION2"/>
    <s v="STORE206"/>
    <s v="MANAGER101"/>
    <s v="POSITIVO"/>
    <d v="1899-12-31T14:12:00"/>
    <m/>
    <d v="1899-12-31T14:12:00"/>
    <s v="POSITION1"/>
    <x v="1"/>
    <s v="STORE206"/>
  </r>
  <r>
    <n v="202149"/>
    <s v="People1042"/>
    <s v="department"/>
    <s v="REGION3"/>
    <s v="STORE91"/>
    <s v="MANAGER61"/>
    <s v="NEGATIVO"/>
    <d v="1899-12-30T18:30:00"/>
    <d v="1899-12-30T18:30:00"/>
    <m/>
    <s v="POSITION5"/>
    <x v="2"/>
    <s v="STORE91"/>
  </r>
  <r>
    <n v="202185"/>
    <s v="People1043"/>
    <s v="department"/>
    <s v="REGION7"/>
    <s v="STORE106"/>
    <s v="MANAGER48"/>
    <s v="POSITIVO"/>
    <d v="1899-12-30T10:01:00"/>
    <m/>
    <d v="1899-12-30T10:01:00"/>
    <s v="POSITION1"/>
    <x v="6"/>
    <s v="STORE106"/>
  </r>
  <r>
    <n v="202223"/>
    <s v="People1044"/>
    <s v="department"/>
    <s v="REGION7"/>
    <s v="STORE303"/>
    <s v="MANAGER83"/>
    <s v="POSITIVO"/>
    <d v="1899-12-30T00:10:00"/>
    <m/>
    <d v="1899-12-30T00:10:00"/>
    <s v="POSITION5"/>
    <x v="6"/>
    <s v="STORE303"/>
  </r>
  <r>
    <n v="202228"/>
    <s v="People1045"/>
    <s v="department"/>
    <s v="REGION2"/>
    <s v="STORE100"/>
    <s v="MANAGER67"/>
    <s v="POSITIVO"/>
    <d v="1899-12-30T00:57:00"/>
    <m/>
    <d v="1899-12-30T00:57:00"/>
    <s v="POSITION11"/>
    <x v="1"/>
    <s v="STORE100"/>
  </r>
  <r>
    <n v="202296"/>
    <s v="People1046"/>
    <s v="department"/>
    <s v="REGION1"/>
    <s v="STORE75"/>
    <s v="MANAGER50"/>
    <s v="NEGATIVO"/>
    <d v="1900-01-15T03:12:00"/>
    <d v="1900-01-15T03:12:00"/>
    <m/>
    <s v="POSITION5"/>
    <x v="0"/>
    <s v="STORE75"/>
  </r>
  <r>
    <n v="202364"/>
    <s v="People1047"/>
    <s v="department"/>
    <s v="REGION5"/>
    <s v="STORE36"/>
    <s v="MANAGER24"/>
    <s v="NEGATIVO"/>
    <d v="1900-01-10T14:56:00"/>
    <d v="1900-01-10T14:56:00"/>
    <m/>
    <s v="POSITION6"/>
    <x v="4"/>
    <s v="STORE36"/>
  </r>
  <r>
    <n v="202375"/>
    <s v="People1048"/>
    <s v="department"/>
    <s v="REGION5"/>
    <s v="STORE36"/>
    <s v="MANAGER24"/>
    <s v="NEGATIVO"/>
    <d v="1899-12-30T03:56:00"/>
    <d v="1899-12-30T03:56:00"/>
    <m/>
    <s v="POSITION5"/>
    <x v="4"/>
    <s v="STORE36"/>
  </r>
  <r>
    <n v="202385"/>
    <s v="People1049"/>
    <s v="department"/>
    <s v="REGION4"/>
    <s v="STORE42"/>
    <s v="MANAGER29"/>
    <s v="POSITIVO"/>
    <d v="1899-12-30T02:53:00"/>
    <m/>
    <d v="1899-12-30T02:53:00"/>
    <s v="POSITION6"/>
    <x v="3"/>
    <s v="STORE42"/>
  </r>
  <r>
    <n v="202398"/>
    <s v="People1050"/>
    <s v="department"/>
    <s v="REGION7"/>
    <s v="STORE87"/>
    <s v="MANAGER58"/>
    <s v="POSITIVO"/>
    <d v="1899-12-30T00:04:00"/>
    <m/>
    <d v="1899-12-30T00:04:00"/>
    <s v="POSITION5"/>
    <x v="6"/>
    <s v="STORE87"/>
  </r>
  <r>
    <n v="202399"/>
    <s v="People1051"/>
    <s v="department"/>
    <s v="REGION3"/>
    <s v="STORE22"/>
    <s v="MANAGER12"/>
    <s v="POSITIVO"/>
    <d v="1900-01-05T14:24:00"/>
    <m/>
    <d v="1900-01-05T14:24:00"/>
    <s v="POSITION5"/>
    <x v="2"/>
    <s v="STORE22"/>
  </r>
  <r>
    <n v="202582"/>
    <s v="People1052"/>
    <s v="department"/>
    <s v="REGION7"/>
    <s v="STORE303"/>
    <s v="MANAGER83"/>
    <s v="POSITIVO"/>
    <d v="1899-12-30T01:54:00"/>
    <m/>
    <d v="1899-12-30T01:54:00"/>
    <s v="POSITION6"/>
    <x v="6"/>
    <s v="STORE303"/>
  </r>
  <r>
    <n v="202631"/>
    <s v="People1053"/>
    <s v="department"/>
    <s v="REGION5"/>
    <s v="STORE175"/>
    <s v="MANAGER30"/>
    <s v="POSITIVO"/>
    <d v="1899-12-30T03:19:00"/>
    <m/>
    <d v="1899-12-30T03:19:00"/>
    <s v="POSITION1"/>
    <x v="4"/>
    <s v="STORE175"/>
  </r>
  <r>
    <n v="202644"/>
    <s v="People1054"/>
    <s v="department"/>
    <s v="REGION4"/>
    <s v="STORE124"/>
    <s v="MANAGER43"/>
    <s v="POSITIVO"/>
    <d v="1899-12-30T03:58:00"/>
    <m/>
    <d v="1899-12-30T03:58:00"/>
    <s v="POSITION1"/>
    <x v="3"/>
    <s v="STORE124"/>
  </r>
  <r>
    <n v="202664"/>
    <s v="People1055"/>
    <s v="department"/>
    <s v="REGION3"/>
    <s v="STORE273"/>
    <s v="MANAGER44"/>
    <s v="NEGATIVO"/>
    <d v="1899-12-31T01:00:00"/>
    <d v="1899-12-31T01:00:00"/>
    <m/>
    <s v="POSITION1"/>
    <x v="2"/>
    <s v="STORE273"/>
  </r>
  <r>
    <n v="202699"/>
    <s v="People1056"/>
    <s v="department"/>
    <s v="REGION5"/>
    <s v="STORE128"/>
    <s v="MANAGER77"/>
    <s v="NEGATIVO"/>
    <d v="1900-01-06T22:24:00"/>
    <d v="1900-01-06T22:24:00"/>
    <m/>
    <s v="POSITION1"/>
    <x v="4"/>
    <s v="STORE128"/>
  </r>
  <r>
    <n v="202701"/>
    <s v="People1057"/>
    <s v="department"/>
    <s v="REGION2"/>
    <s v="STORE104"/>
    <s v="MANAGER67"/>
    <s v="POSITIVO"/>
    <d v="1899-12-30T11:26:00"/>
    <m/>
    <d v="1899-12-30T11:26:00"/>
    <s v="POSITION1"/>
    <x v="1"/>
    <s v="STORE104"/>
  </r>
  <r>
    <n v="202727"/>
    <s v="People1058"/>
    <s v="department"/>
    <s v="REGION1"/>
    <s v="STORE60"/>
    <s v="MANAGER39"/>
    <s v="POSITIVO"/>
    <d v="1899-12-30T16:36:00"/>
    <m/>
    <d v="1899-12-30T16:36:00"/>
    <s v="POSITION6"/>
    <x v="0"/>
    <s v="STORE60"/>
  </r>
  <r>
    <n v="202742"/>
    <s v="People1059"/>
    <s v="department"/>
    <s v="REGION8"/>
    <s v="STORE203"/>
    <s v="MANAGER103"/>
    <s v="NEGATIVO"/>
    <d v="1900-01-06T17:12:00"/>
    <d v="1900-01-06T17:12:00"/>
    <m/>
    <s v="POSITION1"/>
    <x v="7"/>
    <s v="STORE203"/>
  </r>
  <r>
    <n v="202746"/>
    <s v="People1060"/>
    <s v="department"/>
    <s v="REGION6"/>
    <s v="STORE90"/>
    <s v="MANAGER60"/>
    <s v="POSITIVO"/>
    <d v="1900-01-01T15:49:00"/>
    <m/>
    <d v="1900-01-01T15:49:00"/>
    <s v="POSITION1"/>
    <x v="5"/>
    <s v="STORE90"/>
  </r>
  <r>
    <n v="202770"/>
    <s v="People1061"/>
    <s v="department"/>
    <s v="REGION6"/>
    <s v="STORE200"/>
    <s v="MANAGER100"/>
    <s v="POSITIVO"/>
    <d v="1899-12-30T17:50:00"/>
    <m/>
    <d v="1899-12-30T17:50:00"/>
    <s v="POSITION6"/>
    <x v="5"/>
    <s v="STORE200"/>
  </r>
  <r>
    <n v="202805"/>
    <s v="People1062"/>
    <s v="department"/>
    <s v="REGION7"/>
    <s v="STORE262"/>
    <s v="MANAGER64"/>
    <s v="NEGATIVO"/>
    <d v="1900-01-14T07:11:00"/>
    <d v="1900-01-14T07:11:00"/>
    <m/>
    <s v="POSITION1"/>
    <x v="6"/>
    <s v="STORE262"/>
  </r>
  <r>
    <n v="202808"/>
    <s v="People1063"/>
    <s v="department"/>
    <s v="REGION7"/>
    <s v="STORE140"/>
    <s v="MANAGER58"/>
    <s v="POSITIVO"/>
    <d v="1899-12-30T06:41:00"/>
    <m/>
    <d v="1899-12-30T06:41:00"/>
    <s v="POSITION1"/>
    <x v="6"/>
    <s v="STORE140"/>
  </r>
  <r>
    <n v="202825"/>
    <s v="People1064"/>
    <s v="department"/>
    <s v="REGION8"/>
    <s v="STORE51"/>
    <s v="MANAGER34"/>
    <s v="POSITIVO"/>
    <d v="1899-12-30T04:18:00"/>
    <m/>
    <d v="1899-12-30T04:18:00"/>
    <s v="POSITION5"/>
    <x v="7"/>
    <s v="STORE51"/>
  </r>
  <r>
    <n v="202844"/>
    <s v="People1065"/>
    <s v="department"/>
    <s v="REGION6"/>
    <s v="STORE48"/>
    <s v="MANAGER33"/>
    <s v="NEGATIVO"/>
    <d v="1900-01-02T13:51:00"/>
    <d v="1900-01-02T13:51:00"/>
    <m/>
    <s v="POSITION5"/>
    <x v="5"/>
    <s v="STORE48"/>
  </r>
  <r>
    <n v="202863"/>
    <s v="People1066"/>
    <s v="department"/>
    <s v="REGION2"/>
    <s v="STORE138"/>
    <s v="MANAGER23"/>
    <s v="NEGATIVO"/>
    <d v="1899-12-30T20:24:00"/>
    <d v="1899-12-30T20:24:00"/>
    <m/>
    <s v="POSITION1"/>
    <x v="1"/>
    <s v="STORE138"/>
  </r>
  <r>
    <n v="202865"/>
    <s v="People1067"/>
    <s v="department"/>
    <s v="REGION7"/>
    <s v="STORE129"/>
    <s v="MANAGER55"/>
    <s v="POSITIVO"/>
    <d v="1899-12-31T15:22:00"/>
    <m/>
    <d v="1899-12-31T15:22:00"/>
    <s v="POSITION1"/>
    <x v="6"/>
    <s v="STORE129"/>
  </r>
  <r>
    <n v="202882"/>
    <s v="People1068"/>
    <s v="department"/>
    <s v="REGION5"/>
    <s v="STORE194"/>
    <s v="MANAGER89"/>
    <s v="NEGATIVO"/>
    <d v="1900-01-07T16:48:00"/>
    <d v="1900-01-07T16:48:00"/>
    <m/>
    <s v="POSITION6"/>
    <x v="4"/>
    <s v="STORE194"/>
  </r>
  <r>
    <n v="202909"/>
    <s v="People1069"/>
    <s v="department"/>
    <s v="REGION7"/>
    <s v="STORE81"/>
    <s v="MANAGER54"/>
    <s v="POSITIVO"/>
    <d v="1899-12-30T08:20:00"/>
    <m/>
    <d v="1899-12-30T08:20:00"/>
    <s v="POSITION6"/>
    <x v="6"/>
    <s v="STORE81"/>
  </r>
  <r>
    <n v="202916"/>
    <s v="People1070"/>
    <s v="department"/>
    <s v="REGION7"/>
    <s v="STORE140"/>
    <s v="MANAGER58"/>
    <s v="POSITIVO"/>
    <d v="1899-12-30T09:57:00"/>
    <m/>
    <d v="1899-12-30T09:57:00"/>
    <s v="POSITION1"/>
    <x v="6"/>
    <s v="STORE140"/>
  </r>
  <r>
    <n v="202925"/>
    <s v="People1071"/>
    <s v="department"/>
    <s v="REGION9"/>
    <s v="STORE268"/>
    <s v="MANAGER98"/>
    <s v="NEGATIVO"/>
    <d v="1900-01-31T06:24:00"/>
    <d v="1900-01-31T06:24:00"/>
    <m/>
    <s v="POSITION6"/>
    <x v="8"/>
    <s v="STORE268"/>
  </r>
  <r>
    <n v="202938"/>
    <s v="People1072"/>
    <s v="department"/>
    <s v="REGION2"/>
    <s v="STORE39"/>
    <s v="MANAGER27"/>
    <s v="NEGATIVO"/>
    <d v="1900-01-08T08:40:00"/>
    <d v="1900-01-08T08:40:00"/>
    <m/>
    <s v="POSITION6"/>
    <x v="1"/>
    <s v="STORE39"/>
  </r>
  <r>
    <n v="202952"/>
    <s v="People1073"/>
    <s v="department"/>
    <s v="REGION2"/>
    <s v="STORE178"/>
    <s v="MANAGER27"/>
    <s v="NEGATIVO"/>
    <d v="1899-12-31T14:00:00"/>
    <d v="1899-12-31T14:00:00"/>
    <m/>
    <s v="POSITION1"/>
    <x v="1"/>
    <s v="STORE178"/>
  </r>
  <r>
    <n v="202977"/>
    <s v="People1074"/>
    <s v="department"/>
    <s v="REGION3"/>
    <s v="STORE110"/>
    <s v="MANAGER51"/>
    <s v="POSITIVO"/>
    <d v="1899-12-30T13:27:00"/>
    <m/>
    <d v="1899-12-30T13:27:00"/>
    <s v="POSITION1"/>
    <x v="2"/>
    <s v="STORE110"/>
  </r>
  <r>
    <n v="203000"/>
    <s v="People1075"/>
    <s v="department"/>
    <s v="REGION3"/>
    <s v="STORE273"/>
    <s v="MANAGER44"/>
    <s v="POSITIVO"/>
    <d v="1899-12-30T01:18:00"/>
    <m/>
    <d v="1899-12-30T01:18:00"/>
    <s v="POSITION1"/>
    <x v="2"/>
    <s v="STORE273"/>
  </r>
  <r>
    <n v="203017"/>
    <s v="People1076"/>
    <s v="department"/>
    <s v="REGION2"/>
    <s v="STORE178"/>
    <s v="MANAGER27"/>
    <s v="NEGATIVO"/>
    <d v="1899-12-30T02:33:00"/>
    <d v="1899-12-30T02:33:00"/>
    <m/>
    <s v="POSITION1"/>
    <x v="1"/>
    <s v="STORE178"/>
  </r>
  <r>
    <n v="203026"/>
    <s v="People1077"/>
    <s v="department"/>
    <s v="REGION3"/>
    <s v="STORE136"/>
    <s v="MANAGER82"/>
    <s v="NEGATIVO"/>
    <d v="1899-12-30T05:05:00"/>
    <d v="1899-12-30T05:05:00"/>
    <m/>
    <s v="POSITION1"/>
    <x v="2"/>
    <s v="STORE136"/>
  </r>
  <r>
    <n v="203054"/>
    <s v="People1078"/>
    <s v="department"/>
    <s v="REGION7"/>
    <s v="STORE222"/>
    <s v="MANAGER59"/>
    <s v="NEGATIVO"/>
    <d v="1899-12-30T02:28:00"/>
    <d v="1899-12-30T02:28:00"/>
    <m/>
    <s v="POSITION1"/>
    <x v="6"/>
    <s v="STORE222"/>
  </r>
  <r>
    <n v="203069"/>
    <s v="People1079"/>
    <s v="department"/>
    <s v="REGION2"/>
    <s v="STORE295"/>
    <s v="MANAGER65"/>
    <s v="POSITIVO"/>
    <d v="1899-12-30T08:18:00"/>
    <m/>
    <d v="1899-12-30T08:18:00"/>
    <s v="POSITION1"/>
    <x v="1"/>
    <s v="STORE295"/>
  </r>
  <r>
    <n v="203075"/>
    <s v="People1080"/>
    <s v="department"/>
    <s v="REGION3"/>
    <s v="STORE110"/>
    <s v="MANAGER51"/>
    <s v="NEGATIVO"/>
    <d v="1899-12-30T01:22:00"/>
    <d v="1899-12-30T01:22:00"/>
    <m/>
    <s v="POSITION1"/>
    <x v="2"/>
    <s v="STORE110"/>
  </r>
  <r>
    <n v="203078"/>
    <s v="People1081"/>
    <s v="department"/>
    <s v="REGION4"/>
    <s v="STORE145"/>
    <s v="MANAGER29"/>
    <s v="NEGATIVO"/>
    <d v="1900-01-01T22:37:00"/>
    <d v="1900-01-01T22:37:00"/>
    <m/>
    <s v="POSITION1"/>
    <x v="3"/>
    <s v="STORE145"/>
  </r>
  <r>
    <n v="203107"/>
    <s v="People1082"/>
    <s v="department"/>
    <s v="REGION7"/>
    <s v="STORE222"/>
    <s v="MANAGER59"/>
    <s v="POSITIVO"/>
    <d v="1899-12-31T02:11:00"/>
    <m/>
    <d v="1899-12-31T02:11:00"/>
    <s v="POSITION1"/>
    <x v="6"/>
    <s v="STORE222"/>
  </r>
  <r>
    <n v="203111"/>
    <s v="People1083"/>
    <s v="department"/>
    <s v="REGION7"/>
    <s v="STORE222"/>
    <s v="MANAGER59"/>
    <s v="POSITIVO"/>
    <d v="1899-12-30T03:10:00"/>
    <m/>
    <d v="1899-12-30T03:10:00"/>
    <s v="POSITION1"/>
    <x v="6"/>
    <s v="STORE222"/>
  </r>
  <r>
    <n v="203114"/>
    <s v="People1084"/>
    <s v="department"/>
    <s v="REGION7"/>
    <s v="STORE140"/>
    <s v="MANAGER58"/>
    <s v="POSITIVO"/>
    <d v="1899-12-30T06:59:00"/>
    <m/>
    <d v="1899-12-30T06:59:00"/>
    <s v="POSITION1"/>
    <x v="6"/>
    <s v="STORE140"/>
  </r>
  <r>
    <n v="203137"/>
    <s v="People1085"/>
    <s v="department"/>
    <s v="REGION7"/>
    <s v="STORE262"/>
    <s v="MANAGER64"/>
    <s v="NEGATIVO"/>
    <d v="1900-01-03T04:55:00"/>
    <d v="1900-01-03T04:55:00"/>
    <m/>
    <s v="POSITION1"/>
    <x v="6"/>
    <s v="STORE262"/>
  </r>
  <r>
    <n v="203144"/>
    <s v="People1086"/>
    <s v="department"/>
    <s v="REGION4"/>
    <s v="STORE219"/>
    <s v="MANAGER13"/>
    <s v="POSITIVO"/>
    <d v="1899-12-30T23:54:00"/>
    <m/>
    <d v="1899-12-30T23:54:00"/>
    <s v="POSITION1"/>
    <x v="3"/>
    <s v="STORE219"/>
  </r>
  <r>
    <n v="203184"/>
    <s v="People1087"/>
    <s v="department"/>
    <s v="REGION3"/>
    <s v="STORE273"/>
    <s v="MANAGER44"/>
    <s v="POSITIVO"/>
    <d v="1899-12-30T17:46:00"/>
    <m/>
    <d v="1899-12-30T17:46:00"/>
    <s v="POSITION1"/>
    <x v="2"/>
    <s v="STORE273"/>
  </r>
  <r>
    <n v="203223"/>
    <s v="People1088"/>
    <s v="department"/>
    <s v="REGION5"/>
    <s v="STORE162"/>
    <s v="MANAGER89"/>
    <s v="NEGATIVO"/>
    <d v="1900-01-06T09:04:00"/>
    <d v="1900-01-06T09:04:00"/>
    <m/>
    <s v="POSITION1"/>
    <x v="4"/>
    <s v="STORE162"/>
  </r>
  <r>
    <n v="203231"/>
    <s v="People1089"/>
    <s v="department"/>
    <s v="REGION9"/>
    <s v="STORE186"/>
    <s v="MANAGER36"/>
    <s v="POSITIVO"/>
    <d v="1899-12-31T00:22:00"/>
    <m/>
    <d v="1899-12-31T00:22:00"/>
    <s v="POSITION1"/>
    <x v="8"/>
    <s v="STORE186"/>
  </r>
  <r>
    <n v="203258"/>
    <s v="People1090"/>
    <s v="department"/>
    <s v="REGION4"/>
    <s v="STORE244"/>
    <s v="MANAGER115"/>
    <s v="POSITIVO"/>
    <d v="1899-12-30T17:38:00"/>
    <m/>
    <d v="1899-12-30T17:38:00"/>
    <s v="POSITION1"/>
    <x v="3"/>
    <s v="STORE244"/>
  </r>
  <r>
    <n v="203277"/>
    <s v="People1091"/>
    <s v="department"/>
    <s v="REGION4"/>
    <s v="STORE244"/>
    <s v="MANAGER115"/>
    <s v="POSITIVO"/>
    <d v="1899-12-30T17:06:00"/>
    <m/>
    <d v="1899-12-30T17:06:00"/>
    <s v="POSITION1"/>
    <x v="3"/>
    <s v="STORE244"/>
  </r>
  <r>
    <n v="203298"/>
    <s v="People1092"/>
    <s v="department"/>
    <s v="REGION1"/>
    <s v="STORE61"/>
    <s v="MANAGER40"/>
    <s v="NEGATIVO"/>
    <d v="1899-12-30T01:17:00"/>
    <d v="1899-12-30T01:17:00"/>
    <m/>
    <s v="POSITION11"/>
    <x v="0"/>
    <s v="STORE61"/>
  </r>
  <r>
    <n v="203299"/>
    <s v="People1093"/>
    <s v="department"/>
    <s v="REGION1"/>
    <s v="STORE377"/>
    <s v="MANAGER11"/>
    <s v="POSITIVO"/>
    <d v="1899-12-30T00:19:00"/>
    <m/>
    <d v="1899-12-30T00:19:00"/>
    <s v="POSITION3"/>
    <x v="0"/>
    <s v="STORE377"/>
  </r>
  <r>
    <n v="203305"/>
    <s v="People1094"/>
    <s v="department"/>
    <s v="REGION4"/>
    <s v="STORE219"/>
    <s v="MANAGER13"/>
    <s v="POSITIVO"/>
    <d v="1899-12-31T00:30:00"/>
    <m/>
    <d v="1899-12-31T00:30:00"/>
    <s v="POSITION1"/>
    <x v="3"/>
    <s v="STORE219"/>
  </r>
  <r>
    <n v="203326"/>
    <s v="People1095"/>
    <s v="department"/>
    <s v="REGION3"/>
    <s v="STORE378"/>
    <s v="MANAGER3"/>
    <s v="POSITIVO"/>
    <d v="1899-12-30T17:52:00"/>
    <m/>
    <d v="1899-12-30T17:52:00"/>
    <s v="POSITION3"/>
    <x v="2"/>
    <s v="STORE378"/>
  </r>
  <r>
    <n v="203327"/>
    <s v="People1096"/>
    <s v="department"/>
    <s v="REGION5"/>
    <s v="STORE194"/>
    <s v="MANAGER89"/>
    <s v="NEGATIVO"/>
    <d v="1900-01-05T17:08:00"/>
    <d v="1900-01-05T17:08:00"/>
    <m/>
    <s v="POSITION7"/>
    <x v="4"/>
    <s v="STORE194"/>
  </r>
  <r>
    <n v="203332"/>
    <s v="People1097"/>
    <s v="department"/>
    <s v="REGION4"/>
    <s v="STORE219"/>
    <s v="MANAGER13"/>
    <s v="POSITIVO"/>
    <d v="1899-12-30T18:14:00"/>
    <m/>
    <d v="1899-12-30T18:14:00"/>
    <s v="POSITION1"/>
    <x v="3"/>
    <s v="STORE219"/>
  </r>
  <r>
    <n v="203334"/>
    <s v="People1098"/>
    <s v="department"/>
    <s v="REGION2"/>
    <s v="STORE252"/>
    <s v="MANAGER66"/>
    <s v="POSITIVO"/>
    <d v="1899-12-30T18:39:00"/>
    <m/>
    <d v="1899-12-30T18:39:00"/>
    <s v="POSITION1"/>
    <x v="1"/>
    <s v="STORE252"/>
  </r>
  <r>
    <n v="203339"/>
    <s v="People1099"/>
    <s v="department"/>
    <s v="REGION9"/>
    <s v="STORE379"/>
    <s v="MANAGER10"/>
    <s v="NEGATIVO"/>
    <d v="1899-12-31T09:10:00"/>
    <d v="1899-12-31T09:10:00"/>
    <m/>
    <s v="POSITION3"/>
    <x v="8"/>
    <s v="STORE379"/>
  </r>
  <r>
    <n v="203351"/>
    <s v="People1100"/>
    <s v="department"/>
    <s v="REGION8"/>
    <s v="STORE213"/>
    <s v="MANAGER37"/>
    <s v="POSITIVO"/>
    <d v="1899-12-30T08:47:00"/>
    <m/>
    <d v="1899-12-30T08:47:00"/>
    <s v="POSITION1"/>
    <x v="7"/>
    <s v="STORE213"/>
  </r>
  <r>
    <n v="203354"/>
    <s v="People1101"/>
    <s v="department"/>
    <s v="REGION2"/>
    <s v="STORE240"/>
    <s v="MANAGER15"/>
    <s v="NEGATIVO"/>
    <d v="1899-12-30T12:38:00"/>
    <d v="1899-12-30T12:38:00"/>
    <m/>
    <s v="POSITION1"/>
    <x v="1"/>
    <s v="STORE240"/>
  </r>
  <r>
    <n v="203377"/>
    <s v="People1102"/>
    <s v="department"/>
    <s v="REGION3"/>
    <s v="STORE196"/>
    <s v="MANAGER61"/>
    <s v="POSITIVO"/>
    <d v="1899-12-30T20:55:00"/>
    <m/>
    <d v="1899-12-30T20:55:00"/>
    <s v="POSITION1"/>
    <x v="2"/>
    <s v="STORE196"/>
  </r>
  <r>
    <n v="203385"/>
    <s v="People1103"/>
    <s v="department"/>
    <s v="REGION4"/>
    <s v="STORE219"/>
    <s v="MANAGER13"/>
    <s v="POSITIVO"/>
    <d v="1899-12-30T17:28:00"/>
    <m/>
    <d v="1899-12-30T17:28:00"/>
    <s v="POSITION1"/>
    <x v="3"/>
    <s v="STORE219"/>
  </r>
  <r>
    <n v="203398"/>
    <s v="People1104"/>
    <s v="department"/>
    <s v="REGION7"/>
    <s v="STORE367"/>
    <s v="MANAGER8"/>
    <s v="NEGATIVO"/>
    <d v="1899-12-30T08:50:00"/>
    <d v="1899-12-30T08:50:00"/>
    <m/>
    <s v="POSITION7"/>
    <x v="6"/>
    <s v="STORE367"/>
  </r>
  <r>
    <n v="203405"/>
    <s v="People1105"/>
    <s v="department"/>
    <s v="REGION2"/>
    <s v="STORE138"/>
    <s v="MANAGER23"/>
    <s v="NEGATIVO"/>
    <d v="1899-12-31T10:52:00"/>
    <d v="1899-12-31T10:52:00"/>
    <m/>
    <s v="POSITION1"/>
    <x v="1"/>
    <s v="STORE138"/>
  </r>
  <r>
    <n v="203406"/>
    <s v="People1106"/>
    <s v="department"/>
    <s v="REGION7"/>
    <s v="STORE113"/>
    <s v="MANAGER49"/>
    <s v="NEGATIVO"/>
    <d v="1899-12-30T18:48:00"/>
    <d v="1899-12-30T18:48:00"/>
    <m/>
    <s v="POSITION1"/>
    <x v="6"/>
    <s v="STORE113"/>
  </r>
  <r>
    <n v="203407"/>
    <s v="People1107"/>
    <s v="department"/>
    <s v="REGION8"/>
    <s v="STORE198"/>
    <s v="MANAGER18"/>
    <s v="POSITIVO"/>
    <d v="1899-12-30T09:46:00"/>
    <m/>
    <d v="1899-12-30T09:46:00"/>
    <s v="POSITION1"/>
    <x v="7"/>
    <s v="STORE198"/>
  </r>
  <r>
    <n v="203418"/>
    <s v="People1108"/>
    <s v="department"/>
    <s v="REGION3"/>
    <s v="STORE195"/>
    <s v="MANAGER26"/>
    <s v="NEGATIVO"/>
    <d v="1899-12-30T00:27:00"/>
    <d v="1899-12-30T00:27:00"/>
    <m/>
    <s v="POSITION1"/>
    <x v="2"/>
    <s v="STORE195"/>
  </r>
  <r>
    <n v="203428"/>
    <s v="People1109"/>
    <s v="department"/>
    <s v="REGION7"/>
    <s v="STORE59"/>
    <s v="MANAGER8"/>
    <s v="NEGATIVO"/>
    <d v="1899-12-30T19:17:00"/>
    <d v="1899-12-30T19:17:00"/>
    <m/>
    <s v="POSITION11"/>
    <x v="6"/>
    <s v="STORE59"/>
  </r>
  <r>
    <n v="203448"/>
    <s v="People1110"/>
    <s v="department"/>
    <s v="REGION7"/>
    <s v="STORE129"/>
    <s v="MANAGER55"/>
    <s v="NEGATIVO"/>
    <d v="1900-01-01T22:38:00"/>
    <d v="1900-01-01T22:38:00"/>
    <m/>
    <s v="POSITION1"/>
    <x v="6"/>
    <s v="STORE129"/>
  </r>
  <r>
    <n v="203454"/>
    <s v="People1111"/>
    <s v="department"/>
    <s v="REGION3"/>
    <s v="STORE179"/>
    <s v="MANAGER94"/>
    <s v="NEGATIVO"/>
    <d v="1899-12-31T08:19:00"/>
    <d v="1899-12-31T08:19:00"/>
    <m/>
    <s v="POSITION1"/>
    <x v="2"/>
    <s v="STORE179"/>
  </r>
  <r>
    <n v="203456"/>
    <s v="People1112"/>
    <s v="department"/>
    <s v="REGION3"/>
    <s v="STORE282"/>
    <s v="MANAGER102"/>
    <s v="POSITIVO"/>
    <d v="1899-12-30T01:34:00"/>
    <m/>
    <d v="1899-12-30T01:34:00"/>
    <s v="POSITION1"/>
    <x v="2"/>
    <s v="STORE282"/>
  </r>
  <r>
    <n v="203475"/>
    <s v="People1113"/>
    <s v="department"/>
    <s v="REGION5"/>
    <s v="STORE175"/>
    <s v="MANAGER30"/>
    <s v="POSITIVO"/>
    <d v="1899-12-31T05:08:00"/>
    <m/>
    <d v="1899-12-31T05:08:00"/>
    <s v="POSITION1"/>
    <x v="4"/>
    <s v="STORE175"/>
  </r>
  <r>
    <n v="203488"/>
    <s v="People1114"/>
    <s v="department"/>
    <s v="REGION9"/>
    <s v="STORE171"/>
    <s v="MANAGER53"/>
    <s v="POSITIVO"/>
    <d v="1899-12-30T12:24:00"/>
    <m/>
    <d v="1899-12-30T12:24:00"/>
    <s v="POSITION1"/>
    <x v="8"/>
    <s v="STORE171"/>
  </r>
  <r>
    <n v="203490"/>
    <s v="People1115"/>
    <s v="department"/>
    <s v="REGION3"/>
    <s v="STORE102"/>
    <s v="MANAGER12"/>
    <s v="NEGATIVO"/>
    <d v="1899-12-30T08:15:00"/>
    <d v="1899-12-30T08:15:00"/>
    <m/>
    <s v="POSITION1"/>
    <x v="2"/>
    <s v="STORE102"/>
  </r>
  <r>
    <n v="203496"/>
    <s v="People1116"/>
    <s v="department"/>
    <s v="REGION3"/>
    <s v="STORE195"/>
    <s v="MANAGER26"/>
    <s v="POSITIVO"/>
    <d v="1899-12-30T00:02:00"/>
    <m/>
    <d v="1899-12-30T00:02:00"/>
    <s v="POSITION1"/>
    <x v="2"/>
    <s v="STORE195"/>
  </r>
  <r>
    <n v="203499"/>
    <s v="People1117"/>
    <s v="department"/>
    <s v="REGION4"/>
    <s v="STORE267"/>
    <s v="MANAGER38"/>
    <s v="POSITIVO"/>
    <d v="1900-01-01T01:25:00"/>
    <m/>
    <d v="1900-01-01T01:25:00"/>
    <s v="POSITION1"/>
    <x v="3"/>
    <s v="STORE267"/>
  </r>
  <r>
    <n v="203504"/>
    <s v="People1118"/>
    <s v="department"/>
    <s v="REGION7"/>
    <s v="STORE262"/>
    <s v="MANAGER64"/>
    <s v="NEGATIVO"/>
    <d v="1900-01-07T07:21:00"/>
    <d v="1900-01-07T07:21:00"/>
    <m/>
    <s v="POSITION1"/>
    <x v="6"/>
    <s v="STORE262"/>
  </r>
  <r>
    <n v="203513"/>
    <s v="People1119"/>
    <s v="department"/>
    <s v="REGION8"/>
    <s v="STORE189"/>
    <s v="MANAGER97"/>
    <s v="POSITIVO"/>
    <d v="1899-12-30T11:56:00"/>
    <m/>
    <d v="1899-12-30T11:56:00"/>
    <s v="POSITION1"/>
    <x v="7"/>
    <s v="STORE189"/>
  </r>
  <r>
    <n v="203521"/>
    <s v="People1120"/>
    <s v="department"/>
    <s v="REGION1"/>
    <s v="STORE127"/>
    <s v="MANAGER39"/>
    <s v="POSITIVO"/>
    <d v="1899-12-31T20:02:00"/>
    <m/>
    <d v="1899-12-31T20:02:00"/>
    <s v="POSITION1"/>
    <x v="0"/>
    <s v="STORE127"/>
  </r>
  <r>
    <n v="203524"/>
    <s v="People1121"/>
    <s v="department"/>
    <s v="REGION6"/>
    <s v="STORE90"/>
    <s v="MANAGER60"/>
    <s v="POSITIVO"/>
    <d v="1899-12-30T04:36:00"/>
    <m/>
    <d v="1899-12-30T04:36:00"/>
    <s v="POSITION1"/>
    <x v="5"/>
    <s v="STORE90"/>
  </r>
  <r>
    <n v="203531"/>
    <s v="People1122"/>
    <s v="department"/>
    <s v="REGION8"/>
    <s v="STORE203"/>
    <s v="MANAGER103"/>
    <s v="NEGATIVO"/>
    <d v="1900-01-04T09:45:00"/>
    <d v="1900-01-04T09:45:00"/>
    <m/>
    <s v="POSITION1"/>
    <x v="7"/>
    <s v="STORE203"/>
  </r>
  <r>
    <n v="203532"/>
    <s v="People1123"/>
    <s v="department"/>
    <s v="REGION7"/>
    <s v="STORE113"/>
    <s v="MANAGER49"/>
    <s v="NEGATIVO"/>
    <d v="1899-12-30T07:18:00"/>
    <d v="1899-12-30T07:18:00"/>
    <m/>
    <s v="POSITION1"/>
    <x v="6"/>
    <s v="STORE113"/>
  </r>
  <r>
    <n v="203534"/>
    <s v="People1124"/>
    <s v="department"/>
    <s v="REGION1"/>
    <s v="STORE103"/>
    <s v="MANAGER40"/>
    <s v="NEGATIVO"/>
    <d v="1899-12-30T13:40:00"/>
    <d v="1899-12-30T13:40:00"/>
    <m/>
    <s v="POSITION1"/>
    <x v="0"/>
    <s v="STORE103"/>
  </r>
  <r>
    <n v="203538"/>
    <s v="People1125"/>
    <s v="department"/>
    <s v="REGION7"/>
    <s v="STORE106"/>
    <s v="MANAGER48"/>
    <s v="NEGATIVO"/>
    <d v="1899-12-30T00:27:00"/>
    <d v="1899-12-30T00:27:00"/>
    <m/>
    <s v="POSITION1"/>
    <x v="6"/>
    <s v="STORE106"/>
  </r>
  <r>
    <n v="203549"/>
    <s v="People1126"/>
    <s v="department"/>
    <s v="REGION4"/>
    <s v="STORE293"/>
    <s v="MANAGER118"/>
    <s v="POSITIVO"/>
    <d v="1899-12-30T10:21:00"/>
    <m/>
    <d v="1899-12-30T10:21:00"/>
    <s v="POSITION1"/>
    <x v="3"/>
    <s v="STORE293"/>
  </r>
  <r>
    <n v="203558"/>
    <s v="People1127"/>
    <s v="department"/>
    <s v="REGION7"/>
    <s v="STORE129"/>
    <s v="MANAGER55"/>
    <s v="NEGATIVO"/>
    <d v="1899-12-30T12:11:00"/>
    <d v="1899-12-30T12:11:00"/>
    <m/>
    <s v="POSITION1"/>
    <x v="6"/>
    <s v="STORE129"/>
  </r>
  <r>
    <n v="203567"/>
    <s v="People1128"/>
    <s v="department"/>
    <s v="REGION2"/>
    <s v="STORE115"/>
    <s v="MANAGER71"/>
    <s v="POSITIVO"/>
    <d v="1899-12-31T03:31:00"/>
    <m/>
    <d v="1899-12-31T03:31:00"/>
    <s v="POSITION1"/>
    <x v="1"/>
    <s v="STORE115"/>
  </r>
  <r>
    <n v="203583"/>
    <s v="People1129"/>
    <s v="department"/>
    <s v="REGION9"/>
    <s v="STORE210"/>
    <s v="MANAGER99"/>
    <s v="NEGATIVO"/>
    <d v="1900-01-02T12:37:00"/>
    <d v="1900-01-02T12:37:00"/>
    <m/>
    <s v="POSITION1"/>
    <x v="8"/>
    <s v="STORE210"/>
  </r>
  <r>
    <n v="203589"/>
    <s v="People1130"/>
    <s v="department"/>
    <s v="REGION2"/>
    <s v="STORE178"/>
    <s v="MANAGER27"/>
    <s v="NEGATIVO"/>
    <d v="1899-12-31T01:56:00"/>
    <d v="1899-12-31T01:56:00"/>
    <m/>
    <s v="POSITION1"/>
    <x v="1"/>
    <s v="STORE178"/>
  </r>
  <r>
    <n v="203590"/>
    <s v="People1131"/>
    <s v="department"/>
    <s v="REGION4"/>
    <s v="STORE145"/>
    <s v="MANAGER29"/>
    <s v="NEGATIVO"/>
    <d v="1899-12-31T09:31:00"/>
    <d v="1899-12-31T09:31:00"/>
    <m/>
    <s v="POSITION1"/>
    <x v="3"/>
    <s v="STORE145"/>
  </r>
  <r>
    <n v="203594"/>
    <s v="People1132"/>
    <s v="department"/>
    <s v="REGION9"/>
    <s v="STORE230"/>
    <s v="MANAGER111"/>
    <s v="NEGATIVO"/>
    <d v="1900-01-01T10:09:00"/>
    <d v="1900-01-01T10:09:00"/>
    <m/>
    <s v="POSITION1"/>
    <x v="8"/>
    <s v="STORE230"/>
  </r>
  <r>
    <n v="203598"/>
    <s v="People1133"/>
    <s v="department"/>
    <s v="REGION3"/>
    <s v="STORE110"/>
    <s v="MANAGER51"/>
    <s v="NEGATIVO"/>
    <d v="1899-12-30T04:20:00"/>
    <d v="1899-12-30T04:20:00"/>
    <m/>
    <s v="POSITION1"/>
    <x v="2"/>
    <s v="STORE110"/>
  </r>
  <r>
    <n v="203599"/>
    <s v="People1134"/>
    <s v="department"/>
    <s v="REGION4"/>
    <s v="STORE267"/>
    <s v="MANAGER38"/>
    <s v="NEGATIVO"/>
    <d v="1899-12-30T19:28:00"/>
    <d v="1899-12-30T19:28:00"/>
    <m/>
    <s v="POSITION1"/>
    <x v="3"/>
    <s v="STORE267"/>
  </r>
  <r>
    <n v="203601"/>
    <s v="People1135"/>
    <s v="department"/>
    <s v="REGION7"/>
    <s v="STORE113"/>
    <s v="MANAGER49"/>
    <s v="NEGATIVO"/>
    <d v="1899-12-30T02:23:00"/>
    <d v="1899-12-30T02:23:00"/>
    <m/>
    <s v="POSITION1"/>
    <x v="6"/>
    <s v="STORE113"/>
  </r>
  <r>
    <n v="203608"/>
    <s v="People1136"/>
    <s v="department"/>
    <s v="REGION3"/>
    <s v="STORE196"/>
    <s v="MANAGER61"/>
    <s v="POSITIVO"/>
    <d v="1899-12-30T04:53:00"/>
    <m/>
    <d v="1899-12-30T04:53:00"/>
    <s v="POSITION1"/>
    <x v="2"/>
    <s v="STORE196"/>
  </r>
  <r>
    <n v="203617"/>
    <s v="People1137"/>
    <s v="department"/>
    <s v="REGION4"/>
    <s v="STORE226"/>
    <s v="MANAGER108"/>
    <s v="POSITIVO"/>
    <d v="1899-12-30T18:35:00"/>
    <m/>
    <d v="1899-12-30T18:35:00"/>
    <s v="POSITION1"/>
    <x v="3"/>
    <s v="STORE226"/>
  </r>
  <r>
    <n v="203618"/>
    <s v="People1138"/>
    <s v="department"/>
    <s v="REGION3"/>
    <s v="STORE110"/>
    <s v="MANAGER51"/>
    <s v="NEGATIVO"/>
    <d v="1899-12-30T12:26:00"/>
    <d v="1899-12-30T12:26:00"/>
    <m/>
    <s v="POSITION1"/>
    <x v="2"/>
    <s v="STORE110"/>
  </r>
  <r>
    <n v="203637"/>
    <s v="People1139"/>
    <s v="department"/>
    <s v="REGION4"/>
    <s v="STORE293"/>
    <s v="MANAGER118"/>
    <s v="NEGATIVO"/>
    <d v="1899-12-30T10:48:00"/>
    <d v="1899-12-30T10:48:00"/>
    <m/>
    <s v="POSITION1"/>
    <x v="3"/>
    <s v="STORE293"/>
  </r>
  <r>
    <n v="203638"/>
    <s v="People1140"/>
    <s v="department"/>
    <s v="REGION9"/>
    <s v="STORE171"/>
    <s v="MANAGER53"/>
    <s v="POSITIVO"/>
    <d v="1899-12-30T19:09:00"/>
    <m/>
    <d v="1899-12-30T19:09:00"/>
    <s v="POSITION1"/>
    <x v="8"/>
    <s v="STORE171"/>
  </r>
  <r>
    <n v="203648"/>
    <s v="People1141"/>
    <s v="department"/>
    <s v="REGION2"/>
    <s v="STORE187"/>
    <s v="MANAGER41"/>
    <s v="NEGATIVO"/>
    <d v="1899-12-31T09:25:00"/>
    <d v="1899-12-31T09:25:00"/>
    <m/>
    <s v="POSITION1"/>
    <x v="1"/>
    <s v="STORE18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3">
  <r>
    <n v="236524"/>
    <s v="People1"/>
    <s v="department"/>
    <s v="REGION1"/>
    <s v="STORE1"/>
    <s v="MANAGER1"/>
    <s v="NEGATIVO"/>
    <d v="1899-12-30T02:25:00"/>
    <d v="1899-12-30T02:25:00"/>
    <m/>
    <s v="POSITION1"/>
    <x v="0"/>
    <x v="0"/>
  </r>
  <r>
    <n v="236673"/>
    <s v="People2"/>
    <s v="department"/>
    <s v="REGION1"/>
    <s v="STORE2"/>
    <s v="MANAGER2"/>
    <s v="NEGATIVO"/>
    <d v="1899-12-30T21:16:00"/>
    <d v="1899-12-30T21:16:00"/>
    <m/>
    <s v="POSITION2"/>
    <x v="0"/>
    <x v="1"/>
  </r>
  <r>
    <n v="238192"/>
    <s v="People3"/>
    <s v="department"/>
    <s v="REGION1"/>
    <s v="STORE3"/>
    <s v="MANAGER3"/>
    <s v="NEGATIVO"/>
    <d v="1899-12-30T02:29:00"/>
    <d v="1899-12-30T02:29:00"/>
    <m/>
    <s v="POSITION1"/>
    <x v="0"/>
    <x v="2"/>
  </r>
  <r>
    <n v="235242"/>
    <s v="People4"/>
    <s v="department"/>
    <s v="REGION1"/>
    <s v="STORE1"/>
    <s v="MANAGER1"/>
    <s v="NEGATIVO"/>
    <d v="1899-12-30T00:24:00"/>
    <d v="1899-12-30T00:24:00"/>
    <m/>
    <s v="POSITION1"/>
    <x v="0"/>
    <x v="0"/>
  </r>
  <r>
    <n v="236245"/>
    <s v="People5"/>
    <s v="department"/>
    <s v="REGION1"/>
    <s v="STORE1"/>
    <s v="MANAGER1"/>
    <s v="NEGATIVO"/>
    <d v="1899-12-30T01:35:00"/>
    <d v="1899-12-30T01:35:00"/>
    <m/>
    <s v="POSITION1"/>
    <x v="0"/>
    <x v="0"/>
  </r>
  <r>
    <n v="229679"/>
    <s v="People6"/>
    <s v="department"/>
    <s v="REGION1"/>
    <s v="STORE4"/>
    <s v="MANAGER4"/>
    <s v="NEGATIVO"/>
    <d v="1900-01-02T03:05:00"/>
    <d v="1900-01-02T03:05:00"/>
    <m/>
    <s v="POSITION1"/>
    <x v="0"/>
    <x v="3"/>
  </r>
  <r>
    <n v="224455"/>
    <s v="People7"/>
    <s v="department"/>
    <s v="REGION1"/>
    <s v="STORE5"/>
    <s v="MANAGER5"/>
    <s v="NEGATIVO"/>
    <d v="1899-12-30T08:21:00"/>
    <d v="1899-12-30T08:21:00"/>
    <m/>
    <s v="POSITION1"/>
    <x v="0"/>
    <x v="4"/>
  </r>
  <r>
    <n v="233202"/>
    <s v="People8"/>
    <s v="department"/>
    <s v="REGION1"/>
    <s v="STORE6"/>
    <s v="MANAGER6"/>
    <s v="NEGATIVO"/>
    <d v="1899-12-30T20:26:00"/>
    <d v="1899-12-30T20:26:00"/>
    <m/>
    <s v="POSITION1"/>
    <x v="0"/>
    <x v="5"/>
  </r>
  <r>
    <n v="232421"/>
    <s v="People9"/>
    <s v="department"/>
    <s v="REGION1"/>
    <s v="STORE3"/>
    <s v="MANAGER3"/>
    <s v="NEGATIVO"/>
    <d v="1899-12-31T01:13:00"/>
    <d v="1899-12-31T01:13:00"/>
    <m/>
    <s v="POSITION1"/>
    <x v="0"/>
    <x v="2"/>
  </r>
  <r>
    <n v="236351"/>
    <s v="People10"/>
    <s v="department"/>
    <s v="REGION1"/>
    <s v="STORE7"/>
    <s v="MANAGER3"/>
    <s v="NEGATIVO"/>
    <d v="1900-01-01T09:52:00"/>
    <d v="1900-01-01T09:52:00"/>
    <m/>
    <s v="POSITION3"/>
    <x v="0"/>
    <x v="6"/>
  </r>
  <r>
    <n v="237208"/>
    <s v="People11"/>
    <s v="department"/>
    <s v="REGION1"/>
    <s v="STORE8"/>
    <s v="MANAGER1"/>
    <s v="NEGATIVO"/>
    <d v="1899-12-30T01:30:00"/>
    <d v="1899-12-30T01:30:00"/>
    <m/>
    <s v="POSITION4"/>
    <x v="0"/>
    <x v="7"/>
  </r>
  <r>
    <n v="234179"/>
    <s v="People12"/>
    <s v="department"/>
    <s v="REGION1"/>
    <s v="STORE9"/>
    <s v="MANAGER7"/>
    <s v="NEGATIVO"/>
    <d v="1899-12-30T06:03:00"/>
    <d v="1899-12-30T06:03:00"/>
    <m/>
    <s v="POSITION5"/>
    <x v="0"/>
    <x v="8"/>
  </r>
  <r>
    <n v="219753"/>
    <s v="People13"/>
    <s v="department"/>
    <s v="REGION1"/>
    <s v="STORE10"/>
    <s v="MANAGER8"/>
    <s v="NEGATIVO"/>
    <d v="1899-12-30T12:23:00"/>
    <d v="1899-12-30T12:23:00"/>
    <m/>
    <s v="POSITION3"/>
    <x v="0"/>
    <x v="9"/>
  </r>
  <r>
    <n v="232821"/>
    <s v="People14"/>
    <s v="department"/>
    <s v="REGION1"/>
    <s v="STORE9"/>
    <s v="MANAGER7"/>
    <s v="NEGATIVO"/>
    <d v="1900-01-03T06:00:00"/>
    <d v="1900-01-03T06:00:00"/>
    <m/>
    <s v="POSITION4"/>
    <x v="0"/>
    <x v="8"/>
  </r>
  <r>
    <n v="235678"/>
    <s v="People15"/>
    <s v="department"/>
    <s v="REGION1"/>
    <s v="STORE11"/>
    <s v="MANAGER9"/>
    <s v="NEGATIVO"/>
    <d v="1899-12-30T13:27:00"/>
    <d v="1899-12-30T13:27:00"/>
    <m/>
    <s v="POSITION1"/>
    <x v="0"/>
    <x v="10"/>
  </r>
  <r>
    <n v="229504"/>
    <s v="People16"/>
    <s v="department"/>
    <s v="REGION1"/>
    <s v="STORE12"/>
    <s v="MANAGER2"/>
    <s v="NEGATIVO"/>
    <d v="1899-12-31T15:54:00"/>
    <d v="1899-12-31T15:54:00"/>
    <m/>
    <s v="POSITION2"/>
    <x v="0"/>
    <x v="11"/>
  </r>
  <r>
    <n v="220259"/>
    <s v="People17"/>
    <s v="department"/>
    <s v="REGION1"/>
    <s v="STORE13"/>
    <s v="MANAGER9"/>
    <s v="NEGATIVO"/>
    <d v="1900-01-20T14:00:00"/>
    <d v="1900-01-20T14:00:00"/>
    <m/>
    <s v="POSITION4"/>
    <x v="0"/>
    <x v="12"/>
  </r>
  <r>
    <n v="201734"/>
    <s v="People18"/>
    <s v="department"/>
    <s v="REGION1"/>
    <s v="STORE14"/>
    <s v="MANAGER6"/>
    <s v="NEGATIVO"/>
    <d v="1900-01-16T02:00:00"/>
    <d v="1900-01-16T02:00:00"/>
    <m/>
    <s v="POSITION4"/>
    <x v="0"/>
    <x v="13"/>
  </r>
  <r>
    <n v="234407"/>
    <s v="People19"/>
    <s v="department"/>
    <s v="REGION1"/>
    <s v="STORE15"/>
    <s v="MANAGER10"/>
    <s v="NEGATIVO"/>
    <d v="1900-01-06T16:11:00"/>
    <d v="1900-01-06T16:11:00"/>
    <m/>
    <s v="POSITION1"/>
    <x v="0"/>
    <x v="14"/>
  </r>
  <r>
    <n v="220870"/>
    <s v="People20"/>
    <s v="department"/>
    <s v="REGION1"/>
    <s v="STORE16"/>
    <s v="MANAGER10"/>
    <s v="NEGATIVO"/>
    <d v="1900-01-03T13:08:00"/>
    <d v="1900-01-03T13:08:00"/>
    <m/>
    <s v="POSITION3"/>
    <x v="0"/>
    <x v="15"/>
  </r>
  <r>
    <n v="237838"/>
    <s v="People21"/>
    <s v="department"/>
    <s v="REGION1"/>
    <s v="STORE17"/>
    <s v="MANAGER7"/>
    <s v="NEGATIVO"/>
    <d v="1899-12-30T02:24:00"/>
    <d v="1899-12-30T02:24:00"/>
    <m/>
    <s v="POSITION1"/>
    <x v="0"/>
    <x v="16"/>
  </r>
  <r>
    <n v="235502"/>
    <s v="People22"/>
    <s v="department"/>
    <s v="REGION1"/>
    <s v="STORE18"/>
    <s v="MANAGER8"/>
    <s v="NEGATIVO"/>
    <d v="1899-12-30T21:37:00"/>
    <d v="1899-12-30T21:37:00"/>
    <m/>
    <s v="POSITION1"/>
    <x v="0"/>
    <x v="17"/>
  </r>
  <r>
    <n v="237562"/>
    <s v="People23"/>
    <s v="department"/>
    <s v="REGION1"/>
    <s v="STORE19"/>
    <s v="MANAGER11"/>
    <s v="NEGATIVO"/>
    <d v="1900-01-08T04:00:00"/>
    <d v="1900-01-08T04:00:00"/>
    <m/>
    <s v="POSITION4"/>
    <x v="0"/>
    <x v="18"/>
  </r>
  <r>
    <n v="221010"/>
    <s v="People24"/>
    <s v="department"/>
    <s v="REGION1"/>
    <s v="STORE9"/>
    <s v="MANAGER7"/>
    <s v="NEGATIVO"/>
    <d v="1900-01-05T12:00:00"/>
    <d v="1900-01-05T12:00:00"/>
    <m/>
    <s v="POSITION3"/>
    <x v="0"/>
    <x v="8"/>
  </r>
  <r>
    <n v="222657"/>
    <s v="People25"/>
    <s v="department"/>
    <s v="REGION1"/>
    <s v="STORE18"/>
    <s v="MANAGER8"/>
    <s v="NEGATIVO"/>
    <d v="1900-01-01T11:12:00"/>
    <d v="1900-01-01T11:12:00"/>
    <m/>
    <s v="POSITION1"/>
    <x v="0"/>
    <x v="17"/>
  </r>
  <r>
    <n v="236884"/>
    <s v="People26"/>
    <s v="department"/>
    <s v="REGION1"/>
    <s v="STORE18"/>
    <s v="MANAGER8"/>
    <s v="NEGATIVO"/>
    <d v="1900-01-05T00:15:00"/>
    <d v="1900-01-05T00:15:00"/>
    <m/>
    <s v="POSITION1"/>
    <x v="0"/>
    <x v="17"/>
  </r>
  <r>
    <n v="235001"/>
    <s v="People27"/>
    <s v="department"/>
    <s v="REGION1"/>
    <s v="STORE11"/>
    <s v="MANAGER9"/>
    <s v="NEGATIVO"/>
    <d v="1900-01-02T02:15:00"/>
    <d v="1900-01-02T02:15:00"/>
    <m/>
    <s v="POSITION1"/>
    <x v="0"/>
    <x v="10"/>
  </r>
  <r>
    <n v="234802"/>
    <s v="People28"/>
    <s v="department"/>
    <s v="REGION1"/>
    <s v="STORE17"/>
    <s v="MANAGER7"/>
    <s v="NEGATIVO"/>
    <d v="1900-01-04T20:25:00"/>
    <d v="1900-01-04T20:25:00"/>
    <m/>
    <s v="POSITION1"/>
    <x v="0"/>
    <x v="16"/>
  </r>
  <r>
    <n v="236263"/>
    <s v="People29"/>
    <s v="department"/>
    <s v="REGION1"/>
    <s v="STORE13"/>
    <s v="MANAGER9"/>
    <s v="NEGATIVO"/>
    <d v="1899-12-30T13:38:00"/>
    <d v="1899-12-30T13:38:00"/>
    <m/>
    <s v="POSITION3"/>
    <x v="0"/>
    <x v="12"/>
  </r>
  <r>
    <n v="237179"/>
    <s v="People30"/>
    <s v="department"/>
    <s v="REGION1"/>
    <s v="STORE8"/>
    <s v="MANAGER1"/>
    <s v="NEGATIVO"/>
    <d v="1899-12-30T02:36:00"/>
    <d v="1899-12-30T02:36:00"/>
    <m/>
    <s v="POSITION3"/>
    <x v="0"/>
    <x v="7"/>
  </r>
  <r>
    <n v="237396"/>
    <s v="People31"/>
    <s v="department"/>
    <s v="REGION1"/>
    <s v="STORE18"/>
    <s v="MANAGER8"/>
    <s v="NEGATIVO"/>
    <d v="1899-12-31T12:02:00"/>
    <d v="1899-12-31T12:02:00"/>
    <m/>
    <s v="POSITION1"/>
    <x v="0"/>
    <x v="17"/>
  </r>
  <r>
    <n v="232518"/>
    <s v="People32"/>
    <s v="department"/>
    <s v="REGION1"/>
    <s v="STORE5"/>
    <s v="MANAGER5"/>
    <s v="NEGATIVO"/>
    <d v="1899-12-30T12:45:00"/>
    <d v="1899-12-30T12:45:00"/>
    <m/>
    <s v="POSITION1"/>
    <x v="0"/>
    <x v="4"/>
  </r>
  <r>
    <n v="229823"/>
    <s v="People33"/>
    <s v="department"/>
    <s v="REGION1"/>
    <s v="STORE7"/>
    <s v="MANAGER3"/>
    <s v="NEGATIVO"/>
    <d v="1899-12-30T23:50:00"/>
    <d v="1899-12-30T23:50:00"/>
    <m/>
    <s v="POSITION3"/>
    <x v="0"/>
    <x v="6"/>
  </r>
  <r>
    <n v="231067"/>
    <s v="People34"/>
    <s v="department"/>
    <s v="REGION1"/>
    <s v="STORE20"/>
    <s v="MANAGER2"/>
    <s v="NEGATIVO"/>
    <d v="1900-01-01T14:10:00"/>
    <d v="1900-01-01T14:10:00"/>
    <m/>
    <s v="POSITION2"/>
    <x v="0"/>
    <x v="19"/>
  </r>
  <r>
    <n v="236087"/>
    <s v="People35"/>
    <s v="department"/>
    <s v="REGION1"/>
    <s v="STORE3"/>
    <s v="MANAGER3"/>
    <s v="NEGATIVO"/>
    <d v="1899-12-31T01:01:00"/>
    <d v="1899-12-31T01:01:00"/>
    <m/>
    <s v="POSITION6"/>
    <x v="0"/>
    <x v="2"/>
  </r>
  <r>
    <n v="231811"/>
    <s v="People36"/>
    <s v="department"/>
    <s v="REGION1"/>
    <s v="STORE21"/>
    <s v="MANAGER2"/>
    <s v="NEGATIVO"/>
    <d v="1900-01-09T21:04:00"/>
    <d v="1900-01-09T21:04:00"/>
    <m/>
    <s v="POSITION7"/>
    <x v="0"/>
    <x v="20"/>
  </r>
  <r>
    <n v="233304"/>
    <s v="People37"/>
    <s v="department"/>
    <s v="REGION1"/>
    <s v="STORE22"/>
    <s v="MANAGER11"/>
    <s v="NEGATIVO"/>
    <d v="1900-01-04T13:12:00"/>
    <d v="1900-01-04T13:12:00"/>
    <m/>
    <s v="POSITION1"/>
    <x v="0"/>
    <x v="21"/>
  </r>
  <r>
    <n v="234574"/>
    <s v="People38"/>
    <s v="department"/>
    <s v="REGION1"/>
    <s v="STORE23"/>
    <s v="MANAGER5"/>
    <s v="NEGATIVO"/>
    <d v="1899-12-30T01:42:00"/>
    <d v="1899-12-30T01:42:00"/>
    <m/>
    <s v="POSITION3"/>
    <x v="0"/>
    <x v="22"/>
  </r>
  <r>
    <n v="229753"/>
    <s v="People39"/>
    <s v="department"/>
    <s v="REGION1"/>
    <s v="STORE15"/>
    <s v="MANAGER10"/>
    <s v="NEGATIVO"/>
    <d v="1900-01-08T06:34:00"/>
    <d v="1900-01-08T06:34:00"/>
    <m/>
    <s v="POSITION1"/>
    <x v="0"/>
    <x v="14"/>
  </r>
  <r>
    <n v="232065"/>
    <s v="People40"/>
    <s v="department"/>
    <s v="REGION1"/>
    <s v="STORE9"/>
    <s v="MANAGER7"/>
    <s v="NEGATIVO"/>
    <d v="1899-12-30T07:00:00"/>
    <d v="1899-12-30T07:00:00"/>
    <m/>
    <s v="POSITION4"/>
    <x v="0"/>
    <x v="8"/>
  </r>
  <r>
    <n v="202296"/>
    <s v="People41"/>
    <s v="department"/>
    <s v="REGION1"/>
    <s v="STORE16"/>
    <s v="MANAGER10"/>
    <s v="NEGATIVO"/>
    <d v="1900-01-15T03:12:00"/>
    <d v="1900-01-15T03:12:00"/>
    <m/>
    <s v="POSITION4"/>
    <x v="0"/>
    <x v="15"/>
  </r>
  <r>
    <n v="211623"/>
    <s v="People42"/>
    <s v="department"/>
    <s v="REGION1"/>
    <s v="STORE3"/>
    <s v="MANAGER3"/>
    <s v="NEGATIVO"/>
    <d v="1900-01-07T01:12:00"/>
    <d v="1900-01-07T01:12:00"/>
    <m/>
    <s v="POSITION1"/>
    <x v="0"/>
    <x v="2"/>
  </r>
  <r>
    <n v="232039"/>
    <s v="People43"/>
    <s v="department"/>
    <s v="REGION1"/>
    <s v="STORE23"/>
    <s v="MANAGER5"/>
    <s v="NEGATIVO"/>
    <d v="1899-12-30T14:55:00"/>
    <d v="1899-12-30T14:55:00"/>
    <m/>
    <s v="POSITION3"/>
    <x v="0"/>
    <x v="22"/>
  </r>
  <r>
    <n v="229441"/>
    <s v="People44"/>
    <s v="department"/>
    <s v="REGION1"/>
    <s v="STORE3"/>
    <s v="MANAGER3"/>
    <s v="NEGATIVO"/>
    <d v="1899-12-30T07:59:00"/>
    <d v="1899-12-30T07:59:00"/>
    <m/>
    <s v="POSITION1"/>
    <x v="0"/>
    <x v="2"/>
  </r>
  <r>
    <n v="203298"/>
    <s v="People45"/>
    <s v="department"/>
    <s v="REGION1"/>
    <s v="STORE10"/>
    <s v="MANAGER8"/>
    <s v="NEGATIVO"/>
    <d v="1899-12-30T01:08:00"/>
    <d v="1899-12-30T01:08:00"/>
    <m/>
    <s v="POSITION8"/>
    <x v="0"/>
    <x v="9"/>
  </r>
  <r>
    <n v="234813"/>
    <s v="People46"/>
    <s v="department"/>
    <s v="REGION1"/>
    <s v="STORE22"/>
    <s v="MANAGER11"/>
    <s v="NEGATIVO"/>
    <d v="1900-01-05T03:44:00"/>
    <d v="1900-01-05T03:44:00"/>
    <m/>
    <s v="POSITION1"/>
    <x v="0"/>
    <x v="21"/>
  </r>
  <r>
    <n v="231057"/>
    <s v="People47"/>
    <s v="department"/>
    <s v="REGION1"/>
    <s v="STORE24"/>
    <s v="MANAGER2"/>
    <s v="NEGATIVO"/>
    <d v="1899-12-31T07:01:00"/>
    <d v="1899-12-31T07:01:00"/>
    <m/>
    <s v="POSITION2"/>
    <x v="0"/>
    <x v="23"/>
  </r>
  <r>
    <n v="231507"/>
    <s v="People48"/>
    <s v="department"/>
    <s v="REGION1"/>
    <s v="STORE10"/>
    <s v="MANAGER8"/>
    <s v="NEGATIVO"/>
    <d v="1899-12-30T13:45:00"/>
    <d v="1899-12-30T13:45:00"/>
    <m/>
    <s v="POSITION3"/>
    <x v="0"/>
    <x v="9"/>
  </r>
  <r>
    <n v="235882"/>
    <s v="People49"/>
    <s v="department"/>
    <s v="REGION1"/>
    <s v="STORE11"/>
    <s v="MANAGER9"/>
    <s v="NEGATIVO"/>
    <d v="1899-12-30T12:17:00"/>
    <d v="1899-12-30T12:17:00"/>
    <m/>
    <s v="POSITION1"/>
    <x v="0"/>
    <x v="10"/>
  </r>
  <r>
    <n v="236405"/>
    <s v="People50"/>
    <s v="department"/>
    <s v="REGION1"/>
    <s v="STORE25"/>
    <s v="MANAGER12"/>
    <s v="NEGATIVO"/>
    <d v="1899-12-31T00:49:00"/>
    <d v="1899-12-31T00:49:00"/>
    <m/>
    <s v="POSITION1"/>
    <x v="0"/>
    <x v="24"/>
  </r>
  <r>
    <n v="237193"/>
    <s v="People51"/>
    <s v="department"/>
    <s v="REGION1"/>
    <s v="STORE8"/>
    <s v="MANAGER1"/>
    <s v="NEGATIVO"/>
    <d v="1899-12-30T01:39:00"/>
    <d v="1899-12-30T01:39:00"/>
    <m/>
    <s v="POSITION3"/>
    <x v="0"/>
    <x v="7"/>
  </r>
  <r>
    <n v="238086"/>
    <s v="People52"/>
    <s v="department"/>
    <s v="REGION1"/>
    <s v="STORE26"/>
    <s v="MANAGER11"/>
    <s v="NEGATIVO"/>
    <d v="1899-12-30T08:48:00"/>
    <d v="1899-12-30T08:48:00"/>
    <m/>
    <s v="POSITION1"/>
    <x v="0"/>
    <x v="25"/>
  </r>
  <r>
    <n v="222968"/>
    <s v="People53"/>
    <s v="department"/>
    <s v="REGION1"/>
    <s v="STORE11"/>
    <s v="MANAGER9"/>
    <s v="NEGATIVO"/>
    <d v="1899-12-31T08:03:00"/>
    <d v="1899-12-31T08:03:00"/>
    <m/>
    <s v="POSITION1"/>
    <x v="0"/>
    <x v="10"/>
  </r>
  <r>
    <n v="229450"/>
    <s v="People54"/>
    <s v="department"/>
    <s v="REGION1"/>
    <s v="STORE3"/>
    <s v="MANAGER3"/>
    <s v="NEGATIVO"/>
    <d v="1899-12-30T13:33:00"/>
    <d v="1899-12-30T13:33:00"/>
    <m/>
    <s v="POSITION1"/>
    <x v="0"/>
    <x v="2"/>
  </r>
  <r>
    <n v="217725"/>
    <s v="People55"/>
    <s v="department"/>
    <s v="REGION1"/>
    <s v="STORE7"/>
    <s v="MANAGER3"/>
    <s v="NEGATIVO"/>
    <d v="1900-02-05T08:00:00"/>
    <d v="1900-02-05T08:00:00"/>
    <m/>
    <s v="POSITION4"/>
    <x v="0"/>
    <x v="6"/>
  </r>
  <r>
    <n v="237317"/>
    <s v="People56"/>
    <s v="department"/>
    <s v="REGION1"/>
    <s v="STORE19"/>
    <s v="MANAGER11"/>
    <s v="NEGATIVO"/>
    <d v="1900-01-14T00:48:00"/>
    <d v="1900-01-14T00:48:00"/>
    <m/>
    <s v="POSITION3"/>
    <x v="0"/>
    <x v="18"/>
  </r>
  <r>
    <n v="225046"/>
    <s v="People57"/>
    <s v="department"/>
    <s v="REGION1"/>
    <s v="STORE5"/>
    <s v="MANAGER5"/>
    <s v="NEGATIVO"/>
    <d v="1899-12-30T00:03:00"/>
    <d v="1899-12-30T00:03:00"/>
    <m/>
    <s v="POSITION1"/>
    <x v="0"/>
    <x v="4"/>
  </r>
  <r>
    <n v="220826"/>
    <s v="People58"/>
    <s v="department"/>
    <s v="REGION1"/>
    <s v="STORE10"/>
    <s v="MANAGER8"/>
    <s v="NEGATIVO"/>
    <d v="1899-12-30T22:34:00"/>
    <d v="1899-12-30T22:34:00"/>
    <m/>
    <s v="POSITION4"/>
    <x v="0"/>
    <x v="9"/>
  </r>
  <r>
    <n v="232983"/>
    <s v="People59"/>
    <s v="department"/>
    <s v="REGION1"/>
    <s v="STORE3"/>
    <s v="MANAGER3"/>
    <s v="NEGATIVO"/>
    <d v="1899-12-30T00:32:00"/>
    <d v="1899-12-30T00:32:00"/>
    <m/>
    <s v="POSITION1"/>
    <x v="0"/>
    <x v="2"/>
  </r>
  <r>
    <n v="217788"/>
    <s v="People60"/>
    <s v="department"/>
    <s v="REGION1"/>
    <s v="STORE27"/>
    <s v="MANAGER4"/>
    <s v="NEGATIVO"/>
    <d v="1900-01-28T00:00:00"/>
    <d v="1900-01-28T00:00:00"/>
    <m/>
    <s v="POSITION4"/>
    <x v="0"/>
    <x v="26"/>
  </r>
  <r>
    <n v="203534"/>
    <s v="People61"/>
    <s v="department"/>
    <s v="REGION1"/>
    <s v="STORE18"/>
    <s v="MANAGER8"/>
    <s v="NEGATIVO"/>
    <d v="1899-12-30T17:14:00"/>
    <d v="1899-12-30T17:14:00"/>
    <m/>
    <s v="POSITION1"/>
    <x v="0"/>
    <x v="17"/>
  </r>
  <r>
    <n v="237382"/>
    <s v="People62"/>
    <s v="department"/>
    <s v="REGION1"/>
    <s v="STORE18"/>
    <s v="MANAGER8"/>
    <s v="NEGATIVO"/>
    <d v="1899-12-30T10:42:00"/>
    <d v="1899-12-30T10:42:00"/>
    <m/>
    <s v="POSITION1"/>
    <x v="0"/>
    <x v="17"/>
  </r>
  <r>
    <n v="222848"/>
    <s v="People63"/>
    <s v="department"/>
    <s v="REGION1"/>
    <s v="STORE4"/>
    <s v="MANAGER4"/>
    <s v="NEGATIVO"/>
    <d v="1899-12-30T09:44:00"/>
    <d v="1899-12-30T09:44:00"/>
    <m/>
    <s v="POSITION1"/>
    <x v="0"/>
    <x v="3"/>
  </r>
  <r>
    <n v="234862"/>
    <s v="People64"/>
    <s v="department"/>
    <s v="REGION1"/>
    <s v="STORE4"/>
    <s v="MANAGER4"/>
    <s v="NEGATIVO"/>
    <d v="1899-12-30T01:31:00"/>
    <d v="1899-12-30T01:31:00"/>
    <m/>
    <s v="POSITION1"/>
    <x v="0"/>
    <x v="3"/>
  </r>
  <r>
    <n v="237158"/>
    <s v="People65"/>
    <s v="department"/>
    <s v="REGION1"/>
    <s v="STORE4"/>
    <s v="MANAGER4"/>
    <s v="NEGATIVO"/>
    <d v="1900-01-01T09:47:00"/>
    <d v="1900-01-01T09:47:00"/>
    <m/>
    <s v="POSITION1"/>
    <x v="0"/>
    <x v="3"/>
  </r>
  <r>
    <n v="232699"/>
    <s v="People66"/>
    <s v="department"/>
    <s v="REGION1"/>
    <s v="STORE25"/>
    <s v="MANAGER12"/>
    <s v="NEGATIVO"/>
    <d v="1899-12-30T22:19:00"/>
    <d v="1899-12-30T22:19:00"/>
    <m/>
    <s v="POSITION1"/>
    <x v="0"/>
    <x v="24"/>
  </r>
  <r>
    <n v="232949"/>
    <s v="People67"/>
    <s v="department"/>
    <s v="REGION1"/>
    <s v="STORE9"/>
    <s v="MANAGER7"/>
    <s v="NEGATIVO"/>
    <d v="1900-01-03T02:06:00"/>
    <d v="1900-01-03T02:06:00"/>
    <m/>
    <s v="POSITION3"/>
    <x v="0"/>
    <x v="8"/>
  </r>
  <r>
    <n v="223302"/>
    <s v="People68"/>
    <s v="department"/>
    <s v="REGION1"/>
    <s v="STORE22"/>
    <s v="MANAGER11"/>
    <s v="NEGATIVO"/>
    <d v="1900-01-10T18:17:00"/>
    <d v="1900-01-10T18:17:00"/>
    <m/>
    <s v="POSITION1"/>
    <x v="0"/>
    <x v="21"/>
  </r>
  <r>
    <n v="234411"/>
    <s v="People69"/>
    <s v="department"/>
    <s v="REGION1"/>
    <s v="STORE6"/>
    <s v="MANAGER6"/>
    <s v="POSITIVO"/>
    <d v="1900-01-01T06:59:00"/>
    <m/>
    <d v="1900-01-01T06:59:00"/>
    <s v="POSITION1"/>
    <x v="0"/>
    <x v="5"/>
  </r>
  <r>
    <n v="225681"/>
    <s v="People70"/>
    <s v="department"/>
    <s v="REGION1"/>
    <s v="STORE15"/>
    <s v="MANAGER10"/>
    <s v="POSITIVO"/>
    <d v="1900-01-01T01:36:00"/>
    <m/>
    <d v="1900-01-01T01:36:00"/>
    <s v="POSITION1"/>
    <x v="0"/>
    <x v="14"/>
  </r>
  <r>
    <n v="203521"/>
    <s v="People71"/>
    <s v="department"/>
    <s v="REGION1"/>
    <s v="STORE6"/>
    <s v="MANAGER6"/>
    <s v="POSITIVO"/>
    <d v="1899-12-31T20:59:00"/>
    <m/>
    <d v="1899-12-31T20:59:00"/>
    <s v="POSITION1"/>
    <x v="0"/>
    <x v="5"/>
  </r>
  <r>
    <n v="235748"/>
    <s v="People72"/>
    <s v="department"/>
    <s v="REGION1"/>
    <s v="STORE17"/>
    <s v="MANAGER7"/>
    <s v="POSITIVO"/>
    <d v="1899-12-31T20:46:00"/>
    <m/>
    <d v="1899-12-31T20:46:00"/>
    <s v="POSITION1"/>
    <x v="0"/>
    <x v="16"/>
  </r>
  <r>
    <n v="232701"/>
    <s v="People73"/>
    <s v="department"/>
    <s v="REGION1"/>
    <s v="STORE17"/>
    <s v="MANAGER7"/>
    <s v="POSITIVO"/>
    <d v="1899-12-31T09:26:00"/>
    <m/>
    <d v="1899-12-31T09:26:00"/>
    <s v="POSITION1"/>
    <x v="0"/>
    <x v="16"/>
  </r>
  <r>
    <n v="237672"/>
    <s v="People74"/>
    <s v="department"/>
    <s v="REGION1"/>
    <s v="STORE15"/>
    <s v="MANAGER10"/>
    <s v="POSITIVO"/>
    <d v="1899-12-31T09:08:00"/>
    <m/>
    <d v="1899-12-31T09:08:00"/>
    <s v="POSITION1"/>
    <x v="0"/>
    <x v="14"/>
  </r>
  <r>
    <n v="223424"/>
    <s v="People75"/>
    <s v="department"/>
    <s v="REGION1"/>
    <s v="STORE6"/>
    <s v="MANAGER6"/>
    <s v="POSITIVO"/>
    <d v="1899-12-31T04:28:00"/>
    <m/>
    <d v="1899-12-31T04:28:00"/>
    <s v="POSITION1"/>
    <x v="0"/>
    <x v="5"/>
  </r>
  <r>
    <n v="231800"/>
    <s v="People76"/>
    <s v="department"/>
    <s v="REGION1"/>
    <s v="STORE6"/>
    <s v="MANAGER6"/>
    <s v="POSITIVO"/>
    <d v="1899-12-31T04:26:00"/>
    <m/>
    <d v="1899-12-31T04:26:00"/>
    <s v="POSITION1"/>
    <x v="0"/>
    <x v="5"/>
  </r>
  <r>
    <n v="201018"/>
    <s v="People77"/>
    <s v="department"/>
    <s v="REGION1"/>
    <s v="STORE28"/>
    <s v="MANAGER2"/>
    <s v="POSITIVO"/>
    <d v="1899-12-30T21:05:00"/>
    <m/>
    <d v="1899-12-30T21:05:00"/>
    <s v="POSITION7"/>
    <x v="0"/>
    <x v="27"/>
  </r>
  <r>
    <n v="235511"/>
    <s v="People78"/>
    <s v="department"/>
    <s v="REGION1"/>
    <s v="STORE18"/>
    <s v="MANAGER8"/>
    <s v="POSITIVO"/>
    <d v="1899-12-30T19:07:00"/>
    <m/>
    <d v="1899-12-30T19:07:00"/>
    <s v="POSITION1"/>
    <x v="0"/>
    <x v="17"/>
  </r>
  <r>
    <n v="232043"/>
    <s v="People79"/>
    <s v="department"/>
    <s v="REGION1"/>
    <s v="STORE5"/>
    <s v="MANAGER5"/>
    <s v="POSITIVO"/>
    <d v="1899-12-30T18:16:00"/>
    <m/>
    <d v="1899-12-30T18:16:00"/>
    <s v="POSITION1"/>
    <x v="0"/>
    <x v="4"/>
  </r>
  <r>
    <n v="235894"/>
    <s v="People80"/>
    <s v="department"/>
    <s v="REGION1"/>
    <s v="STORE4"/>
    <s v="MANAGER4"/>
    <s v="POSITIVO"/>
    <d v="1899-12-30T17:26:00"/>
    <m/>
    <d v="1899-12-30T17:26:00"/>
    <s v="POSITION1"/>
    <x v="0"/>
    <x v="3"/>
  </r>
  <r>
    <n v="202727"/>
    <s v="People81"/>
    <s v="department"/>
    <s v="REGION1"/>
    <s v="STORE14"/>
    <s v="MANAGER6"/>
    <s v="POSITIVO"/>
    <d v="1899-12-30T17:06:00"/>
    <m/>
    <d v="1899-12-30T17:06:00"/>
    <s v="POSITION3"/>
    <x v="0"/>
    <x v="13"/>
  </r>
  <r>
    <n v="232410"/>
    <s v="People82"/>
    <s v="department"/>
    <s v="REGION1"/>
    <s v="STORE29"/>
    <s v="MANAGER2"/>
    <s v="POSITIVO"/>
    <d v="1899-12-30T16:52:00"/>
    <m/>
    <d v="1899-12-30T16:52:00"/>
    <s v="POSITION2"/>
    <x v="0"/>
    <x v="28"/>
  </r>
  <r>
    <n v="220759"/>
    <s v="People83"/>
    <s v="department"/>
    <s v="REGION1"/>
    <s v="STORE27"/>
    <s v="MANAGER4"/>
    <s v="POSITIVO"/>
    <d v="1899-12-30T15:29:00"/>
    <m/>
    <d v="1899-12-30T15:29:00"/>
    <s v="POSITION3"/>
    <x v="0"/>
    <x v="26"/>
  </r>
  <r>
    <n v="231651"/>
    <s v="People84"/>
    <s v="department"/>
    <s v="REGION1"/>
    <s v="STORE7"/>
    <s v="MANAGER3"/>
    <s v="POSITIVO"/>
    <d v="1899-12-30T13:58:00"/>
    <m/>
    <d v="1899-12-30T13:58:00"/>
    <s v="POSITION3"/>
    <x v="0"/>
    <x v="6"/>
  </r>
  <r>
    <n v="219739"/>
    <s v="People85"/>
    <s v="department"/>
    <s v="REGION1"/>
    <s v="STORE14"/>
    <s v="MANAGER6"/>
    <s v="POSITIVO"/>
    <d v="1899-12-30T11:57:00"/>
    <m/>
    <d v="1899-12-30T11:57:00"/>
    <s v="POSITION3"/>
    <x v="0"/>
    <x v="13"/>
  </r>
  <r>
    <n v="231029"/>
    <s v="People86"/>
    <s v="department"/>
    <s v="REGION1"/>
    <s v="STORE4"/>
    <s v="MANAGER4"/>
    <s v="POSITIVO"/>
    <d v="1899-12-30T06:27:00"/>
    <m/>
    <d v="1899-12-30T06:27:00"/>
    <s v="POSITION1"/>
    <x v="0"/>
    <x v="3"/>
  </r>
  <r>
    <n v="231924"/>
    <s v="People87"/>
    <s v="department"/>
    <s v="REGION1"/>
    <s v="STORE17"/>
    <s v="MANAGER7"/>
    <s v="POSITIVO"/>
    <d v="1899-12-30T04:51:00"/>
    <m/>
    <d v="1899-12-30T04:51:00"/>
    <s v="POSITION1"/>
    <x v="0"/>
    <x v="16"/>
  </r>
  <r>
    <n v="220345"/>
    <s v="People88"/>
    <s v="department"/>
    <s v="REGION1"/>
    <s v="STORE1"/>
    <s v="MANAGER1"/>
    <s v="POSITIVO"/>
    <d v="1899-12-30T04:50:00"/>
    <m/>
    <d v="1899-12-30T04:50:00"/>
    <s v="POSITION1"/>
    <x v="0"/>
    <x v="0"/>
  </r>
  <r>
    <n v="237832"/>
    <s v="People89"/>
    <s v="department"/>
    <s v="REGION1"/>
    <s v="STORE25"/>
    <s v="MANAGER12"/>
    <s v="POSITIVO"/>
    <d v="1899-12-30T04:35:00"/>
    <m/>
    <d v="1899-12-30T04:35:00"/>
    <s v="POSITION1"/>
    <x v="0"/>
    <x v="24"/>
  </r>
  <r>
    <n v="216584"/>
    <s v="People90"/>
    <s v="department"/>
    <s v="REGION1"/>
    <s v="STORE21"/>
    <s v="MANAGER2"/>
    <s v="POSITIVO"/>
    <d v="1899-12-30T04:22:00"/>
    <m/>
    <d v="1899-12-30T04:22:00"/>
    <s v="POSITION7"/>
    <x v="0"/>
    <x v="20"/>
  </r>
  <r>
    <n v="220936"/>
    <s v="People91"/>
    <s v="department"/>
    <s v="REGION1"/>
    <s v="STORE10"/>
    <s v="MANAGER8"/>
    <s v="POSITIVO"/>
    <d v="1899-12-30T04:16:00"/>
    <m/>
    <d v="1899-12-30T04:16:00"/>
    <s v="POSITION3"/>
    <x v="0"/>
    <x v="9"/>
  </r>
  <r>
    <n v="223261"/>
    <s v="People92"/>
    <s v="department"/>
    <s v="REGION1"/>
    <s v="STORE3"/>
    <s v="MANAGER3"/>
    <s v="POSITIVO"/>
    <d v="1899-12-30T04:16:00"/>
    <m/>
    <d v="1899-12-30T04:16:00"/>
    <s v="POSITION1"/>
    <x v="0"/>
    <x v="2"/>
  </r>
  <r>
    <n v="222715"/>
    <s v="People93"/>
    <s v="department"/>
    <s v="REGION1"/>
    <s v="STORE23"/>
    <s v="MANAGER5"/>
    <s v="POSITIVO"/>
    <d v="1899-12-30T02:17:00"/>
    <m/>
    <d v="1899-12-30T02:17:00"/>
    <s v="POSITION4"/>
    <x v="0"/>
    <x v="22"/>
  </r>
  <r>
    <n v="222408"/>
    <s v="People94"/>
    <s v="department"/>
    <s v="REGION1"/>
    <s v="STORE30"/>
    <s v="MANAGER12"/>
    <s v="POSITIVO"/>
    <d v="1899-12-30T02:07:00"/>
    <m/>
    <d v="1899-12-30T02:07:00"/>
    <s v="POSITION3"/>
    <x v="0"/>
    <x v="29"/>
  </r>
  <r>
    <n v="230437"/>
    <s v="People95"/>
    <s v="department"/>
    <s v="REGION1"/>
    <s v="STORE3"/>
    <s v="MANAGER3"/>
    <s v="POSITIVO"/>
    <d v="1899-12-30T01:43:00"/>
    <m/>
    <d v="1899-12-30T01:43:00"/>
    <s v="POSITION1"/>
    <x v="0"/>
    <x v="2"/>
  </r>
  <r>
    <n v="237886"/>
    <s v="People96"/>
    <s v="department"/>
    <s v="REGION1"/>
    <s v="STORE3"/>
    <s v="MANAGER3"/>
    <s v="POSITIVO"/>
    <d v="1899-12-30T01:19:00"/>
    <m/>
    <d v="1899-12-30T01:19:00"/>
    <s v="POSITION1"/>
    <x v="0"/>
    <x v="2"/>
  </r>
  <r>
    <n v="237422"/>
    <s v="People97"/>
    <s v="department"/>
    <s v="REGION1"/>
    <s v="STORE9"/>
    <s v="MANAGER7"/>
    <s v="POSITIVO"/>
    <d v="1899-12-30T01:12:00"/>
    <m/>
    <d v="1899-12-30T01:12:00"/>
    <s v="POSITION3"/>
    <x v="0"/>
    <x v="8"/>
  </r>
  <r>
    <n v="234931"/>
    <s v="People98"/>
    <s v="department"/>
    <s v="REGION1"/>
    <s v="STORE6"/>
    <s v="MANAGER6"/>
    <s v="POSITIVO"/>
    <d v="1899-12-30T01:08:00"/>
    <m/>
    <d v="1899-12-30T01:08:00"/>
    <s v="POSITION1"/>
    <x v="0"/>
    <x v="5"/>
  </r>
  <r>
    <n v="232961"/>
    <s v="People99"/>
    <s v="department"/>
    <s v="REGION1"/>
    <s v="STORE17"/>
    <s v="MANAGER7"/>
    <s v="POSITIVO"/>
    <d v="1899-12-30T00:36:00"/>
    <m/>
    <d v="1899-12-30T00:36:00"/>
    <s v="POSITION1"/>
    <x v="0"/>
    <x v="16"/>
  </r>
  <r>
    <n v="235978"/>
    <s v="People100"/>
    <s v="department"/>
    <s v="REGION1"/>
    <s v="STORE25"/>
    <s v="MANAGER12"/>
    <s v="POSITIVO"/>
    <d v="1899-12-30T00:35:00"/>
    <m/>
    <d v="1899-12-30T00:35:00"/>
    <s v="POSITION1"/>
    <x v="0"/>
    <x v="24"/>
  </r>
  <r>
    <n v="225515"/>
    <s v="People101"/>
    <s v="department"/>
    <s v="REGION1"/>
    <s v="STORE5"/>
    <s v="MANAGER5"/>
    <s v="POSITIVO"/>
    <d v="1899-12-30T00:30:00"/>
    <m/>
    <d v="1899-12-30T00:30:00"/>
    <s v="POSITION1"/>
    <x v="0"/>
    <x v="4"/>
  </r>
  <r>
    <n v="236141"/>
    <s v="People102"/>
    <s v="department"/>
    <s v="REGION1"/>
    <s v="STORE9"/>
    <s v="MANAGER7"/>
    <s v="POSITIVO"/>
    <d v="1899-12-30T00:27:00"/>
    <m/>
    <d v="1899-12-30T00:27:00"/>
    <s v="POSITION3"/>
    <x v="0"/>
    <x v="8"/>
  </r>
  <r>
    <n v="235586"/>
    <s v="People103"/>
    <s v="department"/>
    <s v="REGION1"/>
    <s v="STORE31"/>
    <s v="MANAGER2"/>
    <s v="POSITIVO"/>
    <d v="1899-12-30T00:23:00"/>
    <m/>
    <d v="1899-12-30T00:23:00"/>
    <s v="POSITION2"/>
    <x v="0"/>
    <x v="30"/>
  </r>
  <r>
    <n v="203299"/>
    <s v="People104"/>
    <s v="department"/>
    <s v="REGION1"/>
    <s v="STORE32"/>
    <s v="MANAGER2"/>
    <s v="POSITIVO"/>
    <d v="1899-12-30T00:19:00"/>
    <m/>
    <d v="1899-12-30T00:19:00"/>
    <s v="POSITION2"/>
    <x v="0"/>
    <x v="31"/>
  </r>
  <r>
    <n v="237567"/>
    <s v="People105"/>
    <s v="department"/>
    <s v="REGION2"/>
    <s v="STORE33"/>
    <s v="MANAGER13"/>
    <s v="NEGATIVO"/>
    <d v="1899-12-30T11:27:00"/>
    <d v="1899-12-30T11:27:00"/>
    <m/>
    <s v="POSITION1"/>
    <x v="1"/>
    <x v="32"/>
  </r>
  <r>
    <n v="230275"/>
    <s v="People106"/>
    <s v="department"/>
    <s v="REGION2"/>
    <s v="STORE34"/>
    <s v="MANAGER14"/>
    <s v="NEGATIVO"/>
    <d v="1899-12-30T04:43:00"/>
    <d v="1899-12-30T04:43:00"/>
    <m/>
    <s v="POSITION2"/>
    <x v="1"/>
    <x v="33"/>
  </r>
  <r>
    <n v="235485"/>
    <s v="People107"/>
    <s v="department"/>
    <s v="REGION2"/>
    <s v="STORE35"/>
    <s v="MANAGER14"/>
    <s v="NEGATIVO"/>
    <d v="1899-12-30T02:23:00"/>
    <d v="1899-12-30T02:23:00"/>
    <m/>
    <s v="POSITION2"/>
    <x v="1"/>
    <x v="34"/>
  </r>
  <r>
    <n v="225540"/>
    <s v="People108"/>
    <s v="department"/>
    <s v="REGION2"/>
    <s v="STORE36"/>
    <s v="MANAGER15"/>
    <s v="NEGATIVO"/>
    <d v="1900-01-02T18:41:00"/>
    <d v="1900-01-02T18:41:00"/>
    <m/>
    <s v="POSITION1"/>
    <x v="1"/>
    <x v="35"/>
  </r>
  <r>
    <n v="235902"/>
    <s v="People109"/>
    <s v="department"/>
    <s v="REGION2"/>
    <s v="STORE37"/>
    <s v="MANAGER16"/>
    <s v="NEGATIVO"/>
    <d v="1899-12-30T20:11:00"/>
    <d v="1899-12-30T20:11:00"/>
    <m/>
    <s v="POSITION1"/>
    <x v="1"/>
    <x v="36"/>
  </r>
  <r>
    <n v="216610"/>
    <s v="People110"/>
    <s v="department"/>
    <s v="REGION2"/>
    <s v="STORE38"/>
    <s v="MANAGER14"/>
    <s v="NEGATIVO"/>
    <d v="1899-12-30T04:00:00"/>
    <d v="1899-12-30T04:00:00"/>
    <m/>
    <s v="POSITION9"/>
    <x v="1"/>
    <x v="37"/>
  </r>
  <r>
    <n v="218528"/>
    <s v="People111"/>
    <s v="department"/>
    <s v="REGION2"/>
    <s v="STORE39"/>
    <s v="MANAGER17"/>
    <s v="NEGATIVO"/>
    <d v="1900-01-01T17:39:00"/>
    <d v="1900-01-01T17:39:00"/>
    <m/>
    <s v="POSITION3"/>
    <x v="1"/>
    <x v="38"/>
  </r>
  <r>
    <n v="235498"/>
    <s v="People112"/>
    <s v="department"/>
    <s v="REGION2"/>
    <s v="STORE37"/>
    <s v="MANAGER16"/>
    <s v="NEGATIVO"/>
    <d v="1899-12-31T22:24:00"/>
    <d v="1899-12-31T22:24:00"/>
    <m/>
    <s v="POSITION1"/>
    <x v="1"/>
    <x v="36"/>
  </r>
  <r>
    <n v="201881"/>
    <s v="People113"/>
    <s v="department"/>
    <s v="REGION2"/>
    <s v="STORE40"/>
    <s v="MANAGER18"/>
    <s v="NEGATIVO"/>
    <d v="1899-12-30T16:00:00"/>
    <d v="1899-12-30T16:00:00"/>
    <m/>
    <s v="POSITION4"/>
    <x v="1"/>
    <x v="39"/>
  </r>
  <r>
    <n v="224507"/>
    <s v="People114"/>
    <s v="department"/>
    <s v="REGION2"/>
    <s v="STORE37"/>
    <s v="MANAGER16"/>
    <s v="NEGATIVO"/>
    <d v="1899-12-30T12:25:00"/>
    <d v="1899-12-30T12:25:00"/>
    <m/>
    <s v="POSITION1"/>
    <x v="1"/>
    <x v="36"/>
  </r>
  <r>
    <n v="238087"/>
    <s v="People115"/>
    <s v="department"/>
    <s v="REGION2"/>
    <s v="STORE41"/>
    <s v="MANAGER19"/>
    <s v="NEGATIVO"/>
    <d v="1899-12-30T07:56:00"/>
    <d v="1899-12-30T07:56:00"/>
    <m/>
    <s v="POSITION1"/>
    <x v="1"/>
    <x v="40"/>
  </r>
  <r>
    <n v="230181"/>
    <s v="People116"/>
    <s v="department"/>
    <s v="REGION2"/>
    <s v="STORE42"/>
    <s v="MANAGER17"/>
    <s v="NEGATIVO"/>
    <d v="1900-01-01T20:12:00"/>
    <d v="1900-01-01T20:12:00"/>
    <m/>
    <s v="POSITION1"/>
    <x v="1"/>
    <x v="41"/>
  </r>
  <r>
    <n v="237176"/>
    <s v="People117"/>
    <s v="department"/>
    <s v="REGION2"/>
    <s v="STORE43"/>
    <s v="MANAGER15"/>
    <s v="NEGATIVO"/>
    <d v="1900-01-14T07:03:00"/>
    <d v="1900-01-14T07:03:00"/>
    <m/>
    <s v="POSITION3"/>
    <x v="1"/>
    <x v="42"/>
  </r>
  <r>
    <n v="230025"/>
    <s v="People118"/>
    <s v="department"/>
    <s v="REGION2"/>
    <s v="STORE44"/>
    <s v="MANAGER20"/>
    <s v="NEGATIVO"/>
    <d v="1899-12-30T18:40:00"/>
    <d v="1899-12-30T18:40:00"/>
    <m/>
    <s v="POSITION1"/>
    <x v="1"/>
    <x v="43"/>
  </r>
  <r>
    <n v="225158"/>
    <s v="People119"/>
    <s v="department"/>
    <s v="REGION2"/>
    <s v="STORE42"/>
    <s v="MANAGER17"/>
    <s v="NEGATIVO"/>
    <d v="1899-12-31T01:46:00"/>
    <d v="1899-12-31T01:46:00"/>
    <m/>
    <s v="POSITION1"/>
    <x v="1"/>
    <x v="41"/>
  </r>
  <r>
    <n v="233181"/>
    <s v="People120"/>
    <s v="department"/>
    <s v="REGION2"/>
    <s v="STORE40"/>
    <s v="MANAGER18"/>
    <s v="NEGATIVO"/>
    <d v="1899-12-30T10:11:00"/>
    <d v="1899-12-30T10:11:00"/>
    <m/>
    <s v="POSITION3"/>
    <x v="1"/>
    <x v="39"/>
  </r>
  <r>
    <n v="229668"/>
    <s v="People121"/>
    <s v="department"/>
    <s v="REGION2"/>
    <s v="STORE39"/>
    <s v="MANAGER17"/>
    <s v="NEGATIVO"/>
    <d v="1900-01-03T05:24:00"/>
    <d v="1900-01-03T05:24:00"/>
    <m/>
    <s v="POSITION3"/>
    <x v="1"/>
    <x v="38"/>
  </r>
  <r>
    <n v="236872"/>
    <s v="People122"/>
    <s v="department"/>
    <s v="REGION2"/>
    <s v="STORE40"/>
    <s v="MANAGER18"/>
    <s v="NEGATIVO"/>
    <d v="1899-12-30T16:32:00"/>
    <d v="1899-12-30T16:32:00"/>
    <m/>
    <s v="POSITION3"/>
    <x v="1"/>
    <x v="39"/>
  </r>
  <r>
    <n v="237593"/>
    <s v="People123"/>
    <s v="department"/>
    <s v="REGION2"/>
    <s v="STORE45"/>
    <s v="MANAGER21"/>
    <s v="NEGATIVO"/>
    <d v="1899-12-30T03:56:00"/>
    <d v="1899-12-30T03:56:00"/>
    <m/>
    <s v="POSITION1"/>
    <x v="1"/>
    <x v="44"/>
  </r>
  <r>
    <n v="236234"/>
    <s v="People124"/>
    <s v="department"/>
    <s v="REGION2"/>
    <s v="STORE36"/>
    <s v="MANAGER15"/>
    <s v="NEGATIVO"/>
    <d v="1900-01-06T12:00:00"/>
    <d v="1900-01-06T12:00:00"/>
    <m/>
    <s v="POSITION1"/>
    <x v="1"/>
    <x v="35"/>
  </r>
  <r>
    <n v="202075"/>
    <s v="People125"/>
    <s v="department"/>
    <s v="REGION2"/>
    <s v="STORE45"/>
    <s v="MANAGER21"/>
    <s v="NEGATIVO"/>
    <d v="1899-12-30T01:50:00"/>
    <d v="1899-12-30T01:50:00"/>
    <m/>
    <s v="POSITION1"/>
    <x v="1"/>
    <x v="44"/>
  </r>
  <r>
    <n v="219966"/>
    <s v="People126"/>
    <s v="department"/>
    <s v="REGION2"/>
    <s v="STORE46"/>
    <s v="MANAGER13"/>
    <s v="NEGATIVO"/>
    <d v="1899-12-30T18:36:00"/>
    <d v="1899-12-30T18:36:00"/>
    <m/>
    <s v="POSITION4"/>
    <x v="1"/>
    <x v="45"/>
  </r>
  <r>
    <n v="201568"/>
    <s v="People127"/>
    <s v="department"/>
    <s v="REGION2"/>
    <s v="STORE36"/>
    <s v="MANAGER15"/>
    <s v="NEGATIVO"/>
    <d v="1900-01-02T12:28:00"/>
    <d v="1900-01-02T12:28:00"/>
    <m/>
    <s v="POSITION1"/>
    <x v="1"/>
    <x v="35"/>
  </r>
  <r>
    <n v="224559"/>
    <s v="People128"/>
    <s v="department"/>
    <s v="REGION2"/>
    <s v="STORE43"/>
    <s v="MANAGER15"/>
    <s v="NEGATIVO"/>
    <d v="1899-12-31T00:40:00"/>
    <d v="1899-12-31T00:40:00"/>
    <m/>
    <s v="POSITION4"/>
    <x v="1"/>
    <x v="42"/>
  </r>
  <r>
    <n v="232706"/>
    <s v="People129"/>
    <s v="department"/>
    <s v="REGION2"/>
    <s v="STORE47"/>
    <s v="MANAGER18"/>
    <s v="NEGATIVO"/>
    <d v="1899-12-30T11:30:00"/>
    <d v="1899-12-30T11:30:00"/>
    <m/>
    <s v="POSITION1"/>
    <x v="1"/>
    <x v="46"/>
  </r>
  <r>
    <n v="222975"/>
    <s v="People130"/>
    <s v="department"/>
    <s v="REGION2"/>
    <s v="STORE48"/>
    <s v="MANAGER14"/>
    <s v="NEGATIVO"/>
    <d v="1899-12-30T03:34:00"/>
    <d v="1899-12-30T03:34:00"/>
    <m/>
    <s v="POSITION2"/>
    <x v="1"/>
    <x v="47"/>
  </r>
  <r>
    <n v="236333"/>
    <s v="People131"/>
    <s v="department"/>
    <s v="REGION2"/>
    <s v="STORE42"/>
    <s v="MANAGER17"/>
    <s v="NEGATIVO"/>
    <d v="1899-12-30T07:29:00"/>
    <d v="1899-12-30T07:29:00"/>
    <m/>
    <s v="POSITION1"/>
    <x v="1"/>
    <x v="41"/>
  </r>
  <r>
    <n v="237203"/>
    <s v="People132"/>
    <s v="department"/>
    <s v="REGION2"/>
    <s v="STORE49"/>
    <s v="MANAGER22"/>
    <s v="NEGATIVO"/>
    <d v="1899-12-30T01:53:00"/>
    <d v="1899-12-30T01:53:00"/>
    <m/>
    <s v="POSITION3"/>
    <x v="1"/>
    <x v="48"/>
  </r>
  <r>
    <n v="236819"/>
    <s v="People133"/>
    <s v="department"/>
    <s v="REGION2"/>
    <s v="STORE33"/>
    <s v="MANAGER13"/>
    <s v="NEGATIVO"/>
    <d v="1900-01-03T19:23:00"/>
    <d v="1900-01-03T19:23:00"/>
    <m/>
    <s v="POSITION1"/>
    <x v="1"/>
    <x v="32"/>
  </r>
  <r>
    <n v="202070"/>
    <s v="People134"/>
    <s v="department"/>
    <s v="REGION2"/>
    <s v="STORE50"/>
    <s v="MANAGER21"/>
    <s v="NEGATIVO"/>
    <d v="1899-12-30T06:17:00"/>
    <d v="1899-12-30T06:17:00"/>
    <m/>
    <s v="POSITION4"/>
    <x v="1"/>
    <x v="49"/>
  </r>
  <r>
    <n v="238045"/>
    <s v="People135"/>
    <s v="department"/>
    <s v="REGION2"/>
    <s v="STORE41"/>
    <s v="MANAGER19"/>
    <s v="NEGATIVO"/>
    <d v="1899-12-30T16:49:00"/>
    <d v="1899-12-30T16:49:00"/>
    <m/>
    <s v="POSITION1"/>
    <x v="1"/>
    <x v="40"/>
  </r>
  <r>
    <n v="236997"/>
    <s v="People136"/>
    <s v="department"/>
    <s v="REGION2"/>
    <s v="STORE38"/>
    <s v="MANAGER14"/>
    <s v="NEGATIVO"/>
    <d v="1899-12-30T13:18:00"/>
    <d v="1899-12-30T13:18:00"/>
    <m/>
    <s v="POSITION2"/>
    <x v="1"/>
    <x v="37"/>
  </r>
  <r>
    <n v="234795"/>
    <s v="People137"/>
    <s v="department"/>
    <s v="REGION2"/>
    <s v="STORE51"/>
    <s v="MANAGER23"/>
    <s v="NEGATIVO"/>
    <d v="1900-01-03T06:53:00"/>
    <d v="1900-01-03T06:53:00"/>
    <m/>
    <s v="POSITION1"/>
    <x v="1"/>
    <x v="50"/>
  </r>
  <r>
    <n v="231222"/>
    <s v="People138"/>
    <s v="department"/>
    <s v="REGION2"/>
    <s v="STORE49"/>
    <s v="MANAGER22"/>
    <s v="NEGATIVO"/>
    <d v="1899-12-31T04:21:00"/>
    <d v="1899-12-31T04:21:00"/>
    <m/>
    <s v="POSITION4"/>
    <x v="1"/>
    <x v="48"/>
  </r>
  <r>
    <n v="237379"/>
    <s v="People139"/>
    <s v="department"/>
    <s v="REGION2"/>
    <s v="STORE52"/>
    <s v="MANAGER22"/>
    <s v="NEGATIVO"/>
    <d v="1899-12-30T04:11:00"/>
    <d v="1899-12-30T04:11:00"/>
    <m/>
    <s v="POSITION1"/>
    <x v="1"/>
    <x v="51"/>
  </r>
  <r>
    <n v="233322"/>
    <s v="People140"/>
    <s v="department"/>
    <s v="REGION2"/>
    <s v="STORE53"/>
    <s v="MANAGER19"/>
    <s v="NEGATIVO"/>
    <d v="1899-12-30T10:53:00"/>
    <d v="1899-12-30T10:53:00"/>
    <m/>
    <s v="POSITION3"/>
    <x v="1"/>
    <x v="52"/>
  </r>
  <r>
    <n v="225048"/>
    <s v="People141"/>
    <s v="department"/>
    <s v="REGION2"/>
    <s v="STORE47"/>
    <s v="MANAGER18"/>
    <s v="NEGATIVO"/>
    <d v="1899-12-30T03:49:00"/>
    <d v="1899-12-30T03:49:00"/>
    <m/>
    <s v="POSITION1"/>
    <x v="1"/>
    <x v="46"/>
  </r>
  <r>
    <n v="232824"/>
    <s v="People142"/>
    <s v="department"/>
    <s v="REGION2"/>
    <s v="STORE46"/>
    <s v="MANAGER13"/>
    <s v="NEGATIVO"/>
    <d v="1899-12-31T02:09:00"/>
    <d v="1899-12-31T02:09:00"/>
    <m/>
    <s v="POSITION3"/>
    <x v="1"/>
    <x v="45"/>
  </r>
  <r>
    <n v="202844"/>
    <s v="People143"/>
    <s v="department"/>
    <s v="REGION2"/>
    <s v="STORE39"/>
    <s v="MANAGER17"/>
    <s v="NEGATIVO"/>
    <d v="1900-01-02T13:33:00"/>
    <d v="1900-01-02T13:33:00"/>
    <m/>
    <s v="POSITION4"/>
    <x v="1"/>
    <x v="38"/>
  </r>
  <r>
    <n v="232810"/>
    <s v="People144"/>
    <s v="department"/>
    <s v="REGION2"/>
    <s v="STORE36"/>
    <s v="MANAGER15"/>
    <s v="NEGATIVO"/>
    <d v="1899-12-30T22:37:00"/>
    <d v="1899-12-30T22:37:00"/>
    <m/>
    <s v="POSITION1"/>
    <x v="1"/>
    <x v="35"/>
  </r>
  <r>
    <n v="233797"/>
    <s v="People145"/>
    <s v="department"/>
    <s v="REGION2"/>
    <s v="STORE43"/>
    <s v="MANAGER15"/>
    <s v="NEGATIVO"/>
    <d v="1900-01-02T16:00:00"/>
    <d v="1900-01-02T16:00:00"/>
    <m/>
    <s v="POSITION3"/>
    <x v="1"/>
    <x v="42"/>
  </r>
  <r>
    <n v="225474"/>
    <s v="People146"/>
    <s v="department"/>
    <s v="REGION2"/>
    <s v="STORE53"/>
    <s v="MANAGER19"/>
    <s v="POSITIVO"/>
    <d v="1900-01-09T14:26:00"/>
    <m/>
    <d v="1900-01-09T14:26:00"/>
    <s v="POSITION4"/>
    <x v="1"/>
    <x v="52"/>
  </r>
  <r>
    <n v="223943"/>
    <s v="People147"/>
    <s v="department"/>
    <s v="REGION2"/>
    <s v="STORE47"/>
    <s v="MANAGER18"/>
    <s v="POSITIVO"/>
    <d v="1900-01-05T15:46:00"/>
    <m/>
    <d v="1900-01-05T15:46:00"/>
    <s v="POSITION1"/>
    <x v="1"/>
    <x v="46"/>
  </r>
  <r>
    <n v="235040"/>
    <s v="People148"/>
    <s v="department"/>
    <s v="REGION2"/>
    <s v="STORE51"/>
    <s v="MANAGER23"/>
    <s v="POSITIVO"/>
    <d v="1900-01-05T11:47:00"/>
    <m/>
    <d v="1900-01-05T11:47:00"/>
    <s v="POSITION1"/>
    <x v="1"/>
    <x v="50"/>
  </r>
  <r>
    <n v="234858"/>
    <s v="People149"/>
    <s v="department"/>
    <s v="REGION2"/>
    <s v="STORE52"/>
    <s v="MANAGER22"/>
    <s v="POSITIVO"/>
    <d v="1900-01-05T01:12:00"/>
    <m/>
    <d v="1900-01-05T01:12:00"/>
    <s v="POSITION1"/>
    <x v="1"/>
    <x v="51"/>
  </r>
  <r>
    <n v="236436"/>
    <s v="People150"/>
    <s v="department"/>
    <s v="REGION2"/>
    <s v="STORE52"/>
    <s v="MANAGER22"/>
    <s v="POSITIVO"/>
    <d v="1900-01-04T13:33:00"/>
    <m/>
    <d v="1900-01-04T13:33:00"/>
    <s v="POSITION1"/>
    <x v="1"/>
    <x v="51"/>
  </r>
  <r>
    <n v="232793"/>
    <s v="People151"/>
    <s v="department"/>
    <s v="REGION2"/>
    <s v="STORE54"/>
    <s v="MANAGER19"/>
    <s v="POSITIVO"/>
    <d v="1900-01-03T18:14:00"/>
    <m/>
    <d v="1900-01-03T18:14:00"/>
    <s v="POSITION1"/>
    <x v="1"/>
    <x v="53"/>
  </r>
  <r>
    <n v="231144"/>
    <s v="People152"/>
    <s v="department"/>
    <s v="REGION2"/>
    <s v="STORE52"/>
    <s v="MANAGER22"/>
    <s v="POSITIVO"/>
    <d v="1900-01-03T13:46:00"/>
    <m/>
    <d v="1900-01-03T13:46:00"/>
    <s v="POSITION1"/>
    <x v="1"/>
    <x v="51"/>
  </r>
  <r>
    <n v="234733"/>
    <s v="People153"/>
    <s v="department"/>
    <s v="REGION2"/>
    <s v="STORE51"/>
    <s v="MANAGER23"/>
    <s v="POSITIVO"/>
    <d v="1900-01-03T03:22:00"/>
    <m/>
    <d v="1900-01-03T03:22:00"/>
    <s v="POSITION1"/>
    <x v="1"/>
    <x v="50"/>
  </r>
  <r>
    <n v="223849"/>
    <s v="People154"/>
    <s v="department"/>
    <s v="REGION2"/>
    <s v="STORE33"/>
    <s v="MANAGER13"/>
    <s v="POSITIVO"/>
    <d v="1900-01-02T13:51:00"/>
    <m/>
    <d v="1900-01-02T13:51:00"/>
    <s v="POSITION1"/>
    <x v="1"/>
    <x v="32"/>
  </r>
  <r>
    <n v="232882"/>
    <s v="People155"/>
    <s v="department"/>
    <s v="REGION2"/>
    <s v="STORE41"/>
    <s v="MANAGER19"/>
    <s v="POSITIVO"/>
    <d v="1900-01-01T18:43:00"/>
    <m/>
    <d v="1900-01-01T18:43:00"/>
    <s v="POSITION1"/>
    <x v="1"/>
    <x v="40"/>
  </r>
  <r>
    <n v="202746"/>
    <s v="People156"/>
    <s v="department"/>
    <s v="REGION2"/>
    <s v="STORE47"/>
    <s v="MANAGER18"/>
    <s v="POSITIVO"/>
    <d v="1900-01-01T17:49:00"/>
    <m/>
    <d v="1900-01-01T17:49:00"/>
    <s v="POSITION1"/>
    <x v="1"/>
    <x v="46"/>
  </r>
  <r>
    <n v="237413"/>
    <s v="People157"/>
    <s v="department"/>
    <s v="REGION2"/>
    <s v="STORE33"/>
    <s v="MANAGER13"/>
    <s v="POSITIVO"/>
    <d v="1899-12-31T23:29:00"/>
    <m/>
    <d v="1899-12-31T23:29:00"/>
    <s v="POSITION1"/>
    <x v="1"/>
    <x v="32"/>
  </r>
  <r>
    <n v="231747"/>
    <s v="People158"/>
    <s v="department"/>
    <s v="REGION2"/>
    <s v="STORE44"/>
    <s v="MANAGER20"/>
    <s v="POSITIVO"/>
    <d v="1899-12-31T19:15:00"/>
    <m/>
    <d v="1899-12-31T19:15:00"/>
    <s v="POSITION1"/>
    <x v="1"/>
    <x v="43"/>
  </r>
  <r>
    <n v="222047"/>
    <s v="People159"/>
    <s v="department"/>
    <s v="REGION2"/>
    <s v="STORE47"/>
    <s v="MANAGER18"/>
    <s v="POSITIVO"/>
    <d v="1899-12-31T18:14:00"/>
    <m/>
    <d v="1899-12-31T18:14:00"/>
    <s v="POSITION1"/>
    <x v="1"/>
    <x v="46"/>
  </r>
  <r>
    <n v="237417"/>
    <s v="People160"/>
    <s v="department"/>
    <s v="REGION2"/>
    <s v="STORE51"/>
    <s v="MANAGER23"/>
    <s v="POSITIVO"/>
    <d v="1899-12-31T18:00:00"/>
    <m/>
    <d v="1899-12-31T18:00:00"/>
    <s v="POSITION1"/>
    <x v="1"/>
    <x v="50"/>
  </r>
  <r>
    <n v="229602"/>
    <s v="People161"/>
    <s v="department"/>
    <s v="REGION2"/>
    <s v="STORE37"/>
    <s v="MANAGER16"/>
    <s v="POSITIVO"/>
    <d v="1899-12-31T13:13:00"/>
    <m/>
    <d v="1899-12-31T13:13:00"/>
    <s v="POSITION1"/>
    <x v="1"/>
    <x v="36"/>
  </r>
  <r>
    <n v="232811"/>
    <s v="People162"/>
    <s v="department"/>
    <s v="REGION2"/>
    <s v="STORE47"/>
    <s v="MANAGER18"/>
    <s v="POSITIVO"/>
    <d v="1899-12-31T11:09:00"/>
    <m/>
    <d v="1899-12-31T11:09:00"/>
    <s v="POSITION1"/>
    <x v="1"/>
    <x v="46"/>
  </r>
  <r>
    <n v="223220"/>
    <s v="People163"/>
    <s v="department"/>
    <s v="REGION2"/>
    <s v="STORE53"/>
    <s v="MANAGER19"/>
    <s v="POSITIVO"/>
    <d v="1899-12-31T06:34:00"/>
    <m/>
    <d v="1899-12-31T06:34:00"/>
    <s v="POSITION3"/>
    <x v="1"/>
    <x v="52"/>
  </r>
  <r>
    <n v="201736"/>
    <s v="People164"/>
    <s v="department"/>
    <s v="REGION2"/>
    <s v="STORE55"/>
    <s v="MANAGER20"/>
    <s v="POSITIVO"/>
    <d v="1899-12-31T05:21:00"/>
    <m/>
    <d v="1899-12-31T05:21:00"/>
    <s v="POSITION3"/>
    <x v="1"/>
    <x v="54"/>
  </r>
  <r>
    <n v="235185"/>
    <s v="People165"/>
    <s v="department"/>
    <s v="REGION2"/>
    <s v="STORE42"/>
    <s v="MANAGER17"/>
    <s v="POSITIVO"/>
    <d v="1899-12-31T05:07:00"/>
    <m/>
    <d v="1899-12-31T05:07:00"/>
    <s v="POSITION1"/>
    <x v="1"/>
    <x v="41"/>
  </r>
  <r>
    <n v="202770"/>
    <s v="People166"/>
    <s v="department"/>
    <s v="REGION2"/>
    <s v="STORE55"/>
    <s v="MANAGER20"/>
    <s v="POSITIVO"/>
    <d v="1899-12-31T02:05:00"/>
    <m/>
    <d v="1899-12-31T02:05:00"/>
    <s v="POSITION3"/>
    <x v="1"/>
    <x v="54"/>
  </r>
  <r>
    <n v="232007"/>
    <s v="People167"/>
    <s v="department"/>
    <s v="REGION2"/>
    <s v="STORE44"/>
    <s v="MANAGER20"/>
    <s v="POSITIVO"/>
    <d v="1899-12-31T01:58:00"/>
    <m/>
    <d v="1899-12-31T01:58:00"/>
    <s v="POSITION1"/>
    <x v="1"/>
    <x v="43"/>
  </r>
  <r>
    <n v="229582"/>
    <s v="People168"/>
    <s v="department"/>
    <s v="REGION2"/>
    <s v="STORE55"/>
    <s v="MANAGER20"/>
    <s v="POSITIVO"/>
    <d v="1899-12-31T01:34:00"/>
    <m/>
    <d v="1899-12-31T01:34:00"/>
    <s v="POSITION10"/>
    <x v="1"/>
    <x v="54"/>
  </r>
  <r>
    <n v="232271"/>
    <s v="People169"/>
    <s v="department"/>
    <s v="REGION2"/>
    <s v="STORE45"/>
    <s v="MANAGER21"/>
    <s v="POSITIVO"/>
    <d v="1899-12-30T20:02:00"/>
    <m/>
    <d v="1899-12-30T20:02:00"/>
    <s v="POSITION1"/>
    <x v="1"/>
    <x v="44"/>
  </r>
  <r>
    <n v="201272"/>
    <s v="People170"/>
    <s v="department"/>
    <s v="REGION2"/>
    <s v="STORE44"/>
    <s v="MANAGER20"/>
    <s v="POSITIVO"/>
    <d v="1899-12-30T17:51:00"/>
    <m/>
    <d v="1899-12-30T17:51:00"/>
    <s v="POSITION1"/>
    <x v="1"/>
    <x v="43"/>
  </r>
  <r>
    <n v="235260"/>
    <s v="People171"/>
    <s v="department"/>
    <s v="REGION2"/>
    <s v="STORE56"/>
    <s v="MANAGER16"/>
    <s v="POSITIVO"/>
    <d v="1899-12-30T17:39:00"/>
    <m/>
    <d v="1899-12-30T17:39:00"/>
    <s v="POSITION3"/>
    <x v="1"/>
    <x v="55"/>
  </r>
  <r>
    <n v="230516"/>
    <s v="People172"/>
    <s v="department"/>
    <s v="REGION2"/>
    <s v="STORE45"/>
    <s v="MANAGER21"/>
    <s v="POSITIVO"/>
    <d v="1899-12-30T16:59:00"/>
    <m/>
    <d v="1899-12-30T16:59:00"/>
    <s v="POSITION1"/>
    <x v="1"/>
    <x v="44"/>
  </r>
  <r>
    <n v="235076"/>
    <s v="People173"/>
    <s v="department"/>
    <s v="REGION2"/>
    <s v="STORE57"/>
    <s v="MANAGER23"/>
    <s v="POSITIVO"/>
    <d v="1899-12-30T14:33:00"/>
    <m/>
    <d v="1899-12-30T14:33:00"/>
    <s v="POSITION3"/>
    <x v="1"/>
    <x v="56"/>
  </r>
  <r>
    <n v="234861"/>
    <s v="People174"/>
    <s v="department"/>
    <s v="REGION2"/>
    <s v="STORE57"/>
    <s v="MANAGER23"/>
    <s v="POSITIVO"/>
    <d v="1899-12-30T12:50:00"/>
    <m/>
    <d v="1899-12-30T12:50:00"/>
    <s v="POSITION4"/>
    <x v="1"/>
    <x v="56"/>
  </r>
  <r>
    <n v="231145"/>
    <s v="People175"/>
    <s v="department"/>
    <s v="REGION2"/>
    <s v="STORE58"/>
    <s v="MANAGER14"/>
    <s v="POSITIVO"/>
    <d v="1899-12-30T12:48:00"/>
    <m/>
    <d v="1899-12-30T12:48:00"/>
    <s v="POSITION2"/>
    <x v="1"/>
    <x v="57"/>
  </r>
  <r>
    <n v="215092"/>
    <s v="People176"/>
    <s v="department"/>
    <s v="REGION2"/>
    <s v="STORE59"/>
    <s v="MANAGER14"/>
    <s v="POSITIVO"/>
    <d v="1899-12-30T10:29:00"/>
    <m/>
    <d v="1899-12-30T10:29:00"/>
    <s v="POSITION9"/>
    <x v="1"/>
    <x v="58"/>
  </r>
  <r>
    <n v="238194"/>
    <s v="People177"/>
    <s v="department"/>
    <s v="REGION2"/>
    <s v="STORE42"/>
    <s v="MANAGER17"/>
    <s v="POSITIVO"/>
    <d v="1899-12-30T09:20:00"/>
    <m/>
    <d v="1899-12-30T09:20:00"/>
    <s v="POSITION1"/>
    <x v="1"/>
    <x v="41"/>
  </r>
  <r>
    <n v="221686"/>
    <s v="People178"/>
    <s v="department"/>
    <s v="REGION2"/>
    <s v="STORE50"/>
    <s v="MANAGER21"/>
    <s v="POSITIVO"/>
    <d v="1899-12-30T07:29:00"/>
    <m/>
    <d v="1899-12-30T07:29:00"/>
    <s v="POSITION3"/>
    <x v="1"/>
    <x v="49"/>
  </r>
  <r>
    <n v="233706"/>
    <s v="People179"/>
    <s v="department"/>
    <s v="REGION2"/>
    <s v="STORE42"/>
    <s v="MANAGER17"/>
    <s v="POSITIVO"/>
    <d v="1899-12-30T07:25:00"/>
    <m/>
    <d v="1899-12-30T07:25:00"/>
    <s v="POSITION1"/>
    <x v="1"/>
    <x v="41"/>
  </r>
  <r>
    <n v="216613"/>
    <s v="People180"/>
    <s v="department"/>
    <s v="REGION2"/>
    <s v="STORE60"/>
    <s v="MANAGER14"/>
    <s v="POSITIVO"/>
    <d v="1899-12-30T07:09:00"/>
    <m/>
    <d v="1899-12-30T07:09:00"/>
    <s v="POSITION9"/>
    <x v="1"/>
    <x v="59"/>
  </r>
  <r>
    <n v="221582"/>
    <s v="People181"/>
    <s v="department"/>
    <s v="REGION2"/>
    <s v="STORE61"/>
    <s v="MANAGER14"/>
    <s v="POSITIVO"/>
    <d v="1899-12-30T06:41:00"/>
    <m/>
    <d v="1899-12-30T06:41:00"/>
    <s v="POSITION2"/>
    <x v="1"/>
    <x v="60"/>
  </r>
  <r>
    <n v="222376"/>
    <s v="People182"/>
    <s v="department"/>
    <s v="REGION2"/>
    <s v="STORE62"/>
    <s v="MANAGER14"/>
    <s v="POSITIVO"/>
    <d v="1899-12-30T06:10:00"/>
    <m/>
    <d v="1899-12-30T06:10:00"/>
    <s v="POSITION9"/>
    <x v="1"/>
    <x v="61"/>
  </r>
  <r>
    <n v="229805"/>
    <s v="People183"/>
    <s v="department"/>
    <s v="REGION2"/>
    <s v="STORE45"/>
    <s v="MANAGER21"/>
    <s v="POSITIVO"/>
    <d v="1899-12-30T03:49:00"/>
    <m/>
    <d v="1899-12-30T03:49:00"/>
    <s v="POSITION1"/>
    <x v="1"/>
    <x v="44"/>
  </r>
  <r>
    <n v="223004"/>
    <s v="People184"/>
    <s v="department"/>
    <s v="REGION2"/>
    <s v="STORE56"/>
    <s v="MANAGER16"/>
    <s v="POSITIVO"/>
    <d v="1899-12-30T03:07:00"/>
    <m/>
    <d v="1899-12-30T03:07:00"/>
    <s v="POSITION4"/>
    <x v="1"/>
    <x v="55"/>
  </r>
  <r>
    <n v="233740"/>
    <s v="People185"/>
    <s v="department"/>
    <s v="REGION2"/>
    <s v="STORE44"/>
    <s v="MANAGER20"/>
    <s v="POSITIVO"/>
    <d v="1899-12-30T02:13:00"/>
    <m/>
    <d v="1899-12-30T02:13:00"/>
    <s v="POSITION1"/>
    <x v="1"/>
    <x v="43"/>
  </r>
  <r>
    <n v="200557"/>
    <s v="People186"/>
    <s v="department"/>
    <s v="REGION2"/>
    <s v="STORE55"/>
    <s v="MANAGER20"/>
    <s v="POSITIVO"/>
    <d v="1899-12-30T01:30:00"/>
    <m/>
    <d v="1899-12-30T01:30:00"/>
    <s v="POSITION4"/>
    <x v="1"/>
    <x v="54"/>
  </r>
  <r>
    <n v="203524"/>
    <s v="People187"/>
    <s v="department"/>
    <s v="REGION2"/>
    <s v="STORE47"/>
    <s v="MANAGER18"/>
    <s v="POSITIVO"/>
    <d v="1899-12-30T00:28:00"/>
    <m/>
    <d v="1899-12-30T00:28:00"/>
    <s v="POSITION1"/>
    <x v="1"/>
    <x v="46"/>
  </r>
  <r>
    <n v="224532"/>
    <s v="People188"/>
    <s v="department"/>
    <s v="REGION2"/>
    <s v="STORE50"/>
    <s v="MANAGER21"/>
    <s v="POSITIVO"/>
    <d v="1899-12-30T00:11:00"/>
    <m/>
    <d v="1899-12-30T00:11:00"/>
    <s v="POSITION3"/>
    <x v="1"/>
    <x v="49"/>
  </r>
  <r>
    <n v="201688"/>
    <s v="People189"/>
    <s v="department"/>
    <s v="REGION3"/>
    <s v="STORE63"/>
    <s v="MANAGER24"/>
    <s v="NEGATIVO"/>
    <d v="1899-12-30T08:46:00"/>
    <d v="1899-12-30T08:46:00"/>
    <m/>
    <s v="POSITION4"/>
    <x v="2"/>
    <x v="62"/>
  </r>
  <r>
    <n v="202952"/>
    <s v="People190"/>
    <s v="department"/>
    <s v="REGION3"/>
    <s v="STORE64"/>
    <s v="MANAGER25"/>
    <s v="NEGATIVO"/>
    <d v="1899-12-31T00:24:00"/>
    <d v="1899-12-31T00:24:00"/>
    <m/>
    <s v="POSITION1"/>
    <x v="2"/>
    <x v="63"/>
  </r>
  <r>
    <n v="235731"/>
    <s v="People191"/>
    <s v="department"/>
    <s v="REGION3"/>
    <s v="STORE65"/>
    <s v="MANAGER26"/>
    <s v="NEGATIVO"/>
    <d v="1899-12-30T12:49:00"/>
    <d v="1899-12-30T12:49:00"/>
    <m/>
    <s v="POSITION1"/>
    <x v="2"/>
    <x v="64"/>
  </r>
  <r>
    <n v="233464"/>
    <s v="People192"/>
    <s v="department"/>
    <s v="REGION3"/>
    <s v="STORE66"/>
    <s v="MANAGER27"/>
    <s v="NEGATIVO"/>
    <d v="1899-12-30T12:03:00"/>
    <d v="1899-12-30T12:03:00"/>
    <m/>
    <s v="POSITION1"/>
    <x v="2"/>
    <x v="65"/>
  </r>
  <r>
    <n v="201821"/>
    <s v="People193"/>
    <s v="department"/>
    <s v="REGION3"/>
    <s v="STORE67"/>
    <s v="MANAGER28"/>
    <s v="NEGATIVO"/>
    <d v="1899-12-30T12:05:00"/>
    <d v="1899-12-30T12:05:00"/>
    <m/>
    <s v="POSITION1"/>
    <x v="2"/>
    <x v="66"/>
  </r>
  <r>
    <n v="232920"/>
    <s v="People194"/>
    <s v="department"/>
    <s v="REGION3"/>
    <s v="STORE68"/>
    <s v="MANAGER29"/>
    <s v="NEGATIVO"/>
    <d v="1899-12-30T13:44:00"/>
    <d v="1899-12-30T13:44:00"/>
    <m/>
    <s v="POSITION5"/>
    <x v="2"/>
    <x v="67"/>
  </r>
  <r>
    <n v="212201"/>
    <s v="People195"/>
    <s v="department"/>
    <s v="REGION3"/>
    <s v="STORE69"/>
    <s v="MANAGER30"/>
    <s v="NEGATIVO"/>
    <d v="1899-12-31T04:51:00"/>
    <d v="1899-12-31T04:51:00"/>
    <m/>
    <s v="POSITION7"/>
    <x v="2"/>
    <x v="68"/>
  </r>
  <r>
    <n v="203589"/>
    <s v="People196"/>
    <s v="department"/>
    <s v="REGION3"/>
    <s v="STORE64"/>
    <s v="MANAGER25"/>
    <s v="NEGATIVO"/>
    <d v="1899-12-31T00:32:00"/>
    <d v="1899-12-31T00:32:00"/>
    <m/>
    <s v="POSITION1"/>
    <x v="2"/>
    <x v="63"/>
  </r>
  <r>
    <n v="201457"/>
    <s v="People197"/>
    <s v="department"/>
    <s v="REGION3"/>
    <s v="STORE63"/>
    <s v="MANAGER24"/>
    <s v="NEGATIVO"/>
    <d v="1899-12-31T01:03:00"/>
    <d v="1899-12-31T01:03:00"/>
    <m/>
    <s v="POSITION3"/>
    <x v="2"/>
    <x v="62"/>
  </r>
  <r>
    <n v="222487"/>
    <s v="People198"/>
    <s v="department"/>
    <s v="REGION3"/>
    <s v="STORE70"/>
    <s v="MANAGER30"/>
    <s v="NEGATIVO"/>
    <d v="1899-12-30T08:45:00"/>
    <d v="1899-12-30T08:45:00"/>
    <m/>
    <s v="POSITION2"/>
    <x v="2"/>
    <x v="69"/>
  </r>
  <r>
    <n v="232916"/>
    <s v="People199"/>
    <s v="department"/>
    <s v="REGION3"/>
    <s v="STORE71"/>
    <s v="MANAGER31"/>
    <s v="NEGATIVO"/>
    <d v="1900-01-06T12:00:00"/>
    <d v="1900-01-06T12:00:00"/>
    <m/>
    <s v="POSITION1"/>
    <x v="2"/>
    <x v="70"/>
  </r>
  <r>
    <n v="201614"/>
    <s v="People200"/>
    <s v="department"/>
    <s v="REGION3"/>
    <s v="STORE72"/>
    <s v="MANAGER32"/>
    <s v="NEGATIVO"/>
    <d v="1899-12-30T04:00:00"/>
    <d v="1899-12-30T04:00:00"/>
    <m/>
    <s v="POSITION3"/>
    <x v="2"/>
    <x v="71"/>
  </r>
  <r>
    <n v="233935"/>
    <s v="People201"/>
    <s v="department"/>
    <s v="REGION3"/>
    <s v="STORE73"/>
    <s v="MANAGER33"/>
    <s v="NEGATIVO"/>
    <d v="1899-12-30T04:49:00"/>
    <d v="1899-12-30T04:49:00"/>
    <m/>
    <s v="POSITION1"/>
    <x v="2"/>
    <x v="72"/>
  </r>
  <r>
    <n v="219749"/>
    <s v="People202"/>
    <s v="department"/>
    <s v="REGION3"/>
    <s v="STORE74"/>
    <s v="MANAGER34"/>
    <s v="NEGATIVO"/>
    <d v="1900-01-01T14:19:00"/>
    <d v="1900-01-01T14:19:00"/>
    <m/>
    <s v="POSITION3"/>
    <x v="2"/>
    <x v="73"/>
  </r>
  <r>
    <n v="223801"/>
    <s v="People203"/>
    <s v="department"/>
    <s v="REGION3"/>
    <s v="STORE75"/>
    <s v="MANAGER34"/>
    <s v="NEGATIVO"/>
    <d v="1899-12-30T18:25:00"/>
    <d v="1899-12-30T18:25:00"/>
    <m/>
    <s v="POSITION1"/>
    <x v="2"/>
    <x v="74"/>
  </r>
  <r>
    <n v="217786"/>
    <s v="People204"/>
    <s v="department"/>
    <s v="REGION3"/>
    <s v="STORE63"/>
    <s v="MANAGER24"/>
    <s v="NEGATIVO"/>
    <d v="1899-12-30T21:24:00"/>
    <d v="1899-12-30T21:24:00"/>
    <m/>
    <s v="POSITION3"/>
    <x v="2"/>
    <x v="62"/>
  </r>
  <r>
    <n v="237751"/>
    <s v="People205"/>
    <s v="department"/>
    <s v="REGION3"/>
    <s v="STORE76"/>
    <s v="MANAGER35"/>
    <s v="NEGATIVO"/>
    <d v="1899-12-30T04:35:00"/>
    <d v="1899-12-30T04:35:00"/>
    <m/>
    <s v="POSITION3"/>
    <x v="2"/>
    <x v="75"/>
  </r>
  <r>
    <n v="232864"/>
    <s v="People206"/>
    <s v="department"/>
    <s v="REGION3"/>
    <s v="STORE77"/>
    <s v="MANAGER36"/>
    <s v="NEGATIVO"/>
    <d v="1899-12-30T00:15:00"/>
    <d v="1899-12-30T00:15:00"/>
    <m/>
    <s v="POSITION1"/>
    <x v="2"/>
    <x v="76"/>
  </r>
  <r>
    <n v="203648"/>
    <s v="People207"/>
    <s v="department"/>
    <s v="REGION3"/>
    <s v="STORE78"/>
    <s v="MANAGER32"/>
    <s v="NEGATIVO"/>
    <d v="1899-12-31T04:10:00"/>
    <d v="1899-12-31T04:10:00"/>
    <m/>
    <s v="POSITION1"/>
    <x v="2"/>
    <x v="77"/>
  </r>
  <r>
    <n v="232736"/>
    <s v="People208"/>
    <s v="department"/>
    <s v="REGION3"/>
    <s v="STORE79"/>
    <s v="MANAGER30"/>
    <s v="NEGATIVO"/>
    <d v="1899-12-30T04:46:00"/>
    <d v="1899-12-30T04:46:00"/>
    <m/>
    <s v="POSITION2"/>
    <x v="2"/>
    <x v="78"/>
  </r>
  <r>
    <n v="230827"/>
    <s v="People209"/>
    <s v="department"/>
    <s v="REGION3"/>
    <s v="STORE80"/>
    <s v="MANAGER37"/>
    <s v="NEGATIVO"/>
    <d v="1899-12-31T22:20:00"/>
    <d v="1899-12-31T22:20:00"/>
    <m/>
    <s v="POSITION1"/>
    <x v="2"/>
    <x v="79"/>
  </r>
  <r>
    <n v="237800"/>
    <s v="People210"/>
    <s v="department"/>
    <s v="REGION3"/>
    <s v="STORE81"/>
    <s v="MANAGER38"/>
    <s v="NEGATIVO"/>
    <d v="1899-12-30T02:06:00"/>
    <d v="1899-12-30T02:06:00"/>
    <m/>
    <s v="POSITION3"/>
    <x v="2"/>
    <x v="80"/>
  </r>
  <r>
    <n v="235411"/>
    <s v="People211"/>
    <s v="department"/>
    <s v="REGION3"/>
    <s v="STORE73"/>
    <s v="MANAGER33"/>
    <s v="NEGATIVO"/>
    <d v="1899-12-31T19:07:00"/>
    <d v="1899-12-31T19:07:00"/>
    <m/>
    <s v="POSITION1"/>
    <x v="2"/>
    <x v="72"/>
  </r>
  <r>
    <n v="201474"/>
    <s v="People212"/>
    <s v="department"/>
    <s v="REGION3"/>
    <s v="STORE80"/>
    <s v="MANAGER37"/>
    <s v="NEGATIVO"/>
    <d v="1899-12-31T02:49:00"/>
    <d v="1899-12-31T02:49:00"/>
    <m/>
    <s v="POSITION1"/>
    <x v="2"/>
    <x v="79"/>
  </r>
  <r>
    <n v="234609"/>
    <s v="People213"/>
    <s v="department"/>
    <s v="REGION3"/>
    <s v="STORE67"/>
    <s v="MANAGER28"/>
    <s v="NEGATIVO"/>
    <d v="1899-12-30T17:59:00"/>
    <d v="1899-12-30T17:59:00"/>
    <m/>
    <s v="POSITION1"/>
    <x v="2"/>
    <x v="66"/>
  </r>
  <r>
    <n v="233895"/>
    <s v="People214"/>
    <s v="department"/>
    <s v="REGION3"/>
    <s v="STORE66"/>
    <s v="MANAGER27"/>
    <s v="NEGATIVO"/>
    <d v="1899-12-30T03:23:00"/>
    <d v="1899-12-30T03:23:00"/>
    <m/>
    <s v="POSITION1"/>
    <x v="2"/>
    <x v="65"/>
  </r>
  <r>
    <n v="203354"/>
    <s v="People215"/>
    <s v="department"/>
    <s v="REGION3"/>
    <s v="STORE82"/>
    <s v="MANAGER24"/>
    <s v="NEGATIVO"/>
    <d v="1899-12-30T14:26:00"/>
    <d v="1899-12-30T14:26:00"/>
    <m/>
    <s v="POSITION1"/>
    <x v="2"/>
    <x v="81"/>
  </r>
  <r>
    <n v="230912"/>
    <s v="People216"/>
    <s v="department"/>
    <s v="REGION3"/>
    <s v="STORE75"/>
    <s v="MANAGER34"/>
    <s v="NEGATIVO"/>
    <d v="1899-12-30T04:55:00"/>
    <d v="1899-12-30T04:55:00"/>
    <m/>
    <s v="POSITION1"/>
    <x v="2"/>
    <x v="74"/>
  </r>
  <r>
    <n v="234151"/>
    <s v="People217"/>
    <s v="department"/>
    <s v="REGION3"/>
    <s v="STORE83"/>
    <s v="MANAGER38"/>
    <s v="NEGATIVO"/>
    <d v="1899-12-31T08:13:00"/>
    <d v="1899-12-31T08:13:00"/>
    <m/>
    <s v="POSITION1"/>
    <x v="2"/>
    <x v="82"/>
  </r>
  <r>
    <n v="235730"/>
    <s v="People218"/>
    <s v="department"/>
    <s v="REGION3"/>
    <s v="STORE65"/>
    <s v="MANAGER26"/>
    <s v="NEGATIVO"/>
    <d v="1899-12-30T06:21:00"/>
    <d v="1899-12-30T06:21:00"/>
    <m/>
    <s v="POSITION1"/>
    <x v="2"/>
    <x v="64"/>
  </r>
  <r>
    <n v="201012"/>
    <s v="People219"/>
    <s v="department"/>
    <s v="REGION3"/>
    <s v="STORE72"/>
    <s v="MANAGER32"/>
    <s v="NEGATIVO"/>
    <d v="1899-12-30T01:42:00"/>
    <d v="1899-12-30T01:42:00"/>
    <m/>
    <s v="POSITION4"/>
    <x v="2"/>
    <x v="71"/>
  </r>
  <r>
    <n v="222516"/>
    <s v="People220"/>
    <s v="department"/>
    <s v="REGION3"/>
    <s v="STORE84"/>
    <s v="MANAGER26"/>
    <s v="NEGATIVO"/>
    <d v="1899-12-30T05:36:00"/>
    <d v="1899-12-30T05:36:00"/>
    <m/>
    <s v="POSITION4"/>
    <x v="2"/>
    <x v="83"/>
  </r>
  <r>
    <n v="235704"/>
    <s v="People221"/>
    <s v="department"/>
    <s v="REGION3"/>
    <s v="STORE71"/>
    <s v="MANAGER31"/>
    <s v="NEGATIVO"/>
    <d v="1900-01-05T16:48:00"/>
    <d v="1900-01-05T16:48:00"/>
    <m/>
    <s v="POSITION1"/>
    <x v="2"/>
    <x v="70"/>
  </r>
  <r>
    <n v="203017"/>
    <s v="People222"/>
    <s v="department"/>
    <s v="REGION3"/>
    <s v="STORE64"/>
    <s v="MANAGER25"/>
    <s v="NEGATIVO"/>
    <d v="1899-12-30T02:33:00"/>
    <d v="1899-12-30T02:33:00"/>
    <m/>
    <s v="POSITION1"/>
    <x v="2"/>
    <x v="63"/>
  </r>
  <r>
    <n v="219390"/>
    <s v="People223"/>
    <s v="department"/>
    <s v="REGION3"/>
    <s v="STORE74"/>
    <s v="MANAGER34"/>
    <s v="NEGATIVO"/>
    <d v="1899-12-30T13:59:00"/>
    <d v="1899-12-30T13:59:00"/>
    <m/>
    <s v="POSITION3"/>
    <x v="2"/>
    <x v="73"/>
  </r>
  <r>
    <n v="201227"/>
    <s v="People224"/>
    <s v="department"/>
    <s v="REGION3"/>
    <s v="STORE85"/>
    <s v="MANAGER28"/>
    <s v="NEGATIVO"/>
    <d v="1899-12-30T09:42:00"/>
    <d v="1899-12-30T09:42:00"/>
    <m/>
    <s v="POSITION3"/>
    <x v="2"/>
    <x v="84"/>
  </r>
  <r>
    <n v="236227"/>
    <s v="People225"/>
    <s v="department"/>
    <s v="REGION3"/>
    <s v="STORE64"/>
    <s v="MANAGER25"/>
    <s v="NEGATIVO"/>
    <d v="1899-12-30T07:03:00"/>
    <d v="1899-12-30T07:03:00"/>
    <m/>
    <s v="POSITION1"/>
    <x v="2"/>
    <x v="63"/>
  </r>
  <r>
    <n v="201985"/>
    <s v="People226"/>
    <s v="department"/>
    <s v="REGION3"/>
    <s v="STORE86"/>
    <s v="MANAGER37"/>
    <s v="NEGATIVO"/>
    <d v="1900-01-05T00:33:00"/>
    <d v="1900-01-05T00:33:00"/>
    <m/>
    <s v="POSITION3"/>
    <x v="2"/>
    <x v="85"/>
  </r>
  <r>
    <n v="203405"/>
    <s v="People227"/>
    <s v="department"/>
    <s v="REGION3"/>
    <s v="STORE75"/>
    <s v="MANAGER34"/>
    <s v="NEGATIVO"/>
    <d v="1899-12-30T01:09:00"/>
    <d v="1899-12-30T01:09:00"/>
    <m/>
    <s v="POSITION1"/>
    <x v="2"/>
    <x v="74"/>
  </r>
  <r>
    <n v="201347"/>
    <s v="People228"/>
    <s v="department"/>
    <s v="REGION3"/>
    <s v="STORE86"/>
    <s v="MANAGER37"/>
    <s v="NEGATIVO"/>
    <d v="1899-12-31T14:32:00"/>
    <d v="1899-12-31T14:32:00"/>
    <m/>
    <s v="POSITION3"/>
    <x v="2"/>
    <x v="85"/>
  </r>
  <r>
    <n v="230822"/>
    <s v="People229"/>
    <s v="department"/>
    <s v="REGION3"/>
    <s v="STORE80"/>
    <s v="MANAGER37"/>
    <s v="NEGATIVO"/>
    <d v="1900-01-03T09:31:00"/>
    <d v="1900-01-03T09:31:00"/>
    <m/>
    <s v="POSITION1"/>
    <x v="2"/>
    <x v="79"/>
  </r>
  <r>
    <n v="223744"/>
    <s v="People230"/>
    <s v="department"/>
    <s v="REGION3"/>
    <s v="STORE76"/>
    <s v="MANAGER35"/>
    <s v="NEGATIVO"/>
    <d v="1899-12-31T15:24:00"/>
    <d v="1899-12-31T15:24:00"/>
    <m/>
    <s v="POSITION3"/>
    <x v="2"/>
    <x v="75"/>
  </r>
  <r>
    <n v="212530"/>
    <s v="People231"/>
    <s v="department"/>
    <s v="REGION3"/>
    <s v="STORE87"/>
    <s v="MANAGER30"/>
    <s v="NEGATIVO"/>
    <d v="1899-12-30T03:41:00"/>
    <d v="1899-12-30T03:41:00"/>
    <m/>
    <s v="POSITION2"/>
    <x v="2"/>
    <x v="86"/>
  </r>
  <r>
    <n v="212713"/>
    <s v="People232"/>
    <s v="department"/>
    <s v="REGION3"/>
    <s v="STORE88"/>
    <s v="MANAGER30"/>
    <s v="NEGATIVO"/>
    <d v="1899-12-30T02:37:00"/>
    <d v="1899-12-30T02:37:00"/>
    <m/>
    <s v="POSITION7"/>
    <x v="2"/>
    <x v="87"/>
  </r>
  <r>
    <n v="201241"/>
    <s v="People233"/>
    <s v="department"/>
    <s v="REGION3"/>
    <s v="STORE85"/>
    <s v="MANAGER28"/>
    <s v="NEGATIVO"/>
    <d v="1899-12-30T11:53:00"/>
    <d v="1899-12-30T11:53:00"/>
    <m/>
    <s v="POSITION4"/>
    <x v="2"/>
    <x v="84"/>
  </r>
  <r>
    <n v="232098"/>
    <s v="People234"/>
    <s v="department"/>
    <s v="REGION3"/>
    <s v="STORE67"/>
    <s v="MANAGER28"/>
    <s v="NEGATIVO"/>
    <d v="1899-12-31T02:26:00"/>
    <d v="1899-12-31T02:26:00"/>
    <m/>
    <s v="POSITION1"/>
    <x v="2"/>
    <x v="66"/>
  </r>
  <r>
    <n v="201242"/>
    <s v="People235"/>
    <s v="department"/>
    <s v="REGION3"/>
    <s v="STORE74"/>
    <s v="MANAGER34"/>
    <s v="NEGATIVO"/>
    <d v="1899-12-31T09:22:00"/>
    <d v="1899-12-31T09:22:00"/>
    <m/>
    <s v="POSITION5"/>
    <x v="2"/>
    <x v="73"/>
  </r>
  <r>
    <n v="233248"/>
    <s v="People236"/>
    <s v="department"/>
    <s v="REGION3"/>
    <s v="STORE89"/>
    <s v="MANAGER27"/>
    <s v="NEGATIVO"/>
    <d v="1899-12-30T07:26:00"/>
    <d v="1899-12-30T07:26:00"/>
    <m/>
    <s v="POSITION3"/>
    <x v="2"/>
    <x v="88"/>
  </r>
  <r>
    <n v="201042"/>
    <s v="People237"/>
    <s v="department"/>
    <s v="REGION3"/>
    <s v="STORE89"/>
    <s v="MANAGER27"/>
    <s v="NEGATIVO"/>
    <d v="1899-12-30T00:03:00"/>
    <d v="1899-12-30T00:03:00"/>
    <m/>
    <s v="POSITION4"/>
    <x v="2"/>
    <x v="88"/>
  </r>
  <r>
    <n v="236898"/>
    <s v="People238"/>
    <s v="department"/>
    <s v="REGION3"/>
    <s v="STORE68"/>
    <s v="MANAGER29"/>
    <s v="NEGATIVO"/>
    <d v="1899-12-31T00:26:00"/>
    <d v="1899-12-31T00:26:00"/>
    <m/>
    <s v="POSITION4"/>
    <x v="2"/>
    <x v="67"/>
  </r>
  <r>
    <n v="232272"/>
    <s v="People239"/>
    <s v="department"/>
    <s v="REGION3"/>
    <s v="STORE75"/>
    <s v="MANAGER34"/>
    <s v="NEGATIVO"/>
    <d v="1899-12-30T05:23:00"/>
    <d v="1899-12-30T05:23:00"/>
    <m/>
    <s v="POSITION1"/>
    <x v="2"/>
    <x v="74"/>
  </r>
  <r>
    <n v="235556"/>
    <s v="People240"/>
    <s v="department"/>
    <s v="REGION3"/>
    <s v="STORE90"/>
    <s v="MANAGER30"/>
    <s v="NEGATIVO"/>
    <d v="1899-12-30T14:06:00"/>
    <d v="1899-12-30T14:06:00"/>
    <m/>
    <s v="POSITION2"/>
    <x v="2"/>
    <x v="89"/>
  </r>
  <r>
    <n v="201221"/>
    <s v="People241"/>
    <s v="department"/>
    <s v="REGION3"/>
    <s v="STORE80"/>
    <s v="MANAGER37"/>
    <s v="NEGATIVO"/>
    <d v="1899-12-30T05:26:00"/>
    <d v="1899-12-30T05:26:00"/>
    <m/>
    <s v="POSITION1"/>
    <x v="2"/>
    <x v="79"/>
  </r>
  <r>
    <n v="200445"/>
    <s v="People242"/>
    <s v="department"/>
    <s v="REGION3"/>
    <s v="STORE85"/>
    <s v="MANAGER28"/>
    <s v="NEGATIVO"/>
    <d v="1899-12-30T10:31:00"/>
    <d v="1899-12-30T10:31:00"/>
    <m/>
    <s v="POSITION3"/>
    <x v="2"/>
    <x v="84"/>
  </r>
  <r>
    <n v="230026"/>
    <s v="People243"/>
    <s v="department"/>
    <s v="REGION3"/>
    <s v="STORE89"/>
    <s v="MANAGER27"/>
    <s v="NEGATIVO"/>
    <d v="1899-12-31T03:36:00"/>
    <d v="1899-12-31T03:36:00"/>
    <m/>
    <s v="POSITION3"/>
    <x v="2"/>
    <x v="88"/>
  </r>
  <r>
    <n v="230262"/>
    <s v="People244"/>
    <s v="department"/>
    <s v="REGION3"/>
    <s v="STORE67"/>
    <s v="MANAGER28"/>
    <s v="NEGATIVO"/>
    <d v="1899-12-30T00:49:00"/>
    <d v="1899-12-30T00:49:00"/>
    <m/>
    <s v="POSITION1"/>
    <x v="2"/>
    <x v="66"/>
  </r>
  <r>
    <n v="229614"/>
    <s v="People245"/>
    <s v="department"/>
    <s v="REGION3"/>
    <s v="STORE68"/>
    <s v="MANAGER29"/>
    <s v="NEGATIVO"/>
    <d v="1899-12-30T23:12:00"/>
    <d v="1899-12-30T23:12:00"/>
    <m/>
    <s v="POSITION3"/>
    <x v="2"/>
    <x v="67"/>
  </r>
  <r>
    <n v="218029"/>
    <s v="People246"/>
    <s v="department"/>
    <s v="REGION3"/>
    <s v="STORE91"/>
    <s v="MANAGER25"/>
    <s v="NEGATIVO"/>
    <d v="1899-12-31T01:10:00"/>
    <d v="1899-12-31T01:10:00"/>
    <m/>
    <s v="POSITION3"/>
    <x v="2"/>
    <x v="90"/>
  </r>
  <r>
    <n v="223821"/>
    <s v="People247"/>
    <s v="department"/>
    <s v="REGION3"/>
    <s v="STORE76"/>
    <s v="MANAGER35"/>
    <s v="NEGATIVO"/>
    <d v="1899-12-30T03:44:00"/>
    <d v="1899-12-30T03:44:00"/>
    <m/>
    <s v="POSITION4"/>
    <x v="2"/>
    <x v="75"/>
  </r>
  <r>
    <n v="235488"/>
    <s v="People248"/>
    <s v="department"/>
    <s v="REGION3"/>
    <s v="STORE71"/>
    <s v="MANAGER31"/>
    <s v="NEGATIVO"/>
    <d v="1900-01-06T12:00:00"/>
    <d v="1900-01-06T12:00:00"/>
    <m/>
    <s v="POSITION1"/>
    <x v="2"/>
    <x v="70"/>
  </r>
  <r>
    <n v="202863"/>
    <s v="People249"/>
    <s v="department"/>
    <s v="REGION3"/>
    <s v="STORE75"/>
    <s v="MANAGER34"/>
    <s v="NEGATIVO"/>
    <d v="1899-12-30T07:29:00"/>
    <d v="1899-12-30T07:29:00"/>
    <m/>
    <s v="POSITION1"/>
    <x v="2"/>
    <x v="74"/>
  </r>
  <r>
    <n v="225501"/>
    <s v="People250"/>
    <s v="department"/>
    <s v="REGION3"/>
    <s v="STORE91"/>
    <s v="MANAGER25"/>
    <s v="NEGATIVO"/>
    <d v="1899-12-30T02:29:00"/>
    <d v="1899-12-30T02:29:00"/>
    <m/>
    <s v="POSITION4"/>
    <x v="2"/>
    <x v="90"/>
  </r>
  <r>
    <n v="229785"/>
    <s v="People251"/>
    <s v="department"/>
    <s v="REGION3"/>
    <s v="STORE92"/>
    <s v="MANAGER30"/>
    <s v="NEGATIVO"/>
    <d v="1899-12-30T00:33:00"/>
    <d v="1899-12-30T00:33:00"/>
    <m/>
    <s v="POSITION2"/>
    <x v="2"/>
    <x v="91"/>
  </r>
  <r>
    <n v="202938"/>
    <s v="People252"/>
    <s v="department"/>
    <s v="REGION3"/>
    <s v="STORE91"/>
    <s v="MANAGER25"/>
    <s v="NEGATIVO"/>
    <d v="1900-01-08T08:40:00"/>
    <d v="1900-01-08T08:40:00"/>
    <m/>
    <s v="POSITION3"/>
    <x v="2"/>
    <x v="90"/>
  </r>
  <r>
    <n v="233901"/>
    <s v="People253"/>
    <s v="department"/>
    <s v="REGION3"/>
    <s v="STORE65"/>
    <s v="MANAGER26"/>
    <s v="NEGATIVO"/>
    <d v="1899-12-30T02:12:00"/>
    <d v="1899-12-30T02:12:00"/>
    <m/>
    <s v="POSITION1"/>
    <x v="2"/>
    <x v="64"/>
  </r>
  <r>
    <n v="229853"/>
    <s v="People254"/>
    <s v="department"/>
    <s v="REGION3"/>
    <s v="STORE93"/>
    <s v="MANAGER36"/>
    <s v="NEGATIVO"/>
    <d v="1899-12-30T00:53:00"/>
    <d v="1899-12-30T00:53:00"/>
    <m/>
    <s v="POSITION4"/>
    <x v="2"/>
    <x v="92"/>
  </r>
  <r>
    <n v="222524"/>
    <s v="People255"/>
    <s v="department"/>
    <s v="REGION3"/>
    <s v="STORE94"/>
    <s v="MANAGER33"/>
    <s v="NEGATIVO"/>
    <d v="1899-12-30T06:19:00"/>
    <d v="1899-12-30T06:19:00"/>
    <m/>
    <s v="POSITION4"/>
    <x v="2"/>
    <x v="93"/>
  </r>
  <r>
    <n v="201377"/>
    <s v="People256"/>
    <s v="department"/>
    <s v="REGION3"/>
    <s v="STORE80"/>
    <s v="MANAGER37"/>
    <s v="NEGATIVO"/>
    <d v="1900-01-09T20:48:00"/>
    <d v="1900-01-09T20:48:00"/>
    <m/>
    <s v="POSITION1"/>
    <x v="2"/>
    <x v="79"/>
  </r>
  <r>
    <n v="200922"/>
    <s v="People257"/>
    <s v="department"/>
    <s v="REGION3"/>
    <s v="STORE78"/>
    <s v="MANAGER32"/>
    <s v="NEGATIVO"/>
    <d v="1899-12-30T08:48:00"/>
    <d v="1899-12-30T08:48:00"/>
    <m/>
    <s v="POSITION1"/>
    <x v="2"/>
    <x v="77"/>
  </r>
  <r>
    <n v="231221"/>
    <s v="People258"/>
    <s v="department"/>
    <s v="REGION3"/>
    <s v="STORE73"/>
    <s v="MANAGER33"/>
    <s v="NEGATIVO"/>
    <d v="1899-12-30T01:08:00"/>
    <d v="1899-12-30T01:08:00"/>
    <m/>
    <s v="POSITION1"/>
    <x v="2"/>
    <x v="72"/>
  </r>
  <r>
    <n v="217970"/>
    <s v="People259"/>
    <s v="department"/>
    <s v="REGION3"/>
    <s v="STORE74"/>
    <s v="MANAGER34"/>
    <s v="NEGATIVO"/>
    <d v="1899-12-30T19:07:00"/>
    <d v="1899-12-30T19:07:00"/>
    <m/>
    <s v="POSITION4"/>
    <x v="2"/>
    <x v="73"/>
  </r>
  <r>
    <n v="201996"/>
    <s v="People260"/>
    <s v="department"/>
    <s v="REGION3"/>
    <s v="STORE80"/>
    <s v="MANAGER37"/>
    <s v="POSITIVO"/>
    <d v="1900-01-02T22:47:00"/>
    <m/>
    <d v="1900-01-02T22:47:00"/>
    <s v="POSITION1"/>
    <x v="2"/>
    <x v="79"/>
  </r>
  <r>
    <n v="232027"/>
    <s v="People261"/>
    <s v="department"/>
    <s v="REGION3"/>
    <s v="STORE95"/>
    <s v="MANAGER35"/>
    <s v="POSITIVO"/>
    <d v="1900-01-02T07:41:00"/>
    <m/>
    <d v="1900-01-02T07:41:00"/>
    <s v="POSITION1"/>
    <x v="2"/>
    <x v="94"/>
  </r>
  <r>
    <n v="225337"/>
    <s v="People262"/>
    <s v="department"/>
    <s v="REGION3"/>
    <s v="STORE64"/>
    <s v="MANAGER25"/>
    <s v="POSITIVO"/>
    <d v="1900-01-01T17:38:00"/>
    <m/>
    <d v="1900-01-01T17:38:00"/>
    <s v="POSITION1"/>
    <x v="2"/>
    <x v="63"/>
  </r>
  <r>
    <n v="224588"/>
    <s v="People263"/>
    <s v="department"/>
    <s v="REGION3"/>
    <s v="STORE83"/>
    <s v="MANAGER38"/>
    <s v="POSITIVO"/>
    <d v="1899-12-31T20:04:00"/>
    <m/>
    <d v="1899-12-31T20:04:00"/>
    <s v="POSITION1"/>
    <x v="2"/>
    <x v="82"/>
  </r>
  <r>
    <n v="202098"/>
    <s v="People264"/>
    <s v="department"/>
    <s v="REGION3"/>
    <s v="STORE96"/>
    <s v="MANAGER29"/>
    <s v="POSITIVO"/>
    <d v="1899-12-31T18:31:00"/>
    <m/>
    <d v="1899-12-31T18:31:00"/>
    <s v="POSITION1"/>
    <x v="2"/>
    <x v="95"/>
  </r>
  <r>
    <n v="222698"/>
    <s v="People265"/>
    <s v="department"/>
    <s v="REGION3"/>
    <s v="STORE77"/>
    <s v="MANAGER36"/>
    <s v="POSITIVO"/>
    <d v="1899-12-31T16:34:00"/>
    <m/>
    <d v="1899-12-31T16:34:00"/>
    <s v="POSITION1"/>
    <x v="2"/>
    <x v="76"/>
  </r>
  <r>
    <n v="234405"/>
    <s v="People266"/>
    <s v="department"/>
    <s v="REGION3"/>
    <s v="STORE67"/>
    <s v="MANAGER28"/>
    <s v="POSITIVO"/>
    <d v="1899-12-31T10:15:00"/>
    <m/>
    <d v="1899-12-31T10:15:00"/>
    <s v="POSITION1"/>
    <x v="2"/>
    <x v="66"/>
  </r>
  <r>
    <n v="238235"/>
    <s v="People267"/>
    <s v="department"/>
    <s v="REGION3"/>
    <s v="STORE75"/>
    <s v="MANAGER34"/>
    <s v="POSITIVO"/>
    <d v="1899-12-31T10:10:00"/>
    <m/>
    <d v="1899-12-31T10:10:00"/>
    <s v="POSITION1"/>
    <x v="2"/>
    <x v="74"/>
  </r>
  <r>
    <n v="234360"/>
    <s v="People268"/>
    <s v="department"/>
    <s v="REGION3"/>
    <s v="STORE96"/>
    <s v="MANAGER29"/>
    <s v="POSITIVO"/>
    <d v="1899-12-31T05:00:00"/>
    <m/>
    <d v="1899-12-31T05:00:00"/>
    <s v="POSITION1"/>
    <x v="2"/>
    <x v="95"/>
  </r>
  <r>
    <n v="236240"/>
    <s v="People269"/>
    <s v="department"/>
    <s v="REGION3"/>
    <s v="STORE91"/>
    <s v="MANAGER25"/>
    <s v="POSITIVO"/>
    <d v="1899-12-31T04:57:00"/>
    <m/>
    <d v="1899-12-31T04:57:00"/>
    <s v="POSITION3"/>
    <x v="2"/>
    <x v="90"/>
  </r>
  <r>
    <n v="203567"/>
    <s v="People270"/>
    <s v="department"/>
    <s v="REGION3"/>
    <s v="STORE66"/>
    <s v="MANAGER27"/>
    <s v="POSITIVO"/>
    <d v="1899-12-31T03:12:00"/>
    <m/>
    <d v="1899-12-31T03:12:00"/>
    <s v="POSITION1"/>
    <x v="2"/>
    <x v="65"/>
  </r>
  <r>
    <n v="233445"/>
    <s v="People271"/>
    <s v="department"/>
    <s v="REGION3"/>
    <s v="STORE65"/>
    <s v="MANAGER26"/>
    <s v="POSITIVO"/>
    <d v="1899-12-31T02:18:00"/>
    <m/>
    <d v="1899-12-31T02:18:00"/>
    <s v="POSITION1"/>
    <x v="2"/>
    <x v="64"/>
  </r>
  <r>
    <n v="235901"/>
    <s v="People272"/>
    <s v="department"/>
    <s v="REGION3"/>
    <s v="STORE82"/>
    <s v="MANAGER24"/>
    <s v="POSITIVO"/>
    <d v="1899-12-31T02:11:00"/>
    <m/>
    <d v="1899-12-31T02:11:00"/>
    <s v="POSITION1"/>
    <x v="2"/>
    <x v="81"/>
  </r>
  <r>
    <n v="223024"/>
    <s v="People273"/>
    <s v="department"/>
    <s v="REGION3"/>
    <s v="STORE66"/>
    <s v="MANAGER27"/>
    <s v="POSITIVO"/>
    <d v="1899-12-31T01:16:00"/>
    <m/>
    <d v="1899-12-31T01:16:00"/>
    <s v="POSITION1"/>
    <x v="2"/>
    <x v="65"/>
  </r>
  <r>
    <n v="233201"/>
    <s v="People274"/>
    <s v="department"/>
    <s v="REGION3"/>
    <s v="STORE83"/>
    <s v="MANAGER38"/>
    <s v="POSITIVO"/>
    <d v="1899-12-30T23:58:00"/>
    <m/>
    <d v="1899-12-30T23:58:00"/>
    <s v="POSITION1"/>
    <x v="2"/>
    <x v="82"/>
  </r>
  <r>
    <n v="230574"/>
    <s v="People275"/>
    <s v="department"/>
    <s v="REGION3"/>
    <s v="STORE77"/>
    <s v="MANAGER36"/>
    <s v="POSITIVO"/>
    <d v="1899-12-30T23:51:00"/>
    <m/>
    <d v="1899-12-30T23:51:00"/>
    <s v="POSITION1"/>
    <x v="2"/>
    <x v="76"/>
  </r>
  <r>
    <n v="202701"/>
    <s v="People276"/>
    <s v="department"/>
    <s v="REGION3"/>
    <s v="STORE77"/>
    <s v="MANAGER36"/>
    <s v="POSITIVO"/>
    <d v="1899-12-30T23:45:00"/>
    <m/>
    <d v="1899-12-30T23:45:00"/>
    <s v="POSITION1"/>
    <x v="2"/>
    <x v="76"/>
  </r>
  <r>
    <n v="217968"/>
    <s v="People277"/>
    <s v="department"/>
    <s v="REGION3"/>
    <s v="STORE86"/>
    <s v="MANAGER37"/>
    <s v="POSITIVO"/>
    <d v="1899-12-30T17:58:00"/>
    <m/>
    <d v="1899-12-30T17:58:00"/>
    <s v="POSITION4"/>
    <x v="2"/>
    <x v="85"/>
  </r>
  <r>
    <n v="229774"/>
    <s v="People278"/>
    <s v="department"/>
    <s v="REGION3"/>
    <s v="STORE96"/>
    <s v="MANAGER29"/>
    <s v="POSITIVO"/>
    <d v="1899-12-30T17:15:00"/>
    <m/>
    <d v="1899-12-30T17:15:00"/>
    <s v="POSITION1"/>
    <x v="2"/>
    <x v="95"/>
  </r>
  <r>
    <n v="234278"/>
    <s v="People279"/>
    <s v="department"/>
    <s v="REGION3"/>
    <s v="STORE96"/>
    <s v="MANAGER29"/>
    <s v="POSITIVO"/>
    <d v="1899-12-30T17:09:00"/>
    <m/>
    <d v="1899-12-30T17:09:00"/>
    <s v="POSITION1"/>
    <x v="2"/>
    <x v="95"/>
  </r>
  <r>
    <n v="225689"/>
    <s v="People280"/>
    <s v="department"/>
    <s v="REGION3"/>
    <s v="STORE95"/>
    <s v="MANAGER35"/>
    <s v="POSITIVO"/>
    <d v="1899-12-30T16:15:00"/>
    <m/>
    <d v="1899-12-30T16:15:00"/>
    <s v="POSITION1"/>
    <x v="2"/>
    <x v="94"/>
  </r>
  <r>
    <n v="222525"/>
    <s v="People281"/>
    <s v="department"/>
    <s v="REGION3"/>
    <s v="STORE93"/>
    <s v="MANAGER36"/>
    <s v="POSITIVO"/>
    <d v="1899-12-30T15:42:00"/>
    <m/>
    <d v="1899-12-30T15:42:00"/>
    <s v="POSITION3"/>
    <x v="2"/>
    <x v="92"/>
  </r>
  <r>
    <n v="200542"/>
    <s v="People282"/>
    <s v="department"/>
    <s v="REGION3"/>
    <s v="STORE78"/>
    <s v="MANAGER32"/>
    <s v="POSITIVO"/>
    <d v="1899-12-30T15:27:00"/>
    <m/>
    <d v="1899-12-30T15:27:00"/>
    <s v="POSITION1"/>
    <x v="2"/>
    <x v="77"/>
  </r>
  <r>
    <n v="201857"/>
    <s v="People283"/>
    <s v="department"/>
    <s v="REGION3"/>
    <s v="STORE97"/>
    <s v="MANAGER31"/>
    <s v="POSITIVO"/>
    <d v="1899-12-30T14:26:00"/>
    <m/>
    <d v="1899-12-30T14:26:00"/>
    <s v="POSITION3"/>
    <x v="2"/>
    <x v="96"/>
  </r>
  <r>
    <n v="212202"/>
    <s v="People284"/>
    <s v="department"/>
    <s v="REGION3"/>
    <s v="STORE98"/>
    <s v="MANAGER30"/>
    <s v="POSITIVO"/>
    <d v="1899-12-30T14:10:00"/>
    <m/>
    <d v="1899-12-30T14:10:00"/>
    <s v="POSITION7"/>
    <x v="2"/>
    <x v="97"/>
  </r>
  <r>
    <n v="203334"/>
    <s v="People285"/>
    <s v="department"/>
    <s v="REGION3"/>
    <s v="STORE73"/>
    <s v="MANAGER33"/>
    <s v="POSITIVO"/>
    <d v="1899-12-30T13:22:00"/>
    <m/>
    <d v="1899-12-30T13:22:00"/>
    <s v="POSITION1"/>
    <x v="2"/>
    <x v="72"/>
  </r>
  <r>
    <n v="233465"/>
    <s v="People286"/>
    <s v="department"/>
    <s v="REGION3"/>
    <s v="STORE66"/>
    <s v="MANAGER27"/>
    <s v="POSITIVO"/>
    <d v="1899-12-30T12:49:00"/>
    <m/>
    <d v="1899-12-30T12:49:00"/>
    <s v="POSITION1"/>
    <x v="2"/>
    <x v="65"/>
  </r>
  <r>
    <n v="230391"/>
    <s v="People287"/>
    <s v="department"/>
    <s v="REGION3"/>
    <s v="STORE78"/>
    <s v="MANAGER32"/>
    <s v="POSITIVO"/>
    <d v="1899-12-30T12:32:00"/>
    <m/>
    <d v="1899-12-30T12:32:00"/>
    <s v="POSITION1"/>
    <x v="2"/>
    <x v="77"/>
  </r>
  <r>
    <n v="235200"/>
    <s v="People288"/>
    <s v="department"/>
    <s v="REGION3"/>
    <s v="STORE95"/>
    <s v="MANAGER35"/>
    <s v="POSITIVO"/>
    <d v="1899-12-30T11:08:00"/>
    <m/>
    <d v="1899-12-30T11:08:00"/>
    <s v="POSITION1"/>
    <x v="2"/>
    <x v="94"/>
  </r>
  <r>
    <n v="222781"/>
    <s v="People289"/>
    <s v="department"/>
    <s v="REGION3"/>
    <s v="STORE93"/>
    <s v="MANAGER36"/>
    <s v="POSITIVO"/>
    <d v="1899-12-30T11:01:00"/>
    <m/>
    <d v="1899-12-30T11:01:00"/>
    <s v="POSITION3"/>
    <x v="2"/>
    <x v="92"/>
  </r>
  <r>
    <n v="230829"/>
    <s v="People290"/>
    <s v="department"/>
    <s v="REGION3"/>
    <s v="STORE82"/>
    <s v="MANAGER24"/>
    <s v="POSITIVO"/>
    <d v="1899-12-30T10:59:00"/>
    <m/>
    <d v="1899-12-30T10:59:00"/>
    <s v="POSITION1"/>
    <x v="2"/>
    <x v="81"/>
  </r>
  <r>
    <n v="235184"/>
    <s v="People291"/>
    <s v="department"/>
    <s v="REGION3"/>
    <s v="STORE64"/>
    <s v="MANAGER25"/>
    <s v="POSITIVO"/>
    <d v="1899-12-30T10:56:00"/>
    <m/>
    <d v="1899-12-30T10:56:00"/>
    <s v="POSITION1"/>
    <x v="2"/>
    <x v="63"/>
  </r>
  <r>
    <n v="230390"/>
    <s v="People292"/>
    <s v="department"/>
    <s v="REGION3"/>
    <s v="STORE99"/>
    <s v="MANAGER30"/>
    <s v="POSITIVO"/>
    <d v="1899-12-30T09:10:00"/>
    <m/>
    <d v="1899-12-30T09:10:00"/>
    <s v="POSITION2"/>
    <x v="2"/>
    <x v="98"/>
  </r>
  <r>
    <n v="232589"/>
    <s v="People293"/>
    <s v="department"/>
    <s v="REGION3"/>
    <s v="STORE78"/>
    <s v="MANAGER32"/>
    <s v="POSITIVO"/>
    <d v="1899-12-30T09:10:00"/>
    <m/>
    <d v="1899-12-30T09:10:00"/>
    <s v="POSITION1"/>
    <x v="2"/>
    <x v="77"/>
  </r>
  <r>
    <n v="224555"/>
    <s v="People294"/>
    <s v="department"/>
    <s v="REGION3"/>
    <s v="STORE95"/>
    <s v="MANAGER35"/>
    <s v="POSITIVO"/>
    <d v="1899-12-30T08:39:00"/>
    <m/>
    <d v="1899-12-30T08:39:00"/>
    <s v="POSITION1"/>
    <x v="2"/>
    <x v="94"/>
  </r>
  <r>
    <n v="212691"/>
    <s v="People295"/>
    <s v="department"/>
    <s v="REGION3"/>
    <s v="STORE100"/>
    <s v="MANAGER30"/>
    <s v="POSITIVO"/>
    <d v="1899-12-30T08:18:00"/>
    <m/>
    <d v="1899-12-30T08:18:00"/>
    <s v="POSITION7"/>
    <x v="2"/>
    <x v="99"/>
  </r>
  <r>
    <n v="236147"/>
    <s v="People296"/>
    <s v="department"/>
    <s v="REGION3"/>
    <s v="STORE94"/>
    <s v="MANAGER33"/>
    <s v="POSITIVO"/>
    <d v="1899-12-30T08:10:00"/>
    <m/>
    <d v="1899-12-30T08:10:00"/>
    <s v="POSITION3"/>
    <x v="2"/>
    <x v="93"/>
  </r>
  <r>
    <n v="200765"/>
    <s v="People297"/>
    <s v="department"/>
    <s v="REGION3"/>
    <s v="STORE101"/>
    <s v="MANAGER30"/>
    <s v="POSITIVO"/>
    <d v="1899-12-30T07:41:00"/>
    <m/>
    <d v="1899-12-30T07:41:00"/>
    <s v="POSITION7"/>
    <x v="2"/>
    <x v="100"/>
  </r>
  <r>
    <n v="233460"/>
    <s v="People298"/>
    <s v="department"/>
    <s v="REGION3"/>
    <s v="STORE83"/>
    <s v="MANAGER38"/>
    <s v="POSITIVO"/>
    <d v="1899-12-30T07:13:00"/>
    <m/>
    <d v="1899-12-30T07:13:00"/>
    <s v="POSITION1"/>
    <x v="2"/>
    <x v="82"/>
  </r>
  <r>
    <n v="203069"/>
    <s v="People299"/>
    <s v="department"/>
    <s v="REGION3"/>
    <s v="STORE65"/>
    <s v="MANAGER26"/>
    <s v="POSITIVO"/>
    <d v="1899-12-30T07:07:00"/>
    <m/>
    <d v="1899-12-30T07:07:00"/>
    <s v="POSITION1"/>
    <x v="2"/>
    <x v="64"/>
  </r>
  <r>
    <n v="236519"/>
    <s v="People300"/>
    <s v="department"/>
    <s v="REGION3"/>
    <s v="STORE84"/>
    <s v="MANAGER26"/>
    <s v="POSITIVO"/>
    <d v="1899-12-30T05:26:00"/>
    <m/>
    <d v="1899-12-30T05:26:00"/>
    <s v="POSITION3"/>
    <x v="2"/>
    <x v="83"/>
  </r>
  <r>
    <n v="238206"/>
    <s v="People301"/>
    <s v="department"/>
    <s v="REGION3"/>
    <s v="STORE82"/>
    <s v="MANAGER24"/>
    <s v="POSITIVO"/>
    <d v="1899-12-30T05:06:00"/>
    <m/>
    <d v="1899-12-30T05:06:00"/>
    <s v="POSITION1"/>
    <x v="2"/>
    <x v="81"/>
  </r>
  <r>
    <n v="235907"/>
    <s v="People302"/>
    <s v="department"/>
    <s v="REGION3"/>
    <s v="STORE95"/>
    <s v="MANAGER35"/>
    <s v="POSITIVO"/>
    <d v="1899-12-30T04:41:00"/>
    <m/>
    <d v="1899-12-30T04:41:00"/>
    <s v="POSITION1"/>
    <x v="2"/>
    <x v="94"/>
  </r>
  <r>
    <n v="230020"/>
    <s v="People303"/>
    <s v="department"/>
    <s v="REGION3"/>
    <s v="STORE102"/>
    <s v="MANAGER30"/>
    <s v="POSITIVO"/>
    <d v="1899-12-30T03:33:00"/>
    <m/>
    <d v="1899-12-30T03:33:00"/>
    <s v="POSITION2"/>
    <x v="2"/>
    <x v="101"/>
  </r>
  <r>
    <n v="232831"/>
    <s v="People304"/>
    <s v="department"/>
    <s v="REGION3"/>
    <s v="STORE77"/>
    <s v="MANAGER36"/>
    <s v="POSITIVO"/>
    <d v="1899-12-30T03:27:00"/>
    <m/>
    <d v="1899-12-30T03:27:00"/>
    <s v="POSITION1"/>
    <x v="2"/>
    <x v="76"/>
  </r>
  <r>
    <n v="233554"/>
    <s v="People305"/>
    <s v="department"/>
    <s v="REGION3"/>
    <s v="STORE83"/>
    <s v="MANAGER38"/>
    <s v="POSITIVO"/>
    <d v="1899-12-30T03:05:00"/>
    <m/>
    <d v="1899-12-30T03:05:00"/>
    <s v="POSITION1"/>
    <x v="2"/>
    <x v="82"/>
  </r>
  <r>
    <n v="233126"/>
    <s v="People306"/>
    <s v="department"/>
    <s v="REGION3"/>
    <s v="STORE81"/>
    <s v="MANAGER38"/>
    <s v="POSITIVO"/>
    <d v="1899-12-30T02:15:00"/>
    <m/>
    <d v="1899-12-30T02:15:00"/>
    <s v="POSITION4"/>
    <x v="2"/>
    <x v="80"/>
  </r>
  <r>
    <n v="222565"/>
    <s v="People307"/>
    <s v="department"/>
    <s v="REGION3"/>
    <s v="STORE97"/>
    <s v="MANAGER31"/>
    <s v="POSITIVO"/>
    <d v="1899-12-30T01:21:00"/>
    <m/>
    <d v="1899-12-30T01:21:00"/>
    <s v="POSITION3"/>
    <x v="2"/>
    <x v="96"/>
  </r>
  <r>
    <n v="201853"/>
    <s v="People308"/>
    <s v="department"/>
    <s v="REGION3"/>
    <s v="STORE82"/>
    <s v="MANAGER24"/>
    <s v="POSITIVO"/>
    <d v="1899-12-30T01:19:00"/>
    <m/>
    <d v="1899-12-30T01:19:00"/>
    <s v="POSITION1"/>
    <x v="2"/>
    <x v="81"/>
  </r>
  <r>
    <n v="215784"/>
    <s v="People309"/>
    <s v="department"/>
    <s v="REGION3"/>
    <s v="STORE103"/>
    <s v="MANAGER30"/>
    <s v="POSITIVO"/>
    <d v="1899-12-30T01:07:00"/>
    <m/>
    <d v="1899-12-30T01:07:00"/>
    <s v="POSITION7"/>
    <x v="2"/>
    <x v="102"/>
  </r>
  <r>
    <n v="202228"/>
    <s v="People310"/>
    <s v="department"/>
    <s v="REGION3"/>
    <s v="STORE93"/>
    <s v="MANAGER36"/>
    <s v="POSITIVO"/>
    <d v="1899-12-30T00:57:00"/>
    <m/>
    <d v="1899-12-30T00:57:00"/>
    <s v="POSITION8"/>
    <x v="2"/>
    <x v="92"/>
  </r>
  <r>
    <n v="225602"/>
    <s v="People311"/>
    <s v="department"/>
    <s v="REGION3"/>
    <s v="STORE78"/>
    <s v="MANAGER32"/>
    <s v="POSITIVO"/>
    <d v="1899-12-30T00:41:00"/>
    <m/>
    <d v="1899-12-30T00:41:00"/>
    <s v="POSITION1"/>
    <x v="2"/>
    <x v="77"/>
  </r>
  <r>
    <n v="217969"/>
    <s v="People312"/>
    <s v="department"/>
    <s v="REGION3"/>
    <s v="STORE97"/>
    <s v="MANAGER31"/>
    <s v="POSITIVO"/>
    <d v="1899-12-30T00:36:00"/>
    <m/>
    <d v="1899-12-30T00:36:00"/>
    <s v="POSITION4"/>
    <x v="2"/>
    <x v="96"/>
  </r>
  <r>
    <n v="219907"/>
    <s v="People313"/>
    <s v="department"/>
    <s v="REGION3"/>
    <s v="STORE72"/>
    <s v="MANAGER32"/>
    <s v="POSITIVO"/>
    <d v="1899-12-30T00:12:00"/>
    <m/>
    <d v="1899-12-30T00:12:00"/>
    <s v="POSITION3"/>
    <x v="2"/>
    <x v="71"/>
  </r>
  <r>
    <n v="202049"/>
    <s v="People314"/>
    <s v="department"/>
    <s v="REGION4"/>
    <s v="STORE104"/>
    <s v="MANAGER39"/>
    <s v="NEGATIVO"/>
    <d v="1900-01-18T23:46:00"/>
    <d v="1900-01-18T23:46:00"/>
    <m/>
    <s v="POSITION3"/>
    <x v="3"/>
    <x v="103"/>
  </r>
  <r>
    <n v="229386"/>
    <s v="People315"/>
    <s v="department"/>
    <s v="REGION4"/>
    <s v="STORE105"/>
    <s v="MANAGER40"/>
    <s v="NEGATIVO"/>
    <d v="1899-12-31T01:19:00"/>
    <d v="1899-12-31T01:19:00"/>
    <m/>
    <s v="POSITION1"/>
    <x v="3"/>
    <x v="104"/>
  </r>
  <r>
    <n v="203456"/>
    <s v="People316"/>
    <s v="department"/>
    <s v="REGION4"/>
    <s v="STORE106"/>
    <s v="MANAGER39"/>
    <s v="NEGATIVO"/>
    <d v="1899-12-30T03:18:00"/>
    <d v="1899-12-30T03:18:00"/>
    <m/>
    <s v="POSITION1"/>
    <x v="3"/>
    <x v="105"/>
  </r>
  <r>
    <n v="203608"/>
    <s v="People317"/>
    <s v="department"/>
    <s v="REGION4"/>
    <s v="STORE105"/>
    <s v="MANAGER40"/>
    <s v="NEGATIVO"/>
    <d v="1899-12-30T00:31:00"/>
    <d v="1899-12-30T00:31:00"/>
    <m/>
    <s v="POSITION1"/>
    <x v="3"/>
    <x v="104"/>
  </r>
  <r>
    <n v="230809"/>
    <s v="People318"/>
    <s v="department"/>
    <s v="REGION4"/>
    <s v="STORE107"/>
    <s v="MANAGER41"/>
    <s v="NEGATIVO"/>
    <d v="1899-12-30T01:29:00"/>
    <d v="1899-12-30T01:29:00"/>
    <m/>
    <s v="POSITION1"/>
    <x v="3"/>
    <x v="106"/>
  </r>
  <r>
    <n v="231590"/>
    <s v="People319"/>
    <s v="department"/>
    <s v="REGION4"/>
    <s v="STORE105"/>
    <s v="MANAGER40"/>
    <s v="NEGATIVO"/>
    <d v="1899-12-30T06:46:00"/>
    <d v="1899-12-30T06:46:00"/>
    <m/>
    <s v="POSITION1"/>
    <x v="3"/>
    <x v="104"/>
  </r>
  <r>
    <n v="236983"/>
    <s v="People320"/>
    <s v="department"/>
    <s v="REGION4"/>
    <s v="STORE108"/>
    <s v="MANAGER42"/>
    <s v="NEGATIVO"/>
    <d v="1899-12-30T15:19:00"/>
    <d v="1899-12-30T15:19:00"/>
    <m/>
    <s v="POSITION3"/>
    <x v="3"/>
    <x v="107"/>
  </r>
  <r>
    <n v="201873"/>
    <s v="People321"/>
    <s v="department"/>
    <s v="REGION4"/>
    <s v="STORE109"/>
    <s v="MANAGER40"/>
    <s v="NEGATIVO"/>
    <d v="1899-12-30T12:52:00"/>
    <d v="1899-12-30T12:52:00"/>
    <m/>
    <s v="POSITION3"/>
    <x v="3"/>
    <x v="108"/>
  </r>
  <r>
    <n v="200899"/>
    <s v="People322"/>
    <s v="department"/>
    <s v="REGION4"/>
    <s v="STORE104"/>
    <s v="MANAGER39"/>
    <s v="NEGATIVO"/>
    <d v="1899-12-31T04:59:00"/>
    <d v="1899-12-31T04:59:00"/>
    <m/>
    <s v="POSITION4"/>
    <x v="3"/>
    <x v="103"/>
  </r>
  <r>
    <n v="223787"/>
    <s v="People323"/>
    <s v="department"/>
    <s v="REGION4"/>
    <s v="STORE110"/>
    <s v="MANAGER43"/>
    <s v="NEGATIVO"/>
    <d v="1899-12-30T05:14:00"/>
    <d v="1899-12-30T05:14:00"/>
    <m/>
    <s v="POSITION3"/>
    <x v="3"/>
    <x v="109"/>
  </r>
  <r>
    <n v="203377"/>
    <s v="People324"/>
    <s v="department"/>
    <s v="REGION4"/>
    <s v="STORE105"/>
    <s v="MANAGER40"/>
    <s v="NEGATIVO"/>
    <d v="1899-12-30T23:29:00"/>
    <d v="1899-12-30T23:29:00"/>
    <m/>
    <s v="POSITION1"/>
    <x v="3"/>
    <x v="104"/>
  </r>
  <r>
    <n v="236536"/>
    <s v="People325"/>
    <s v="department"/>
    <s v="REGION4"/>
    <s v="STORE111"/>
    <s v="MANAGER44"/>
    <s v="NEGATIVO"/>
    <d v="1899-12-31T06:40:00"/>
    <d v="1899-12-31T06:40:00"/>
    <m/>
    <s v="POSITION2"/>
    <x v="3"/>
    <x v="110"/>
  </r>
  <r>
    <n v="221650"/>
    <s v="People326"/>
    <s v="department"/>
    <s v="REGION4"/>
    <s v="STORE112"/>
    <s v="MANAGER44"/>
    <s v="NEGATIVO"/>
    <d v="1899-12-30T01:35:00"/>
    <d v="1899-12-30T01:35:00"/>
    <m/>
    <s v="POSITION2"/>
    <x v="3"/>
    <x v="111"/>
  </r>
  <r>
    <n v="223754"/>
    <s v="People327"/>
    <s v="department"/>
    <s v="REGION4"/>
    <s v="STORE110"/>
    <s v="MANAGER43"/>
    <s v="NEGATIVO"/>
    <d v="1899-12-30T03:51:00"/>
    <d v="1899-12-30T03:51:00"/>
    <m/>
    <s v="POSITION4"/>
    <x v="3"/>
    <x v="109"/>
  </r>
  <r>
    <n v="237322"/>
    <s v="People328"/>
    <s v="department"/>
    <s v="REGION4"/>
    <s v="STORE113"/>
    <s v="MANAGER41"/>
    <s v="NEGATIVO"/>
    <d v="1899-12-30T03:00:00"/>
    <d v="1899-12-30T03:00:00"/>
    <m/>
    <s v="POSITION3"/>
    <x v="3"/>
    <x v="112"/>
  </r>
  <r>
    <n v="235152"/>
    <s v="People329"/>
    <s v="department"/>
    <s v="REGION4"/>
    <s v="STORE114"/>
    <s v="MANAGER45"/>
    <s v="NEGATIVO"/>
    <d v="1900-01-01T02:18:00"/>
    <d v="1900-01-01T02:18:00"/>
    <m/>
    <s v="POSITION4"/>
    <x v="3"/>
    <x v="113"/>
  </r>
  <r>
    <n v="203454"/>
    <s v="People330"/>
    <s v="department"/>
    <s v="REGION4"/>
    <s v="STORE115"/>
    <s v="MANAGER42"/>
    <s v="NEGATIVO"/>
    <d v="1899-12-31T05:10:00"/>
    <d v="1899-12-31T05:10:00"/>
    <m/>
    <s v="POSITION1"/>
    <x v="3"/>
    <x v="114"/>
  </r>
  <r>
    <n v="200289"/>
    <s v="People331"/>
    <s v="department"/>
    <s v="REGION4"/>
    <s v="STORE108"/>
    <s v="MANAGER42"/>
    <s v="NEGATIVO"/>
    <d v="1899-12-30T21:09:00"/>
    <d v="1899-12-30T21:09:00"/>
    <m/>
    <s v="POSITION4"/>
    <x v="3"/>
    <x v="107"/>
  </r>
  <r>
    <n v="223182"/>
    <s v="People332"/>
    <s v="department"/>
    <s v="REGION4"/>
    <s v="STORE116"/>
    <s v="MANAGER45"/>
    <s v="NEGATIVO"/>
    <d v="1899-12-30T21:50:00"/>
    <d v="1899-12-30T21:50:00"/>
    <m/>
    <s v="POSITION1"/>
    <x v="3"/>
    <x v="115"/>
  </r>
  <r>
    <n v="235908"/>
    <s v="People333"/>
    <s v="department"/>
    <s v="REGION4"/>
    <s v="STORE105"/>
    <s v="MANAGER40"/>
    <s v="NEGATIVO"/>
    <d v="1899-12-30T21:07:00"/>
    <d v="1899-12-30T21:07:00"/>
    <m/>
    <s v="POSITION1"/>
    <x v="3"/>
    <x v="104"/>
  </r>
  <r>
    <n v="233511"/>
    <s v="People334"/>
    <s v="department"/>
    <s v="REGION4"/>
    <s v="STORE109"/>
    <s v="MANAGER40"/>
    <s v="NEGATIVO"/>
    <d v="1899-12-30T11:59:00"/>
    <d v="1899-12-30T11:59:00"/>
    <m/>
    <s v="POSITION5"/>
    <x v="3"/>
    <x v="108"/>
  </r>
  <r>
    <n v="231228"/>
    <s v="People335"/>
    <s v="department"/>
    <s v="REGION4"/>
    <s v="STORE113"/>
    <s v="MANAGER41"/>
    <s v="NEGATIVO"/>
    <d v="1899-12-30T04:19:00"/>
    <d v="1899-12-30T04:19:00"/>
    <m/>
    <s v="POSITION4"/>
    <x v="3"/>
    <x v="112"/>
  </r>
  <r>
    <n v="231091"/>
    <s v="People336"/>
    <s v="department"/>
    <s v="REGION4"/>
    <s v="STORE117"/>
    <s v="MANAGER43"/>
    <s v="NEGATIVO"/>
    <d v="1899-12-30T02:31:00"/>
    <d v="1899-12-30T02:31:00"/>
    <m/>
    <s v="POSITION1"/>
    <x v="3"/>
    <x v="116"/>
  </r>
  <r>
    <n v="237624"/>
    <s v="People337"/>
    <s v="department"/>
    <s v="REGION4"/>
    <s v="STORE106"/>
    <s v="MANAGER39"/>
    <s v="NEGATIVO"/>
    <d v="1899-12-30T00:24:00"/>
    <d v="1899-12-30T00:24:00"/>
    <m/>
    <s v="POSITION1"/>
    <x v="3"/>
    <x v="105"/>
  </r>
  <r>
    <n v="201556"/>
    <s v="People338"/>
    <s v="department"/>
    <s v="REGION4"/>
    <s v="STORE108"/>
    <s v="MANAGER42"/>
    <s v="NEGATIVO"/>
    <d v="1899-12-30T04:47:00"/>
    <d v="1899-12-30T04:47:00"/>
    <m/>
    <s v="POSITION3"/>
    <x v="3"/>
    <x v="107"/>
  </r>
  <r>
    <n v="202149"/>
    <s v="People339"/>
    <s v="department"/>
    <s v="REGION4"/>
    <s v="STORE109"/>
    <s v="MANAGER40"/>
    <s v="NEGATIVO"/>
    <d v="1899-12-30T18:30:00"/>
    <d v="1899-12-30T18:30:00"/>
    <m/>
    <s v="POSITION4"/>
    <x v="3"/>
    <x v="108"/>
  </r>
  <r>
    <n v="224286"/>
    <s v="People340"/>
    <s v="department"/>
    <s v="REGION4"/>
    <s v="STORE116"/>
    <s v="MANAGER45"/>
    <s v="POSITIVO"/>
    <d v="1899-12-31T09:41:00"/>
    <m/>
    <d v="1899-12-31T09:41:00"/>
    <s v="POSITION1"/>
    <x v="3"/>
    <x v="115"/>
  </r>
  <r>
    <n v="234727"/>
    <s v="People341"/>
    <s v="department"/>
    <s v="REGION4"/>
    <s v="STORE115"/>
    <s v="MANAGER42"/>
    <s v="POSITIVO"/>
    <d v="1899-12-31T09:28:00"/>
    <m/>
    <d v="1899-12-31T09:28:00"/>
    <s v="POSITION1"/>
    <x v="3"/>
    <x v="114"/>
  </r>
  <r>
    <n v="213970"/>
    <s v="People342"/>
    <s v="department"/>
    <s v="REGION4"/>
    <s v="STORE118"/>
    <s v="MANAGER44"/>
    <s v="POSITIVO"/>
    <d v="1899-12-31T07:08:00"/>
    <m/>
    <d v="1899-12-31T07:08:00"/>
    <s v="POSITION9"/>
    <x v="3"/>
    <x v="117"/>
  </r>
  <r>
    <n v="223712"/>
    <s v="People343"/>
    <s v="department"/>
    <s v="REGION4"/>
    <s v="STORE111"/>
    <s v="MANAGER44"/>
    <s v="POSITIVO"/>
    <d v="1899-12-31T03:21:00"/>
    <m/>
    <d v="1899-12-31T03:21:00"/>
    <s v="POSITION2"/>
    <x v="3"/>
    <x v="110"/>
  </r>
  <r>
    <n v="235204"/>
    <s v="People344"/>
    <s v="department"/>
    <s v="REGION4"/>
    <s v="STORE114"/>
    <s v="MANAGER45"/>
    <s v="POSITIVO"/>
    <d v="1899-12-30T20:17:00"/>
    <m/>
    <d v="1899-12-30T20:17:00"/>
    <s v="POSITION3"/>
    <x v="3"/>
    <x v="113"/>
  </r>
  <r>
    <n v="231982"/>
    <s v="People345"/>
    <s v="department"/>
    <s v="REGION4"/>
    <s v="STORE105"/>
    <s v="MANAGER40"/>
    <s v="POSITIVO"/>
    <d v="1899-12-30T18:50:00"/>
    <m/>
    <d v="1899-12-30T18:50:00"/>
    <s v="POSITION1"/>
    <x v="3"/>
    <x v="104"/>
  </r>
  <r>
    <n v="232405"/>
    <s v="People346"/>
    <s v="department"/>
    <s v="REGION4"/>
    <s v="STORE115"/>
    <s v="MANAGER42"/>
    <s v="POSITIVO"/>
    <d v="1899-12-30T17:00:00"/>
    <m/>
    <d v="1899-12-30T17:00:00"/>
    <s v="POSITION1"/>
    <x v="3"/>
    <x v="114"/>
  </r>
  <r>
    <n v="235974"/>
    <s v="People347"/>
    <s v="department"/>
    <s v="REGION4"/>
    <s v="STORE117"/>
    <s v="MANAGER43"/>
    <s v="POSITIVO"/>
    <d v="1899-12-30T16:50:00"/>
    <m/>
    <d v="1899-12-30T16:50:00"/>
    <s v="POSITION1"/>
    <x v="3"/>
    <x v="116"/>
  </r>
  <r>
    <n v="232970"/>
    <s v="People348"/>
    <s v="department"/>
    <s v="REGION4"/>
    <s v="STORE108"/>
    <s v="MANAGER42"/>
    <s v="POSITIVO"/>
    <d v="1899-12-30T14:32:00"/>
    <m/>
    <d v="1899-12-30T14:32:00"/>
    <s v="POSITION5"/>
    <x v="3"/>
    <x v="107"/>
  </r>
  <r>
    <n v="229691"/>
    <s v="People349"/>
    <s v="department"/>
    <s v="REGION4"/>
    <s v="STORE104"/>
    <s v="MANAGER39"/>
    <s v="POSITIVO"/>
    <d v="1899-12-30T13:53:00"/>
    <m/>
    <d v="1899-12-30T13:53:00"/>
    <s v="POSITION3"/>
    <x v="3"/>
    <x v="103"/>
  </r>
  <r>
    <n v="225345"/>
    <s v="People350"/>
    <s v="department"/>
    <s v="REGION4"/>
    <s v="STORE115"/>
    <s v="MANAGER42"/>
    <s v="POSITIVO"/>
    <d v="1899-12-30T12:29:00"/>
    <m/>
    <d v="1899-12-30T12:29:00"/>
    <s v="POSITION1"/>
    <x v="3"/>
    <x v="114"/>
  </r>
  <r>
    <n v="200888"/>
    <s v="People351"/>
    <s v="department"/>
    <s v="REGION4"/>
    <s v="STORE119"/>
    <s v="MANAGER44"/>
    <s v="POSITIVO"/>
    <d v="1899-12-30T12:22:00"/>
    <m/>
    <d v="1899-12-30T12:22:00"/>
    <s v="POSITION7"/>
    <x v="3"/>
    <x v="118"/>
  </r>
  <r>
    <n v="231488"/>
    <s v="People352"/>
    <s v="department"/>
    <s v="REGION4"/>
    <s v="STORE107"/>
    <s v="MANAGER41"/>
    <s v="POSITIVO"/>
    <d v="1899-12-30T10:45:00"/>
    <m/>
    <d v="1899-12-30T10:45:00"/>
    <s v="POSITION1"/>
    <x v="3"/>
    <x v="106"/>
  </r>
  <r>
    <n v="232795"/>
    <s v="People353"/>
    <s v="department"/>
    <s v="REGION4"/>
    <s v="STORE106"/>
    <s v="MANAGER39"/>
    <s v="POSITIVO"/>
    <d v="1899-12-30T10:43:00"/>
    <m/>
    <d v="1899-12-30T10:43:00"/>
    <s v="POSITION1"/>
    <x v="3"/>
    <x v="105"/>
  </r>
  <r>
    <n v="236589"/>
    <s v="People354"/>
    <s v="department"/>
    <s v="REGION4"/>
    <s v="STORE115"/>
    <s v="MANAGER42"/>
    <s v="POSITIVO"/>
    <d v="1899-12-30T09:47:00"/>
    <m/>
    <d v="1899-12-30T09:47:00"/>
    <s v="POSITION1"/>
    <x v="3"/>
    <x v="114"/>
  </r>
  <r>
    <n v="235960"/>
    <s v="People355"/>
    <s v="department"/>
    <s v="REGION4"/>
    <s v="STORE107"/>
    <s v="MANAGER41"/>
    <s v="POSITIVO"/>
    <d v="1899-12-30T08:20:00"/>
    <m/>
    <d v="1899-12-30T08:20:00"/>
    <s v="POSITION1"/>
    <x v="3"/>
    <x v="106"/>
  </r>
  <r>
    <n v="235478"/>
    <s v="People356"/>
    <s v="department"/>
    <s v="REGION4"/>
    <s v="STORE120"/>
    <s v="MANAGER44"/>
    <s v="POSITIVO"/>
    <d v="1899-12-30T08:15:00"/>
    <m/>
    <d v="1899-12-30T08:15:00"/>
    <s v="POSITION2"/>
    <x v="3"/>
    <x v="119"/>
  </r>
  <r>
    <n v="237914"/>
    <s v="People357"/>
    <s v="department"/>
    <s v="REGION4"/>
    <s v="STORE107"/>
    <s v="MANAGER41"/>
    <s v="POSITIVO"/>
    <d v="1899-12-30T07:22:00"/>
    <m/>
    <d v="1899-12-30T07:22:00"/>
    <s v="POSITION1"/>
    <x v="3"/>
    <x v="106"/>
  </r>
  <r>
    <n v="234735"/>
    <s v="People358"/>
    <s v="department"/>
    <s v="REGION4"/>
    <s v="STORE106"/>
    <s v="MANAGER39"/>
    <s v="POSITIVO"/>
    <d v="1899-12-30T06:37:00"/>
    <m/>
    <d v="1899-12-30T06:37:00"/>
    <s v="POSITION1"/>
    <x v="3"/>
    <x v="105"/>
  </r>
  <r>
    <n v="230832"/>
    <s v="People359"/>
    <s v="department"/>
    <s v="REGION4"/>
    <s v="STORE121"/>
    <s v="MANAGER44"/>
    <s v="POSITIVO"/>
    <d v="1899-12-30T05:18:00"/>
    <m/>
    <d v="1899-12-30T05:18:00"/>
    <s v="POSITION2"/>
    <x v="3"/>
    <x v="120"/>
  </r>
  <r>
    <n v="235257"/>
    <s v="People360"/>
    <s v="department"/>
    <s v="REGION4"/>
    <s v="STORE116"/>
    <s v="MANAGER45"/>
    <s v="POSITIVO"/>
    <d v="1899-12-30T04:28:00"/>
    <m/>
    <d v="1899-12-30T04:28:00"/>
    <s v="POSITION1"/>
    <x v="3"/>
    <x v="115"/>
  </r>
  <r>
    <n v="235112"/>
    <s v="People361"/>
    <s v="department"/>
    <s v="REGION4"/>
    <s v="STORE116"/>
    <s v="MANAGER45"/>
    <s v="POSITIVO"/>
    <d v="1899-12-30T04:06:00"/>
    <m/>
    <d v="1899-12-30T04:06:00"/>
    <s v="POSITION1"/>
    <x v="3"/>
    <x v="115"/>
  </r>
  <r>
    <n v="230257"/>
    <s v="People362"/>
    <s v="department"/>
    <s v="REGION4"/>
    <s v="STORE115"/>
    <s v="MANAGER42"/>
    <s v="POSITIVO"/>
    <d v="1899-12-30T03:25:00"/>
    <m/>
    <d v="1899-12-30T03:25:00"/>
    <s v="POSITION1"/>
    <x v="3"/>
    <x v="114"/>
  </r>
  <r>
    <n v="223765"/>
    <s v="People363"/>
    <s v="department"/>
    <s v="REGION4"/>
    <s v="STORE117"/>
    <s v="MANAGER43"/>
    <s v="POSITIVO"/>
    <d v="1899-12-30T02:31:00"/>
    <m/>
    <d v="1899-12-30T02:31:00"/>
    <s v="POSITION1"/>
    <x v="3"/>
    <x v="116"/>
  </r>
  <r>
    <n v="231307"/>
    <s v="People364"/>
    <s v="department"/>
    <s v="REGION4"/>
    <s v="STORE117"/>
    <s v="MANAGER43"/>
    <s v="POSITIVO"/>
    <d v="1899-12-30T02:23:00"/>
    <m/>
    <d v="1899-12-30T02:23:00"/>
    <s v="POSITION1"/>
    <x v="3"/>
    <x v="116"/>
  </r>
  <r>
    <n v="235156"/>
    <s v="People365"/>
    <s v="department"/>
    <s v="REGION4"/>
    <s v="STORE114"/>
    <s v="MANAGER45"/>
    <s v="POSITIVO"/>
    <d v="1899-12-30T02:06:00"/>
    <m/>
    <d v="1899-12-30T02:06:00"/>
    <s v="POSITION3"/>
    <x v="3"/>
    <x v="113"/>
  </r>
  <r>
    <n v="222048"/>
    <s v="People366"/>
    <s v="department"/>
    <s v="REGION4"/>
    <s v="STORE109"/>
    <s v="MANAGER40"/>
    <s v="POSITIVO"/>
    <d v="1899-12-30T00:35:00"/>
    <m/>
    <d v="1899-12-30T00:35:00"/>
    <s v="POSITION3"/>
    <x v="3"/>
    <x v="108"/>
  </r>
  <r>
    <n v="233565"/>
    <s v="People367"/>
    <s v="department"/>
    <s v="REGION4"/>
    <s v="STORE122"/>
    <s v="MANAGER46"/>
    <s v="NEGATIVO"/>
    <d v="1900-01-01T17:04:00"/>
    <d v="1900-01-01T17:04:00"/>
    <m/>
    <s v="POSITION1"/>
    <x v="3"/>
    <x v="121"/>
  </r>
  <r>
    <n v="237207"/>
    <s v="People368"/>
    <s v="department"/>
    <s v="REGION4"/>
    <s v="STORE123"/>
    <s v="MANAGER47"/>
    <s v="NEGATIVO"/>
    <d v="1899-12-30T08:55:00"/>
    <d v="1899-12-30T08:55:00"/>
    <m/>
    <s v="POSITION1"/>
    <x v="3"/>
    <x v="122"/>
  </r>
  <r>
    <n v="236623"/>
    <s v="People369"/>
    <s v="department"/>
    <s v="REGION2"/>
    <s v="STORE124"/>
    <s v="MANAGER48"/>
    <s v="NEGATIVO"/>
    <d v="1900-01-11T02:24:00"/>
    <d v="1900-01-11T02:24:00"/>
    <m/>
    <s v="POSITION4"/>
    <x v="1"/>
    <x v="123"/>
  </r>
  <r>
    <n v="202664"/>
    <s v="People370"/>
    <s v="department"/>
    <s v="REGION4"/>
    <s v="STORE125"/>
    <s v="MANAGER49"/>
    <s v="NEGATIVO"/>
    <d v="1899-12-31T01:00:00"/>
    <d v="1899-12-31T01:00:00"/>
    <m/>
    <s v="POSITION1"/>
    <x v="3"/>
    <x v="124"/>
  </r>
  <r>
    <n v="223768"/>
    <s v="People371"/>
    <s v="department"/>
    <s v="REGION4"/>
    <s v="STORE126"/>
    <s v="MANAGER50"/>
    <s v="NEGATIVO"/>
    <d v="1899-12-30T11:15:00"/>
    <d v="1899-12-30T11:15:00"/>
    <m/>
    <s v="POSITION1"/>
    <x v="3"/>
    <x v="125"/>
  </r>
  <r>
    <n v="234732"/>
    <s v="People372"/>
    <s v="department"/>
    <s v="REGION2"/>
    <s v="STORE127"/>
    <s v="MANAGER48"/>
    <s v="NEGATIVO"/>
    <d v="1900-01-08T16:57:00"/>
    <d v="1900-01-08T16:57:00"/>
    <m/>
    <s v="POSITION1"/>
    <x v="1"/>
    <x v="126"/>
  </r>
  <r>
    <n v="231430"/>
    <s v="People373"/>
    <s v="department"/>
    <s v="REGION4"/>
    <s v="STORE126"/>
    <s v="MANAGER50"/>
    <s v="NEGATIVO"/>
    <d v="1899-12-30T07:32:00"/>
    <d v="1899-12-30T07:32:00"/>
    <m/>
    <s v="POSITION1"/>
    <x v="3"/>
    <x v="125"/>
  </r>
  <r>
    <n v="235843"/>
    <s v="People374"/>
    <s v="department"/>
    <s v="REGION4"/>
    <s v="STORE126"/>
    <s v="MANAGER50"/>
    <s v="NEGATIVO"/>
    <d v="1899-12-31T02:16:00"/>
    <d v="1899-12-31T02:16:00"/>
    <m/>
    <s v="POSITION1"/>
    <x v="3"/>
    <x v="125"/>
  </r>
  <r>
    <n v="233795"/>
    <s v="People375"/>
    <s v="department"/>
    <s v="REGION4"/>
    <s v="STORE128"/>
    <s v="MANAGER51"/>
    <s v="NEGATIVO"/>
    <d v="1900-01-01T15:29:00"/>
    <d v="1900-01-01T15:29:00"/>
    <m/>
    <s v="POSITION5"/>
    <x v="3"/>
    <x v="127"/>
  </r>
  <r>
    <n v="225905"/>
    <s v="People376"/>
    <s v="department"/>
    <s v="REGION4"/>
    <s v="STORE129"/>
    <s v="MANAGER52"/>
    <s v="NEGATIVO"/>
    <d v="1899-12-30T09:11:00"/>
    <d v="1899-12-30T09:11:00"/>
    <m/>
    <s v="POSITION1"/>
    <x v="3"/>
    <x v="128"/>
  </r>
  <r>
    <n v="203618"/>
    <s v="People377"/>
    <s v="department"/>
    <s v="REGION4"/>
    <s v="STORE130"/>
    <s v="MANAGER51"/>
    <s v="NEGATIVO"/>
    <d v="1899-12-30T12:26:00"/>
    <d v="1899-12-30T12:26:00"/>
    <m/>
    <s v="POSITION1"/>
    <x v="3"/>
    <x v="129"/>
  </r>
  <r>
    <n v="231499"/>
    <s v="People378"/>
    <s v="department"/>
    <s v="REGION4"/>
    <s v="STORE131"/>
    <s v="MANAGER50"/>
    <s v="NEGATIVO"/>
    <d v="1899-12-30T04:03:00"/>
    <d v="1899-12-30T04:03:00"/>
    <m/>
    <s v="POSITION3"/>
    <x v="3"/>
    <x v="130"/>
  </r>
  <r>
    <n v="203598"/>
    <s v="People379"/>
    <s v="department"/>
    <s v="REGION4"/>
    <s v="STORE130"/>
    <s v="MANAGER51"/>
    <s v="NEGATIVO"/>
    <d v="1899-12-30T04:20:00"/>
    <d v="1899-12-30T04:20:00"/>
    <m/>
    <s v="POSITION1"/>
    <x v="3"/>
    <x v="129"/>
  </r>
  <r>
    <n v="236361"/>
    <s v="People380"/>
    <s v="department"/>
    <s v="REGION4"/>
    <s v="STORE125"/>
    <s v="MANAGER49"/>
    <s v="NEGATIVO"/>
    <d v="1899-12-30T00:48:00"/>
    <d v="1899-12-30T00:48:00"/>
    <m/>
    <s v="POSITION1"/>
    <x v="3"/>
    <x v="124"/>
  </r>
  <r>
    <n v="203026"/>
    <s v="People381"/>
    <s v="department"/>
    <s v="REGION4"/>
    <s v="STORE126"/>
    <s v="MANAGER50"/>
    <s v="NEGATIVO"/>
    <d v="1899-12-30T00:16:00"/>
    <d v="1899-12-30T00:16:00"/>
    <m/>
    <s v="POSITION1"/>
    <x v="3"/>
    <x v="125"/>
  </r>
  <r>
    <n v="234353"/>
    <s v="People382"/>
    <s v="department"/>
    <s v="REGION4"/>
    <s v="STORE132"/>
    <s v="MANAGER53"/>
    <s v="NEGATIVO"/>
    <d v="1899-12-30T03:21:00"/>
    <d v="1899-12-30T03:21:00"/>
    <m/>
    <s v="POSITION1"/>
    <x v="3"/>
    <x v="131"/>
  </r>
  <r>
    <n v="203490"/>
    <s v="People383"/>
    <s v="department"/>
    <s v="REGION4"/>
    <s v="STORE122"/>
    <s v="MANAGER46"/>
    <s v="NEGATIVO"/>
    <d v="1899-12-30T01:54:00"/>
    <d v="1899-12-30T01:54:00"/>
    <m/>
    <s v="POSITION1"/>
    <x v="3"/>
    <x v="121"/>
  </r>
  <r>
    <n v="224489"/>
    <s v="People384"/>
    <s v="department"/>
    <s v="REGION4"/>
    <s v="STORE133"/>
    <s v="MANAGER47"/>
    <s v="NEGATIVO"/>
    <d v="1899-12-30T18:18:00"/>
    <d v="1899-12-30T18:18:00"/>
    <m/>
    <s v="POSITION3"/>
    <x v="3"/>
    <x v="132"/>
  </r>
  <r>
    <n v="222964"/>
    <s v="People385"/>
    <s v="department"/>
    <s v="REGION4"/>
    <s v="STORE130"/>
    <s v="MANAGER51"/>
    <s v="NEGATIVO"/>
    <d v="1899-12-30T21:44:00"/>
    <d v="1899-12-30T21:44:00"/>
    <m/>
    <s v="POSITION1"/>
    <x v="3"/>
    <x v="129"/>
  </r>
  <r>
    <n v="224292"/>
    <s v="People386"/>
    <s v="department"/>
    <s v="REGION4"/>
    <s v="STORE134"/>
    <s v="MANAGER54"/>
    <s v="NEGATIVO"/>
    <d v="1900-01-07T01:08:00"/>
    <d v="1900-01-07T01:08:00"/>
    <m/>
    <s v="POSITION1"/>
    <x v="3"/>
    <x v="133"/>
  </r>
  <r>
    <n v="220920"/>
    <s v="People387"/>
    <s v="department"/>
    <s v="REGION4"/>
    <s v="STORE128"/>
    <s v="MANAGER51"/>
    <s v="NEGATIVO"/>
    <d v="1899-12-30T04:02:00"/>
    <d v="1899-12-30T04:02:00"/>
    <m/>
    <s v="POSITION3"/>
    <x v="3"/>
    <x v="127"/>
  </r>
  <r>
    <n v="230862"/>
    <s v="People388"/>
    <s v="department"/>
    <s v="REGION4"/>
    <s v="STORE135"/>
    <s v="MANAGER44"/>
    <s v="NEGATIVO"/>
    <d v="1899-12-30T09:35:00"/>
    <d v="1899-12-30T09:35:00"/>
    <m/>
    <s v="POSITION2"/>
    <x v="3"/>
    <x v="134"/>
  </r>
  <r>
    <n v="231661"/>
    <s v="People389"/>
    <s v="department"/>
    <s v="REGION4"/>
    <s v="STORE131"/>
    <s v="MANAGER50"/>
    <s v="NEGATIVO"/>
    <d v="1899-12-30T10:48:00"/>
    <d v="1899-12-30T10:48:00"/>
    <m/>
    <s v="POSITION3"/>
    <x v="3"/>
    <x v="130"/>
  </r>
  <r>
    <n v="232288"/>
    <s v="People390"/>
    <s v="department"/>
    <s v="REGION4"/>
    <s v="STORE125"/>
    <s v="MANAGER49"/>
    <s v="NEGATIVO"/>
    <d v="1899-12-31T05:04:00"/>
    <d v="1899-12-31T05:04:00"/>
    <m/>
    <s v="POSITION1"/>
    <x v="3"/>
    <x v="124"/>
  </r>
  <r>
    <n v="220250"/>
    <s v="People391"/>
    <s v="department"/>
    <s v="REGION4"/>
    <s v="STORE136"/>
    <s v="MANAGER49"/>
    <s v="NEGATIVO"/>
    <d v="1899-12-30T18:19:00"/>
    <d v="1899-12-30T18:19:00"/>
    <m/>
    <s v="POSITION4"/>
    <x v="3"/>
    <x v="135"/>
  </r>
  <r>
    <n v="234510"/>
    <s v="People392"/>
    <s v="department"/>
    <s v="REGION4"/>
    <s v="STORE137"/>
    <s v="MANAGER44"/>
    <s v="NEGATIVO"/>
    <d v="1899-12-30T22:32:00"/>
    <d v="1899-12-30T22:32:00"/>
    <m/>
    <s v="POSITION2"/>
    <x v="3"/>
    <x v="136"/>
  </r>
  <r>
    <n v="224229"/>
    <s v="People393"/>
    <s v="department"/>
    <s v="REGION4"/>
    <s v="STORE138"/>
    <s v="MANAGER54"/>
    <s v="NEGATIVO"/>
    <d v="1899-12-30T06:02:00"/>
    <d v="1899-12-30T06:02:00"/>
    <m/>
    <s v="POSITION3"/>
    <x v="3"/>
    <x v="137"/>
  </r>
  <r>
    <n v="217322"/>
    <s v="People394"/>
    <s v="department"/>
    <s v="REGION4"/>
    <s v="STORE139"/>
    <s v="MANAGER46"/>
    <s v="NEGATIVO"/>
    <d v="1899-12-30T01:28:00"/>
    <d v="1899-12-30T01:28:00"/>
    <m/>
    <s v="POSITION3"/>
    <x v="3"/>
    <x v="138"/>
  </r>
  <r>
    <n v="237424"/>
    <s v="People395"/>
    <s v="department"/>
    <s v="REGION4"/>
    <s v="STORE123"/>
    <s v="MANAGER47"/>
    <s v="NEGATIVO"/>
    <d v="1899-12-30T04:18:00"/>
    <d v="1899-12-30T04:18:00"/>
    <m/>
    <s v="POSITION1"/>
    <x v="3"/>
    <x v="122"/>
  </r>
  <r>
    <n v="233299"/>
    <s v="People396"/>
    <s v="department"/>
    <s v="REGION2"/>
    <s v="STORE124"/>
    <s v="MANAGER48"/>
    <s v="NEGATIVO"/>
    <d v="1900-01-03T11:11:00"/>
    <d v="1900-01-03T11:11:00"/>
    <m/>
    <s v="POSITION3"/>
    <x v="1"/>
    <x v="123"/>
  </r>
  <r>
    <n v="234409"/>
    <s v="People397"/>
    <s v="department"/>
    <s v="REGION4"/>
    <s v="STORE126"/>
    <s v="MANAGER50"/>
    <s v="NEGATIVO"/>
    <d v="1899-12-30T10:17:00"/>
    <d v="1899-12-30T10:17:00"/>
    <m/>
    <s v="POSITION1"/>
    <x v="3"/>
    <x v="125"/>
  </r>
  <r>
    <n v="203075"/>
    <s v="People398"/>
    <s v="department"/>
    <s v="REGION4"/>
    <s v="STORE130"/>
    <s v="MANAGER51"/>
    <s v="NEGATIVO"/>
    <d v="1899-12-30T01:22:00"/>
    <d v="1899-12-30T01:22:00"/>
    <m/>
    <s v="POSITION1"/>
    <x v="3"/>
    <x v="129"/>
  </r>
  <r>
    <n v="230428"/>
    <s v="People399"/>
    <s v="department"/>
    <s v="REGION2"/>
    <s v="STORE127"/>
    <s v="MANAGER48"/>
    <s v="NEGATIVO"/>
    <d v="1900-01-05T10:59:00"/>
    <d v="1900-01-05T10:59:00"/>
    <m/>
    <s v="POSITION1"/>
    <x v="1"/>
    <x v="126"/>
  </r>
  <r>
    <n v="203418"/>
    <s v="People400"/>
    <s v="department"/>
    <s v="REGION4"/>
    <s v="STORE129"/>
    <s v="MANAGER52"/>
    <s v="NEGATIVO"/>
    <d v="1899-12-30T00:39:00"/>
    <d v="1899-12-30T00:39:00"/>
    <m/>
    <s v="POSITION1"/>
    <x v="3"/>
    <x v="128"/>
  </r>
  <r>
    <n v="236242"/>
    <s v="People401"/>
    <s v="department"/>
    <s v="REGION4"/>
    <s v="STORE140"/>
    <s v="MANAGER44"/>
    <s v="NEGATIVO"/>
    <d v="1899-12-30T03:32:00"/>
    <d v="1899-12-30T03:32:00"/>
    <m/>
    <s v="POSITION2"/>
    <x v="3"/>
    <x v="139"/>
  </r>
  <r>
    <n v="202399"/>
    <s v="People402"/>
    <s v="department"/>
    <s v="REGION4"/>
    <s v="STORE139"/>
    <s v="MANAGER46"/>
    <s v="POSITIVO"/>
    <d v="1900-01-06T06:34:00"/>
    <m/>
    <d v="1900-01-06T06:34:00"/>
    <s v="POSITION4"/>
    <x v="3"/>
    <x v="138"/>
  </r>
  <r>
    <n v="231305"/>
    <s v="People403"/>
    <s v="department"/>
    <s v="REGION2"/>
    <s v="STORE127"/>
    <s v="MANAGER48"/>
    <s v="POSITIVO"/>
    <d v="1900-01-03T03:01:00"/>
    <m/>
    <d v="1900-01-03T03:01:00"/>
    <s v="POSITION1"/>
    <x v="1"/>
    <x v="126"/>
  </r>
  <r>
    <n v="229987"/>
    <s v="People404"/>
    <s v="department"/>
    <s v="REGION4"/>
    <s v="STORE123"/>
    <s v="MANAGER47"/>
    <s v="POSITIVO"/>
    <d v="1899-12-31T05:15:00"/>
    <m/>
    <d v="1899-12-31T05:15:00"/>
    <s v="POSITION1"/>
    <x v="3"/>
    <x v="122"/>
  </r>
  <r>
    <n v="232590"/>
    <s v="People405"/>
    <s v="department"/>
    <s v="REGION4"/>
    <s v="STORE134"/>
    <s v="MANAGER54"/>
    <s v="POSITIVO"/>
    <d v="1899-12-31T02:00:00"/>
    <m/>
    <d v="1899-12-31T02:00:00"/>
    <s v="POSITION1"/>
    <x v="3"/>
    <x v="133"/>
  </r>
  <r>
    <n v="235308"/>
    <s v="People406"/>
    <s v="department"/>
    <s v="REGION4"/>
    <s v="STORE134"/>
    <s v="MANAGER54"/>
    <s v="POSITIVO"/>
    <d v="1899-12-30T22:06:00"/>
    <m/>
    <d v="1899-12-30T22:06:00"/>
    <s v="POSITION1"/>
    <x v="3"/>
    <x v="133"/>
  </r>
  <r>
    <n v="237405"/>
    <s v="People407"/>
    <s v="department"/>
    <s v="REGION4"/>
    <s v="STORE132"/>
    <s v="MANAGER53"/>
    <s v="POSITIVO"/>
    <d v="1899-12-30T19:35:00"/>
    <m/>
    <d v="1899-12-30T19:35:00"/>
    <s v="POSITION1"/>
    <x v="3"/>
    <x v="131"/>
  </r>
  <r>
    <n v="216190"/>
    <s v="People408"/>
    <s v="department"/>
    <s v="REGION4"/>
    <s v="STORE141"/>
    <s v="MANAGER44"/>
    <s v="POSITIVO"/>
    <d v="1899-12-30T19:16:00"/>
    <m/>
    <d v="1899-12-30T19:16:00"/>
    <s v="POSITION9"/>
    <x v="3"/>
    <x v="140"/>
  </r>
  <r>
    <n v="235557"/>
    <s v="People409"/>
    <s v="department"/>
    <s v="REGION4"/>
    <s v="STORE132"/>
    <s v="MANAGER53"/>
    <s v="POSITIVO"/>
    <d v="1899-12-30T18:45:00"/>
    <m/>
    <d v="1899-12-30T18:45:00"/>
    <s v="POSITION1"/>
    <x v="3"/>
    <x v="131"/>
  </r>
  <r>
    <n v="203326"/>
    <s v="People410"/>
    <s v="department"/>
    <s v="REGION4"/>
    <s v="STORE142"/>
    <s v="MANAGER44"/>
    <s v="POSITIVO"/>
    <d v="1899-12-30T18:35:00"/>
    <m/>
    <d v="1899-12-30T18:35:00"/>
    <s v="POSITION2"/>
    <x v="3"/>
    <x v="141"/>
  </r>
  <r>
    <n v="203184"/>
    <s v="People411"/>
    <s v="department"/>
    <s v="REGION4"/>
    <s v="STORE125"/>
    <s v="MANAGER49"/>
    <s v="POSITIVO"/>
    <d v="1899-12-30T17:46:00"/>
    <m/>
    <d v="1899-12-30T17:46:00"/>
    <s v="POSITION1"/>
    <x v="3"/>
    <x v="124"/>
  </r>
  <r>
    <n v="229395"/>
    <s v="People412"/>
    <s v="department"/>
    <s v="REGION4"/>
    <s v="STORE134"/>
    <s v="MANAGER54"/>
    <s v="POSITIVO"/>
    <d v="1899-12-30T17:27:00"/>
    <m/>
    <d v="1899-12-30T17:27:00"/>
    <s v="POSITION1"/>
    <x v="3"/>
    <x v="133"/>
  </r>
  <r>
    <n v="232179"/>
    <s v="People413"/>
    <s v="department"/>
    <s v="REGION4"/>
    <s v="STORE134"/>
    <s v="MANAGER54"/>
    <s v="POSITIVO"/>
    <d v="1899-12-30T15:15:00"/>
    <m/>
    <d v="1899-12-30T15:15:00"/>
    <s v="POSITION1"/>
    <x v="3"/>
    <x v="133"/>
  </r>
  <r>
    <n v="202977"/>
    <s v="People414"/>
    <s v="department"/>
    <s v="REGION4"/>
    <s v="STORE130"/>
    <s v="MANAGER51"/>
    <s v="POSITIVO"/>
    <d v="1899-12-30T13:27:00"/>
    <m/>
    <d v="1899-12-30T13:27:00"/>
    <s v="POSITION1"/>
    <x v="3"/>
    <x v="129"/>
  </r>
  <r>
    <n v="224230"/>
    <s v="People415"/>
    <s v="department"/>
    <s v="REGION4"/>
    <s v="STORE138"/>
    <s v="MANAGER54"/>
    <s v="POSITIVO"/>
    <d v="1899-12-30T13:27:00"/>
    <m/>
    <d v="1899-12-30T13:27:00"/>
    <s v="POSITION4"/>
    <x v="3"/>
    <x v="137"/>
  </r>
  <r>
    <n v="222549"/>
    <s v="People416"/>
    <s v="department"/>
    <s v="REGION4"/>
    <s v="STORE122"/>
    <s v="MANAGER46"/>
    <s v="POSITIVO"/>
    <d v="1899-12-30T13:24:00"/>
    <m/>
    <d v="1899-12-30T13:24:00"/>
    <s v="POSITION1"/>
    <x v="3"/>
    <x v="121"/>
  </r>
  <r>
    <n v="234644"/>
    <s v="People417"/>
    <s v="department"/>
    <s v="REGION2"/>
    <s v="STORE127"/>
    <s v="MANAGER48"/>
    <s v="POSITIVO"/>
    <d v="1899-12-30T13:13:00"/>
    <m/>
    <d v="1899-12-30T13:13:00"/>
    <s v="POSITION1"/>
    <x v="1"/>
    <x v="126"/>
  </r>
  <r>
    <n v="218467"/>
    <s v="People418"/>
    <s v="department"/>
    <s v="REGION4"/>
    <s v="STORE143"/>
    <s v="MANAGER44"/>
    <s v="POSITIVO"/>
    <d v="1899-12-30T11:03:00"/>
    <m/>
    <d v="1899-12-30T11:03:00"/>
    <s v="POSITION9"/>
    <x v="3"/>
    <x v="142"/>
  </r>
  <r>
    <n v="218830"/>
    <s v="People419"/>
    <s v="department"/>
    <s v="REGION2"/>
    <s v="STORE144"/>
    <s v="MANAGER14"/>
    <s v="POSITIVO"/>
    <d v="1899-12-30T08:50:00"/>
    <m/>
    <d v="1899-12-30T08:50:00"/>
    <s v="POSITION9"/>
    <x v="1"/>
    <x v="143"/>
  </r>
  <r>
    <n v="203496"/>
    <s v="People420"/>
    <s v="department"/>
    <s v="REGION4"/>
    <s v="STORE129"/>
    <s v="MANAGER52"/>
    <s v="POSITIVO"/>
    <d v="1899-12-30T07:52:00"/>
    <m/>
    <d v="1899-12-30T07:52:00"/>
    <s v="POSITION1"/>
    <x v="3"/>
    <x v="128"/>
  </r>
  <r>
    <n v="230381"/>
    <s v="People421"/>
    <s v="department"/>
    <s v="REGION4"/>
    <s v="STORE130"/>
    <s v="MANAGER51"/>
    <s v="POSITIVO"/>
    <d v="1899-12-30T07:49:00"/>
    <m/>
    <d v="1899-12-30T07:49:00"/>
    <s v="POSITION1"/>
    <x v="3"/>
    <x v="129"/>
  </r>
  <r>
    <n v="218011"/>
    <s v="People422"/>
    <s v="department"/>
    <s v="REGION4"/>
    <s v="STORE145"/>
    <s v="MANAGER52"/>
    <s v="POSITIVO"/>
    <d v="1899-12-30T06:48:00"/>
    <m/>
    <d v="1899-12-30T06:48:00"/>
    <s v="POSITION3"/>
    <x v="3"/>
    <x v="144"/>
  </r>
  <r>
    <n v="235930"/>
    <s v="People423"/>
    <s v="department"/>
    <s v="REGION4"/>
    <s v="STORE122"/>
    <s v="MANAGER46"/>
    <s v="POSITIVO"/>
    <d v="1899-12-30T06:21:00"/>
    <m/>
    <d v="1899-12-30T06:21:00"/>
    <s v="POSITION1"/>
    <x v="3"/>
    <x v="121"/>
  </r>
  <r>
    <n v="200234"/>
    <s v="People424"/>
    <s v="department"/>
    <s v="REGION4"/>
    <s v="STORE131"/>
    <s v="MANAGER50"/>
    <s v="POSITIVO"/>
    <d v="1899-12-30T05:51:00"/>
    <m/>
    <d v="1899-12-30T05:51:00"/>
    <s v="POSITION4"/>
    <x v="3"/>
    <x v="130"/>
  </r>
  <r>
    <n v="200590"/>
    <s v="People425"/>
    <s v="department"/>
    <s v="REGION4"/>
    <s v="STORE146"/>
    <s v="MANAGER44"/>
    <s v="POSITIVO"/>
    <d v="1899-12-30T04:36:00"/>
    <m/>
    <d v="1899-12-30T04:36:00"/>
    <s v="POSITION7"/>
    <x v="3"/>
    <x v="145"/>
  </r>
  <r>
    <n v="224184"/>
    <s v="People426"/>
    <s v="department"/>
    <s v="REGION4"/>
    <s v="STORE128"/>
    <s v="MANAGER51"/>
    <s v="POSITIVO"/>
    <d v="1899-12-30T04:25:00"/>
    <m/>
    <d v="1899-12-30T04:25:00"/>
    <s v="POSITION4"/>
    <x v="3"/>
    <x v="127"/>
  </r>
  <r>
    <n v="201779"/>
    <s v="People427"/>
    <s v="department"/>
    <s v="REGION4"/>
    <s v="STORE133"/>
    <s v="MANAGER47"/>
    <s v="POSITIVO"/>
    <d v="1899-12-30T04:18:00"/>
    <m/>
    <d v="1899-12-30T04:18:00"/>
    <s v="POSITION4"/>
    <x v="3"/>
    <x v="132"/>
  </r>
  <r>
    <n v="200217"/>
    <s v="People428"/>
    <s v="department"/>
    <s v="REGION4"/>
    <s v="STORE128"/>
    <s v="MANAGER51"/>
    <s v="POSITIVO"/>
    <d v="1899-12-30T04:07:00"/>
    <m/>
    <d v="1899-12-30T04:07:00"/>
    <s v="POSITION3"/>
    <x v="3"/>
    <x v="127"/>
  </r>
  <r>
    <n v="224387"/>
    <s v="People429"/>
    <s v="department"/>
    <s v="REGION4"/>
    <s v="STORE122"/>
    <s v="MANAGER46"/>
    <s v="POSITIVO"/>
    <d v="1899-12-30T03:52:00"/>
    <m/>
    <d v="1899-12-30T03:52:00"/>
    <s v="POSITION1"/>
    <x v="3"/>
    <x v="121"/>
  </r>
  <r>
    <n v="237407"/>
    <s v="People430"/>
    <s v="department"/>
    <s v="REGION4"/>
    <s v="STORE132"/>
    <s v="MANAGER53"/>
    <s v="POSITIVO"/>
    <d v="1899-12-30T03:51:00"/>
    <m/>
    <d v="1899-12-30T03:51:00"/>
    <s v="POSITION1"/>
    <x v="3"/>
    <x v="131"/>
  </r>
  <r>
    <n v="231079"/>
    <s v="People431"/>
    <s v="department"/>
    <s v="REGION4"/>
    <s v="STORE129"/>
    <s v="MANAGER52"/>
    <s v="POSITIVO"/>
    <d v="1899-12-30T03:43:00"/>
    <m/>
    <d v="1899-12-30T03:43:00"/>
    <s v="POSITION1"/>
    <x v="3"/>
    <x v="128"/>
  </r>
  <r>
    <n v="221898"/>
    <s v="People432"/>
    <s v="department"/>
    <s v="REGION4"/>
    <s v="STORE136"/>
    <s v="MANAGER49"/>
    <s v="POSITIVO"/>
    <d v="1899-12-30T03:09:00"/>
    <m/>
    <d v="1899-12-30T03:09:00"/>
    <s v="POSITION3"/>
    <x v="3"/>
    <x v="135"/>
  </r>
  <r>
    <n v="235760"/>
    <s v="People433"/>
    <s v="department"/>
    <s v="REGION4"/>
    <s v="STORE123"/>
    <s v="MANAGER47"/>
    <s v="POSITIVO"/>
    <d v="1899-12-30T01:32:00"/>
    <m/>
    <d v="1899-12-30T01:32:00"/>
    <s v="POSITION1"/>
    <x v="3"/>
    <x v="122"/>
  </r>
  <r>
    <n v="224044"/>
    <s v="People434"/>
    <s v="department"/>
    <s v="REGION4"/>
    <s v="STORE140"/>
    <s v="MANAGER44"/>
    <s v="POSITIVO"/>
    <d v="1899-12-30T01:30:00"/>
    <m/>
    <d v="1899-12-30T01:30:00"/>
    <s v="POSITION2"/>
    <x v="3"/>
    <x v="139"/>
  </r>
  <r>
    <n v="203000"/>
    <s v="People435"/>
    <s v="department"/>
    <s v="REGION4"/>
    <s v="STORE125"/>
    <s v="MANAGER49"/>
    <s v="POSITIVO"/>
    <d v="1899-12-30T01:18:00"/>
    <m/>
    <d v="1899-12-30T01:18:00"/>
    <s v="POSITION1"/>
    <x v="3"/>
    <x v="124"/>
  </r>
  <r>
    <n v="224294"/>
    <s v="People436"/>
    <s v="department"/>
    <s v="REGION4"/>
    <s v="STORE134"/>
    <s v="MANAGER54"/>
    <s v="POSITIVO"/>
    <d v="1899-12-30T01:16:00"/>
    <m/>
    <d v="1899-12-30T01:16:00"/>
    <s v="POSITION1"/>
    <x v="3"/>
    <x v="133"/>
  </r>
  <r>
    <n v="237415"/>
    <s v="People437"/>
    <s v="department"/>
    <s v="REGION4"/>
    <s v="STORE147"/>
    <s v="MANAGER53"/>
    <s v="POSITIVO"/>
    <d v="1899-12-30T00:59:00"/>
    <m/>
    <d v="1899-12-30T00:59:00"/>
    <s v="POSITION3"/>
    <x v="3"/>
    <x v="146"/>
  </r>
  <r>
    <n v="224953"/>
    <s v="People438"/>
    <s v="department"/>
    <s v="REGION4"/>
    <s v="STORE126"/>
    <s v="MANAGER50"/>
    <s v="POSITIVO"/>
    <d v="1899-12-30T00:53:00"/>
    <m/>
    <d v="1899-12-30T00:53:00"/>
    <s v="POSITION1"/>
    <x v="3"/>
    <x v="125"/>
  </r>
  <r>
    <n v="237634"/>
    <s v="People439"/>
    <s v="department"/>
    <s v="REGION4"/>
    <s v="STORE147"/>
    <s v="MANAGER53"/>
    <s v="POSITIVO"/>
    <d v="1899-12-30T00:49:00"/>
    <m/>
    <d v="1899-12-30T00:49:00"/>
    <s v="POSITION4"/>
    <x v="3"/>
    <x v="146"/>
  </r>
  <r>
    <n v="231764"/>
    <s v="People440"/>
    <s v="department"/>
    <s v="REGION4"/>
    <s v="STORE145"/>
    <s v="MANAGER52"/>
    <s v="POSITIVO"/>
    <d v="1899-12-30T00:31:00"/>
    <m/>
    <d v="1899-12-30T00:31:00"/>
    <s v="POSITION4"/>
    <x v="3"/>
    <x v="144"/>
  </r>
  <r>
    <n v="232737"/>
    <s v="People441"/>
    <s v="department"/>
    <s v="REGION5"/>
    <s v="STORE148"/>
    <s v="MANAGER55"/>
    <s v="NEGATIVO"/>
    <d v="1899-12-30T04:10:00"/>
    <d v="1899-12-30T04:10:00"/>
    <m/>
    <s v="POSITION4"/>
    <x v="4"/>
    <x v="147"/>
  </r>
  <r>
    <n v="201397"/>
    <s v="People442"/>
    <s v="department"/>
    <s v="REGION5"/>
    <s v="STORE149"/>
    <s v="MANAGER56"/>
    <s v="NEGATIVO"/>
    <d v="1900-01-08T07:49:00"/>
    <d v="1900-01-08T07:49:00"/>
    <m/>
    <s v="POSITION3"/>
    <x v="4"/>
    <x v="148"/>
  </r>
  <r>
    <n v="217863"/>
    <s v="People443"/>
    <s v="department"/>
    <s v="REGION5"/>
    <s v="STORE150"/>
    <s v="MANAGER57"/>
    <s v="NEGATIVO"/>
    <d v="1899-12-31T02:16:00"/>
    <d v="1899-12-31T02:16:00"/>
    <m/>
    <s v="POSITION9"/>
    <x v="4"/>
    <x v="149"/>
  </r>
  <r>
    <n v="215480"/>
    <s v="People444"/>
    <s v="department"/>
    <s v="REGION5"/>
    <s v="STORE151"/>
    <s v="MANAGER57"/>
    <s v="NEGATIVO"/>
    <d v="1899-12-31T14:41:00"/>
    <d v="1899-12-31T14:41:00"/>
    <m/>
    <s v="POSITION9"/>
    <x v="4"/>
    <x v="150"/>
  </r>
  <r>
    <n v="203223"/>
    <s v="People445"/>
    <s v="department"/>
    <s v="REGION5"/>
    <s v="STORE152"/>
    <s v="MANAGER58"/>
    <s v="NEGATIVO"/>
    <d v="1900-01-06T08:34:00"/>
    <d v="1900-01-06T08:34:00"/>
    <m/>
    <s v="POSITION1"/>
    <x v="4"/>
    <x v="151"/>
  </r>
  <r>
    <n v="201815"/>
    <s v="People446"/>
    <s v="department"/>
    <s v="REGION5"/>
    <s v="STORE153"/>
    <s v="MANAGER59"/>
    <s v="NEGATIVO"/>
    <d v="1900-01-03T13:11:00"/>
    <d v="1900-01-03T13:11:00"/>
    <m/>
    <s v="POSITION1"/>
    <x v="4"/>
    <x v="152"/>
  </r>
  <r>
    <n v="237750"/>
    <s v="People447"/>
    <s v="department"/>
    <s v="REGION5"/>
    <s v="STORE154"/>
    <s v="MANAGER60"/>
    <s v="NEGATIVO"/>
    <d v="1899-12-30T00:44:00"/>
    <d v="1899-12-30T00:44:00"/>
    <m/>
    <s v="POSITION4"/>
    <x v="4"/>
    <x v="153"/>
  </r>
  <r>
    <n v="225275"/>
    <s v="People448"/>
    <s v="department"/>
    <s v="REGION5"/>
    <s v="STORE155"/>
    <s v="MANAGER61"/>
    <s v="NEGATIVO"/>
    <d v="1900-01-07T10:34:00"/>
    <d v="1900-01-07T10:34:00"/>
    <m/>
    <s v="POSITION4"/>
    <x v="4"/>
    <x v="154"/>
  </r>
  <r>
    <n v="232565"/>
    <s v="People449"/>
    <s v="department"/>
    <s v="REGION5"/>
    <s v="STORE156"/>
    <s v="MANAGER55"/>
    <s v="NEGATIVO"/>
    <d v="1899-12-30T01:43:00"/>
    <d v="1899-12-30T01:43:00"/>
    <m/>
    <s v="POSITION1"/>
    <x v="4"/>
    <x v="155"/>
  </r>
  <r>
    <n v="230063"/>
    <s v="People450"/>
    <s v="department"/>
    <s v="REGION5"/>
    <s v="STORE157"/>
    <s v="MANAGER62"/>
    <s v="NEGATIVO"/>
    <d v="1900-01-04T11:14:00"/>
    <d v="1900-01-04T11:14:00"/>
    <m/>
    <s v="POSITION3"/>
    <x v="4"/>
    <x v="156"/>
  </r>
  <r>
    <n v="230000"/>
    <s v="People451"/>
    <s v="department"/>
    <s v="REGION5"/>
    <s v="STORE152"/>
    <s v="MANAGER58"/>
    <s v="NEGATIVO"/>
    <d v="1900-01-03T23:47:00"/>
    <d v="1900-01-03T23:47:00"/>
    <m/>
    <s v="POSITION1"/>
    <x v="4"/>
    <x v="151"/>
  </r>
  <r>
    <n v="230001"/>
    <s v="People452"/>
    <s v="department"/>
    <s v="REGION5"/>
    <s v="STORE152"/>
    <s v="MANAGER58"/>
    <s v="NEGATIVO"/>
    <d v="1900-01-02T10:44:00"/>
    <d v="1900-01-02T10:44:00"/>
    <m/>
    <s v="POSITION1"/>
    <x v="4"/>
    <x v="151"/>
  </r>
  <r>
    <n v="223224"/>
    <s v="People453"/>
    <s v="department"/>
    <s v="REGION5"/>
    <s v="STORE153"/>
    <s v="MANAGER59"/>
    <s v="NEGATIVO"/>
    <d v="1900-01-07T04:59:00"/>
    <d v="1900-01-07T04:59:00"/>
    <m/>
    <s v="POSITION1"/>
    <x v="4"/>
    <x v="152"/>
  </r>
  <r>
    <n v="232550"/>
    <s v="People454"/>
    <s v="department"/>
    <s v="REGION5"/>
    <s v="STORE158"/>
    <s v="MANAGER57"/>
    <s v="NEGATIVO"/>
    <d v="1899-12-30T21:50:00"/>
    <d v="1899-12-30T21:50:00"/>
    <m/>
    <s v="POSITION2"/>
    <x v="4"/>
    <x v="157"/>
  </r>
  <r>
    <n v="223543"/>
    <s v="People455"/>
    <s v="department"/>
    <s v="REGION5"/>
    <s v="STORE159"/>
    <s v="MANAGER63"/>
    <s v="NEGATIVO"/>
    <d v="1900-01-05T08:00:00"/>
    <d v="1900-01-05T08:00:00"/>
    <m/>
    <s v="POSITION1"/>
    <x v="4"/>
    <x v="158"/>
  </r>
  <r>
    <n v="232152"/>
    <s v="People456"/>
    <s v="department"/>
    <s v="REGION5"/>
    <s v="STORE149"/>
    <s v="MANAGER56"/>
    <s v="NEGATIVO"/>
    <d v="1900-01-07T10:35:00"/>
    <d v="1900-01-07T10:35:00"/>
    <m/>
    <s v="POSITION5"/>
    <x v="4"/>
    <x v="148"/>
  </r>
  <r>
    <n v="230961"/>
    <s v="People457"/>
    <s v="department"/>
    <s v="REGION5"/>
    <s v="STORE160"/>
    <s v="MANAGER64"/>
    <s v="NEGATIVO"/>
    <d v="1900-01-02T00:20:00"/>
    <d v="1900-01-02T00:20:00"/>
    <m/>
    <s v="POSITION4"/>
    <x v="4"/>
    <x v="159"/>
  </r>
  <r>
    <n v="234371"/>
    <s v="People458"/>
    <s v="department"/>
    <s v="REGION5"/>
    <s v="STORE161"/>
    <s v="MANAGER56"/>
    <s v="NEGATIVO"/>
    <d v="1899-12-31T03:58:00"/>
    <d v="1899-12-31T03:58:00"/>
    <m/>
    <s v="POSITION1"/>
    <x v="4"/>
    <x v="160"/>
  </r>
  <r>
    <n v="229949"/>
    <s v="People459"/>
    <s v="department"/>
    <s v="REGION5"/>
    <s v="STORE153"/>
    <s v="MANAGER59"/>
    <s v="NEGATIVO"/>
    <d v="1900-01-07T22:13:00"/>
    <d v="1900-01-07T22:13:00"/>
    <m/>
    <s v="POSITION1"/>
    <x v="4"/>
    <x v="152"/>
  </r>
  <r>
    <n v="236703"/>
    <s v="People460"/>
    <s v="department"/>
    <s v="REGION5"/>
    <s v="STORE162"/>
    <s v="MANAGER65"/>
    <s v="NEGATIVO"/>
    <d v="1899-12-30T03:02:00"/>
    <d v="1899-12-30T03:02:00"/>
    <m/>
    <s v="POSITION1"/>
    <x v="4"/>
    <x v="161"/>
  </r>
  <r>
    <n v="234935"/>
    <s v="People461"/>
    <s v="department"/>
    <s v="REGION5"/>
    <s v="STORE163"/>
    <s v="MANAGER57"/>
    <s v="NEGATIVO"/>
    <d v="1899-12-30T04:24:00"/>
    <d v="1899-12-30T04:24:00"/>
    <m/>
    <s v="POSITION2"/>
    <x v="4"/>
    <x v="162"/>
  </r>
  <r>
    <n v="237233"/>
    <s v="People462"/>
    <s v="department"/>
    <s v="REGION5"/>
    <s v="STORE149"/>
    <s v="MANAGER56"/>
    <s v="NEGATIVO"/>
    <d v="1899-12-31T20:11:00"/>
    <d v="1899-12-31T20:11:00"/>
    <m/>
    <s v="POSITION3"/>
    <x v="4"/>
    <x v="148"/>
  </r>
  <r>
    <n v="231593"/>
    <s v="People463"/>
    <s v="department"/>
    <s v="REGION5"/>
    <s v="STORE164"/>
    <s v="MANAGER57"/>
    <s v="NEGATIVO"/>
    <d v="1899-12-30T23:22:00"/>
    <d v="1899-12-30T23:22:00"/>
    <m/>
    <s v="POSITION2"/>
    <x v="4"/>
    <x v="163"/>
  </r>
  <r>
    <n v="237622"/>
    <s v="People464"/>
    <s v="department"/>
    <s v="REGION5"/>
    <s v="STORE165"/>
    <s v="MANAGER62"/>
    <s v="NEGATIVO"/>
    <d v="1899-12-30T15:29:00"/>
    <d v="1899-12-30T15:29:00"/>
    <m/>
    <s v="POSITION1"/>
    <x v="4"/>
    <x v="164"/>
  </r>
  <r>
    <n v="236876"/>
    <s v="People465"/>
    <s v="department"/>
    <s v="REGION5"/>
    <s v="STORE166"/>
    <s v="MANAGER57"/>
    <s v="NEGATIVO"/>
    <d v="1900-01-05T16:02:00"/>
    <d v="1900-01-05T16:02:00"/>
    <m/>
    <s v="POSITION2"/>
    <x v="4"/>
    <x v="165"/>
  </r>
  <r>
    <n v="233010"/>
    <s v="People466"/>
    <s v="department"/>
    <s v="REGION5"/>
    <s v="STORE167"/>
    <s v="MANAGER57"/>
    <s v="NEGATIVO"/>
    <d v="1899-12-30T08:03:00"/>
    <d v="1899-12-30T08:03:00"/>
    <m/>
    <s v="POSITION2"/>
    <x v="4"/>
    <x v="166"/>
  </r>
  <r>
    <n v="224548"/>
    <s v="People467"/>
    <s v="department"/>
    <s v="REGION5"/>
    <s v="STORE168"/>
    <s v="MANAGER66"/>
    <s v="NEGATIVO"/>
    <d v="1900-01-01T01:36:00"/>
    <d v="1900-01-01T01:36:00"/>
    <m/>
    <s v="POSITION1"/>
    <x v="4"/>
    <x v="167"/>
  </r>
  <r>
    <n v="221149"/>
    <s v="People468"/>
    <s v="department"/>
    <s v="REGION5"/>
    <s v="STORE169"/>
    <s v="MANAGER66"/>
    <s v="NEGATIVO"/>
    <d v="1900-01-09T16:33:00"/>
    <d v="1900-01-09T16:33:00"/>
    <m/>
    <s v="POSITION3"/>
    <x v="4"/>
    <x v="168"/>
  </r>
  <r>
    <n v="231460"/>
    <s v="People469"/>
    <s v="department"/>
    <s v="REGION5"/>
    <s v="STORE170"/>
    <s v="MANAGER67"/>
    <s v="NEGATIVO"/>
    <d v="1899-12-30T02:35:00"/>
    <d v="1899-12-30T02:35:00"/>
    <m/>
    <s v="POSITION1"/>
    <x v="4"/>
    <x v="169"/>
  </r>
  <r>
    <n v="202882"/>
    <s v="People470"/>
    <s v="department"/>
    <s v="REGION5"/>
    <s v="STORE171"/>
    <s v="MANAGER58"/>
    <s v="NEGATIVO"/>
    <d v="1900-01-07T16:48:00"/>
    <d v="1900-01-07T16:48:00"/>
    <m/>
    <s v="POSITION3"/>
    <x v="4"/>
    <x v="170"/>
  </r>
  <r>
    <n v="223942"/>
    <s v="People471"/>
    <s v="department"/>
    <s v="REGION5"/>
    <s v="STORE153"/>
    <s v="MANAGER59"/>
    <s v="NEGATIVO"/>
    <d v="1900-01-04T02:52:00"/>
    <d v="1900-01-04T02:52:00"/>
    <m/>
    <s v="POSITION1"/>
    <x v="4"/>
    <x v="152"/>
  </r>
  <r>
    <n v="236871"/>
    <s v="People472"/>
    <s v="department"/>
    <s v="REGION5"/>
    <s v="STORE172"/>
    <s v="MANAGER60"/>
    <s v="NEGATIVO"/>
    <d v="1900-01-03T20:39:00"/>
    <d v="1900-01-03T20:39:00"/>
    <m/>
    <s v="POSITION1"/>
    <x v="4"/>
    <x v="171"/>
  </r>
  <r>
    <n v="236353"/>
    <s v="People473"/>
    <s v="department"/>
    <s v="REGION5"/>
    <s v="STORE173"/>
    <s v="MANAGER57"/>
    <s v="NEGATIVO"/>
    <d v="1899-12-31T03:32:00"/>
    <d v="1899-12-31T03:32:00"/>
    <m/>
    <s v="POSITION2"/>
    <x v="4"/>
    <x v="172"/>
  </r>
  <r>
    <n v="223504"/>
    <s v="People474"/>
    <s v="department"/>
    <s v="REGION5"/>
    <s v="STORE174"/>
    <s v="MANAGER65"/>
    <s v="NEGATIVO"/>
    <d v="1900-01-25T06:58:00"/>
    <d v="1900-01-25T06:58:00"/>
    <m/>
    <s v="POSITION3"/>
    <x v="4"/>
    <x v="173"/>
  </r>
  <r>
    <n v="229366"/>
    <s v="People475"/>
    <s v="department"/>
    <s v="REGION5"/>
    <s v="STORE168"/>
    <s v="MANAGER66"/>
    <s v="NEGATIVO"/>
    <d v="1900-01-01T06:09:00"/>
    <d v="1900-01-01T06:09:00"/>
    <m/>
    <s v="POSITION1"/>
    <x v="4"/>
    <x v="167"/>
  </r>
  <r>
    <n v="230069"/>
    <s v="People476"/>
    <s v="department"/>
    <s v="REGION5"/>
    <s v="STORE175"/>
    <s v="MANAGER57"/>
    <s v="NEGATIVO"/>
    <d v="1899-12-30T02:55:00"/>
    <d v="1899-12-30T02:55:00"/>
    <m/>
    <s v="POSITION2"/>
    <x v="4"/>
    <x v="174"/>
  </r>
  <r>
    <n v="218702"/>
    <s v="People477"/>
    <s v="department"/>
    <s v="REGION5"/>
    <s v="STORE169"/>
    <s v="MANAGER66"/>
    <s v="NEGATIVO"/>
    <d v="1900-01-08T19:36:00"/>
    <d v="1900-01-08T19:36:00"/>
    <m/>
    <s v="POSITION3"/>
    <x v="4"/>
    <x v="168"/>
  </r>
  <r>
    <n v="233524"/>
    <s v="People478"/>
    <s v="department"/>
    <s v="REGION5"/>
    <s v="STORE159"/>
    <s v="MANAGER63"/>
    <s v="NEGATIVO"/>
    <d v="1900-01-07T01:39:00"/>
    <d v="1900-01-07T01:39:00"/>
    <m/>
    <s v="POSITION1"/>
    <x v="4"/>
    <x v="158"/>
  </r>
  <r>
    <n v="224472"/>
    <s v="People479"/>
    <s v="department"/>
    <s v="REGION5"/>
    <s v="STORE153"/>
    <s v="MANAGER59"/>
    <s v="NEGATIVO"/>
    <d v="1900-01-12T23:11:00"/>
    <d v="1900-01-12T23:11:00"/>
    <m/>
    <s v="POSITION1"/>
    <x v="4"/>
    <x v="152"/>
  </r>
  <r>
    <n v="225521"/>
    <s v="People480"/>
    <s v="department"/>
    <s v="REGION5"/>
    <s v="STORE153"/>
    <s v="MANAGER59"/>
    <s v="NEGATIVO"/>
    <d v="1900-01-15T22:13:00"/>
    <d v="1900-01-15T22:13:00"/>
    <m/>
    <s v="POSITION1"/>
    <x v="4"/>
    <x v="152"/>
  </r>
  <r>
    <n v="225904"/>
    <s v="People481"/>
    <s v="department"/>
    <s v="REGION5"/>
    <s v="STORE171"/>
    <s v="MANAGER58"/>
    <s v="NEGATIVO"/>
    <d v="1900-01-07T22:02:00"/>
    <d v="1900-01-07T22:02:00"/>
    <m/>
    <s v="POSITION4"/>
    <x v="4"/>
    <x v="170"/>
  </r>
  <r>
    <n v="202375"/>
    <s v="People482"/>
    <s v="department"/>
    <s v="REGION5"/>
    <s v="STORE176"/>
    <s v="MANAGER59"/>
    <s v="NEGATIVO"/>
    <d v="1899-12-30T03:56:00"/>
    <d v="1899-12-30T03:56:00"/>
    <m/>
    <s v="POSITION4"/>
    <x v="4"/>
    <x v="175"/>
  </r>
  <r>
    <n v="218514"/>
    <s v="People483"/>
    <s v="department"/>
    <s v="REGION5"/>
    <s v="STORE149"/>
    <s v="MANAGER56"/>
    <s v="NEGATIVO"/>
    <d v="1899-12-30T05:30:00"/>
    <d v="1899-12-30T05:30:00"/>
    <m/>
    <s v="POSITION4"/>
    <x v="4"/>
    <x v="148"/>
  </r>
  <r>
    <n v="201900"/>
    <s v="People484"/>
    <s v="department"/>
    <s v="REGION5"/>
    <s v="STORE177"/>
    <s v="MANAGER68"/>
    <s v="NEGATIVO"/>
    <d v="1900-01-02T20:21:00"/>
    <d v="1900-01-02T20:21:00"/>
    <m/>
    <s v="POSITION4"/>
    <x v="4"/>
    <x v="176"/>
  </r>
  <r>
    <n v="201783"/>
    <s v="People485"/>
    <s v="department"/>
    <s v="REGION5"/>
    <s v="STORE157"/>
    <s v="MANAGER62"/>
    <s v="NEGATIVO"/>
    <d v="1900-01-04T01:59:00"/>
    <d v="1900-01-04T01:59:00"/>
    <m/>
    <s v="POSITION4"/>
    <x v="4"/>
    <x v="156"/>
  </r>
  <r>
    <n v="233411"/>
    <s v="People486"/>
    <s v="department"/>
    <s v="REGION5"/>
    <s v="STORE178"/>
    <s v="MANAGER69"/>
    <s v="NEGATIVO"/>
    <d v="1900-01-03T16:03:00"/>
    <d v="1900-01-03T16:03:00"/>
    <m/>
    <s v="POSITION1"/>
    <x v="4"/>
    <x v="177"/>
  </r>
  <r>
    <n v="235496"/>
    <s v="People487"/>
    <s v="department"/>
    <s v="REGION5"/>
    <s v="STORE165"/>
    <s v="MANAGER62"/>
    <s v="NEGATIVO"/>
    <d v="1899-12-31T12:27:00"/>
    <d v="1899-12-31T12:27:00"/>
    <m/>
    <s v="POSITION1"/>
    <x v="4"/>
    <x v="164"/>
  </r>
  <r>
    <n v="224785"/>
    <s v="People488"/>
    <s v="department"/>
    <s v="REGION5"/>
    <s v="STORE152"/>
    <s v="MANAGER58"/>
    <s v="NEGATIVO"/>
    <d v="1900-01-05T19:46:00"/>
    <d v="1900-01-05T19:46:00"/>
    <m/>
    <s v="POSITION1"/>
    <x v="4"/>
    <x v="151"/>
  </r>
  <r>
    <n v="203327"/>
    <s v="People489"/>
    <s v="department"/>
    <s v="REGION5"/>
    <s v="STORE171"/>
    <s v="MANAGER58"/>
    <s v="NEGATIVO"/>
    <d v="1900-01-05T20:45:00"/>
    <d v="1900-01-05T20:45:00"/>
    <m/>
    <s v="POSITION5"/>
    <x v="4"/>
    <x v="170"/>
  </r>
  <r>
    <n v="236969"/>
    <s v="People490"/>
    <s v="department"/>
    <s v="REGION5"/>
    <s v="STORE179"/>
    <s v="MANAGER70"/>
    <s v="NEGATIVO"/>
    <d v="1899-12-30T11:08:00"/>
    <d v="1899-12-30T11:08:00"/>
    <m/>
    <s v="POSITION1"/>
    <x v="4"/>
    <x v="178"/>
  </r>
  <r>
    <n v="218483"/>
    <s v="People491"/>
    <s v="department"/>
    <s v="REGION5"/>
    <s v="STORE160"/>
    <s v="MANAGER64"/>
    <s v="NEGATIVO"/>
    <d v="1899-12-30T04:48:00"/>
    <d v="1899-12-30T04:48:00"/>
    <m/>
    <s v="POSITION3"/>
    <x v="4"/>
    <x v="159"/>
  </r>
  <r>
    <n v="234647"/>
    <s v="People492"/>
    <s v="department"/>
    <s v="REGION5"/>
    <s v="STORE161"/>
    <s v="MANAGER56"/>
    <s v="NEGATIVO"/>
    <d v="1899-12-30T07:08:00"/>
    <d v="1899-12-30T07:08:00"/>
    <m/>
    <s v="POSITION1"/>
    <x v="4"/>
    <x v="160"/>
  </r>
  <r>
    <n v="236859"/>
    <s v="People493"/>
    <s v="department"/>
    <s v="REGION5"/>
    <s v="STORE172"/>
    <s v="MANAGER60"/>
    <s v="NEGATIVO"/>
    <d v="1900-01-04T12:00:00"/>
    <d v="1900-01-04T12:00:00"/>
    <m/>
    <s v="POSITION1"/>
    <x v="4"/>
    <x v="171"/>
  </r>
  <r>
    <n v="202364"/>
    <s v="People494"/>
    <s v="department"/>
    <s v="REGION5"/>
    <s v="STORE176"/>
    <s v="MANAGER59"/>
    <s v="NEGATIVO"/>
    <d v="1900-01-10T12:56:00"/>
    <d v="1900-01-10T12:56:00"/>
    <m/>
    <s v="POSITION3"/>
    <x v="4"/>
    <x v="175"/>
  </r>
  <r>
    <n v="232512"/>
    <s v="People495"/>
    <s v="department"/>
    <s v="REGION5"/>
    <s v="STORE162"/>
    <s v="MANAGER65"/>
    <s v="NEGATIVO"/>
    <d v="1900-01-10T22:18:00"/>
    <d v="1900-01-10T22:18:00"/>
    <m/>
    <s v="POSITION1"/>
    <x v="4"/>
    <x v="161"/>
  </r>
  <r>
    <n v="231051"/>
    <s v="People496"/>
    <s v="department"/>
    <s v="REGION5"/>
    <s v="STORE165"/>
    <s v="MANAGER62"/>
    <s v="NEGATIVO"/>
    <d v="1899-12-31T04:34:00"/>
    <d v="1899-12-31T04:34:00"/>
    <m/>
    <s v="POSITION1"/>
    <x v="4"/>
    <x v="164"/>
  </r>
  <r>
    <n v="230145"/>
    <s v="People497"/>
    <s v="department"/>
    <s v="REGION5"/>
    <s v="STORE171"/>
    <s v="MANAGER58"/>
    <s v="NEGATIVO"/>
    <d v="1900-01-14T15:21:00"/>
    <d v="1900-01-14T15:21:00"/>
    <m/>
    <s v="POSITION3"/>
    <x v="4"/>
    <x v="170"/>
  </r>
  <r>
    <n v="219230"/>
    <s v="People498"/>
    <s v="department"/>
    <s v="REGION5"/>
    <s v="STORE157"/>
    <s v="MANAGER62"/>
    <s v="NEGATIVO"/>
    <d v="1900-01-08T11:39:00"/>
    <d v="1900-01-08T11:39:00"/>
    <m/>
    <s v="POSITION3"/>
    <x v="4"/>
    <x v="156"/>
  </r>
  <r>
    <n v="214218"/>
    <s v="People499"/>
    <s v="department"/>
    <s v="REGION5"/>
    <s v="STORE174"/>
    <s v="MANAGER65"/>
    <s v="NEGATIVO"/>
    <d v="1899-12-31T06:14:00"/>
    <d v="1899-12-31T06:14:00"/>
    <m/>
    <s v="POSITION4"/>
    <x v="4"/>
    <x v="173"/>
  </r>
  <r>
    <n v="201691"/>
    <s v="People500"/>
    <s v="department"/>
    <s v="REGION5"/>
    <s v="STORE152"/>
    <s v="MANAGER58"/>
    <s v="NEGATIVO"/>
    <d v="1900-01-01T00:00:00"/>
    <d v="1900-01-01T00:00:00"/>
    <m/>
    <s v="POSITION1"/>
    <x v="4"/>
    <x v="151"/>
  </r>
  <r>
    <n v="224001"/>
    <s v="People501"/>
    <s v="department"/>
    <s v="REGION5"/>
    <s v="STORE161"/>
    <s v="MANAGER56"/>
    <s v="NEGATIVO"/>
    <d v="1900-01-01T17:35:00"/>
    <d v="1900-01-01T17:35:00"/>
    <m/>
    <s v="POSITION1"/>
    <x v="4"/>
    <x v="160"/>
  </r>
  <r>
    <n v="217977"/>
    <s v="People502"/>
    <s v="department"/>
    <s v="REGION5"/>
    <s v="STORE176"/>
    <s v="MANAGER59"/>
    <s v="NEGATIVO"/>
    <d v="1900-01-17T21:47:00"/>
    <d v="1900-01-17T21:47:00"/>
    <m/>
    <s v="POSITION3"/>
    <x v="4"/>
    <x v="175"/>
  </r>
  <r>
    <n v="234952"/>
    <s v="People503"/>
    <s v="department"/>
    <s v="REGION5"/>
    <s v="STORE180"/>
    <s v="MANAGER70"/>
    <s v="NEGATIVO"/>
    <d v="1899-12-30T21:30:00"/>
    <d v="1899-12-30T21:30:00"/>
    <m/>
    <s v="POSITION4"/>
    <x v="4"/>
    <x v="179"/>
  </r>
  <r>
    <n v="233014"/>
    <s v="People504"/>
    <s v="department"/>
    <s v="REGION5"/>
    <s v="STORE181"/>
    <s v="MANAGER57"/>
    <s v="NEGATIVO"/>
    <d v="1899-12-31T01:08:00"/>
    <d v="1899-12-31T01:08:00"/>
    <m/>
    <s v="POSITION2"/>
    <x v="4"/>
    <x v="180"/>
  </r>
  <r>
    <n v="236044"/>
    <s v="People505"/>
    <s v="department"/>
    <s v="REGION5"/>
    <s v="STORE182"/>
    <s v="MANAGER69"/>
    <s v="NEGATIVO"/>
    <d v="1899-12-31T13:45:00"/>
    <d v="1899-12-31T13:45:00"/>
    <m/>
    <s v="POSITION4"/>
    <x v="4"/>
    <x v="181"/>
  </r>
  <r>
    <n v="234648"/>
    <s v="People506"/>
    <s v="department"/>
    <s v="REGION5"/>
    <s v="STORE162"/>
    <s v="MANAGER65"/>
    <s v="NEGATIVO"/>
    <d v="1900-01-07T10:35:00"/>
    <d v="1900-01-07T10:35:00"/>
    <m/>
    <s v="POSITION1"/>
    <x v="4"/>
    <x v="161"/>
  </r>
  <r>
    <n v="202699"/>
    <s v="People507"/>
    <s v="department"/>
    <s v="REGION5"/>
    <s v="STORE159"/>
    <s v="MANAGER63"/>
    <s v="NEGATIVO"/>
    <d v="1900-01-06T22:24:00"/>
    <d v="1900-01-06T22:24:00"/>
    <m/>
    <s v="POSITION1"/>
    <x v="4"/>
    <x v="158"/>
  </r>
  <r>
    <n v="236530"/>
    <s v="People508"/>
    <s v="department"/>
    <s v="REGION5"/>
    <s v="STORE182"/>
    <s v="MANAGER69"/>
    <s v="NEGATIVO"/>
    <d v="1900-01-06T00:25:00"/>
    <d v="1900-01-06T00:25:00"/>
    <m/>
    <s v="POSITION3"/>
    <x v="4"/>
    <x v="181"/>
  </r>
  <r>
    <n v="230067"/>
    <s v="People509"/>
    <s v="department"/>
    <s v="REGION5"/>
    <s v="STORE183"/>
    <s v="MANAGER61"/>
    <s v="NEGATIVO"/>
    <d v="1899-12-30T18:15:00"/>
    <d v="1899-12-30T18:15:00"/>
    <m/>
    <s v="POSITION1"/>
    <x v="4"/>
    <x v="182"/>
  </r>
  <r>
    <n v="201872"/>
    <s v="People510"/>
    <s v="department"/>
    <s v="REGION5"/>
    <s v="STORE177"/>
    <s v="MANAGER68"/>
    <s v="NEGATIVO"/>
    <d v="1899-12-30T05:59:00"/>
    <d v="1899-12-30T05:59:00"/>
    <m/>
    <s v="POSITION3"/>
    <x v="4"/>
    <x v="176"/>
  </r>
  <r>
    <n v="234788"/>
    <s v="People511"/>
    <s v="department"/>
    <s v="REGION5"/>
    <s v="STORE179"/>
    <s v="MANAGER70"/>
    <s v="NEGATIVO"/>
    <d v="1900-01-01T15:05:00"/>
    <d v="1900-01-01T15:05:00"/>
    <m/>
    <s v="POSITION1"/>
    <x v="4"/>
    <x v="178"/>
  </r>
  <r>
    <n v="235727"/>
    <s v="People512"/>
    <s v="department"/>
    <s v="REGION5"/>
    <s v="STORE148"/>
    <s v="MANAGER55"/>
    <s v="NEGATIVO"/>
    <d v="1899-12-30T10:00:00"/>
    <d v="1899-12-30T10:00:00"/>
    <m/>
    <s v="POSITION3"/>
    <x v="4"/>
    <x v="147"/>
  </r>
  <r>
    <n v="230740"/>
    <s v="People513"/>
    <s v="department"/>
    <s v="REGION5"/>
    <s v="STORE178"/>
    <s v="MANAGER69"/>
    <s v="POSITIVO"/>
    <d v="1900-01-08T22:07:00"/>
    <m/>
    <d v="1900-01-08T22:07:00"/>
    <s v="POSITION1"/>
    <x v="4"/>
    <x v="177"/>
  </r>
  <r>
    <n v="234673"/>
    <s v="People514"/>
    <s v="department"/>
    <s v="REGION5"/>
    <s v="STORE178"/>
    <s v="MANAGER69"/>
    <s v="POSITIVO"/>
    <d v="1900-01-03T22:24:00"/>
    <m/>
    <d v="1900-01-03T22:24:00"/>
    <s v="POSITION1"/>
    <x v="4"/>
    <x v="177"/>
  </r>
  <r>
    <n v="235056"/>
    <s v="People515"/>
    <s v="department"/>
    <s v="REGION5"/>
    <s v="STORE178"/>
    <s v="MANAGER69"/>
    <s v="POSITIVO"/>
    <d v="1900-01-02T03:18:00"/>
    <m/>
    <d v="1900-01-02T03:18:00"/>
    <s v="POSITION1"/>
    <x v="4"/>
    <x v="177"/>
  </r>
  <r>
    <n v="231296"/>
    <s v="People516"/>
    <s v="department"/>
    <s v="REGION5"/>
    <s v="STORE178"/>
    <s v="MANAGER69"/>
    <s v="POSITIVO"/>
    <d v="1900-01-02T02:29:00"/>
    <m/>
    <d v="1900-01-02T02:29:00"/>
    <s v="POSITION1"/>
    <x v="4"/>
    <x v="177"/>
  </r>
  <r>
    <n v="231560"/>
    <s v="People517"/>
    <s v="department"/>
    <s v="REGION5"/>
    <s v="STORE183"/>
    <s v="MANAGER61"/>
    <s v="POSITIVO"/>
    <d v="1900-01-01T04:15:00"/>
    <m/>
    <d v="1900-01-01T04:15:00"/>
    <s v="POSITION1"/>
    <x v="4"/>
    <x v="182"/>
  </r>
  <r>
    <n v="233350"/>
    <s v="People518"/>
    <s v="department"/>
    <s v="REGION5"/>
    <s v="STORE161"/>
    <s v="MANAGER56"/>
    <s v="POSITIVO"/>
    <d v="1900-01-01T03:18:00"/>
    <m/>
    <d v="1900-01-01T03:18:00"/>
    <s v="POSITION1"/>
    <x v="4"/>
    <x v="160"/>
  </r>
  <r>
    <n v="237275"/>
    <s v="People519"/>
    <s v="department"/>
    <s v="REGION5"/>
    <s v="STORE172"/>
    <s v="MANAGER60"/>
    <s v="POSITIVO"/>
    <d v="1899-12-31T23:52:00"/>
    <m/>
    <d v="1899-12-31T23:52:00"/>
    <s v="POSITION1"/>
    <x v="4"/>
    <x v="171"/>
  </r>
  <r>
    <n v="225288"/>
    <s v="People520"/>
    <s v="department"/>
    <s v="REGION5"/>
    <s v="STORE184"/>
    <s v="MANAGER64"/>
    <s v="POSITIVO"/>
    <d v="1899-12-31T17:18:00"/>
    <m/>
    <d v="1899-12-31T17:18:00"/>
    <s v="POSITION1"/>
    <x v="4"/>
    <x v="183"/>
  </r>
  <r>
    <n v="225152"/>
    <s v="People521"/>
    <s v="department"/>
    <s v="REGION5"/>
    <s v="STORE183"/>
    <s v="MANAGER61"/>
    <s v="POSITIVO"/>
    <d v="1899-12-31T15:27:00"/>
    <m/>
    <d v="1899-12-31T15:27:00"/>
    <s v="POSITION1"/>
    <x v="4"/>
    <x v="182"/>
  </r>
  <r>
    <n v="235468"/>
    <s v="People522"/>
    <s v="department"/>
    <s v="REGION5"/>
    <s v="STORE155"/>
    <s v="MANAGER61"/>
    <s v="POSITIVO"/>
    <d v="1899-12-31T15:24:00"/>
    <m/>
    <d v="1899-12-31T15:24:00"/>
    <s v="POSITION3"/>
    <x v="4"/>
    <x v="154"/>
  </r>
  <r>
    <n v="230476"/>
    <s v="People523"/>
    <s v="department"/>
    <s v="REGION5"/>
    <s v="STORE185"/>
    <s v="MANAGER68"/>
    <s v="POSITIVO"/>
    <d v="1899-12-31T12:45:00"/>
    <m/>
    <d v="1899-12-31T12:45:00"/>
    <s v="POSITION1"/>
    <x v="4"/>
    <x v="184"/>
  </r>
  <r>
    <n v="232914"/>
    <s v="People524"/>
    <s v="department"/>
    <s v="REGION5"/>
    <s v="STORE152"/>
    <s v="MANAGER58"/>
    <s v="POSITIVO"/>
    <d v="1899-12-31T12:36:00"/>
    <m/>
    <d v="1899-12-31T12:36:00"/>
    <s v="POSITION1"/>
    <x v="4"/>
    <x v="151"/>
  </r>
  <r>
    <n v="235578"/>
    <s v="People525"/>
    <s v="department"/>
    <s v="REGION5"/>
    <s v="STORE156"/>
    <s v="MANAGER55"/>
    <s v="POSITIVO"/>
    <d v="1899-12-31T10:54:00"/>
    <m/>
    <d v="1899-12-31T10:54:00"/>
    <s v="POSITION1"/>
    <x v="4"/>
    <x v="155"/>
  </r>
  <r>
    <n v="203475"/>
    <s v="People526"/>
    <s v="department"/>
    <s v="REGION5"/>
    <s v="STORE184"/>
    <s v="MANAGER64"/>
    <s v="POSITIVO"/>
    <d v="1899-12-31T10:53:00"/>
    <m/>
    <d v="1899-12-31T10:53:00"/>
    <s v="POSITION1"/>
    <x v="4"/>
    <x v="183"/>
  </r>
  <r>
    <n v="237509"/>
    <s v="People527"/>
    <s v="department"/>
    <s v="REGION5"/>
    <s v="STORE172"/>
    <s v="MANAGER60"/>
    <s v="POSITIVO"/>
    <d v="1899-12-31T10:36:00"/>
    <m/>
    <d v="1899-12-31T10:36:00"/>
    <s v="POSITION1"/>
    <x v="4"/>
    <x v="171"/>
  </r>
  <r>
    <n v="237668"/>
    <s v="People528"/>
    <s v="department"/>
    <s v="REGION5"/>
    <s v="STORE161"/>
    <s v="MANAGER56"/>
    <s v="POSITIVO"/>
    <d v="1899-12-31T10:01:00"/>
    <m/>
    <d v="1899-12-31T10:01:00"/>
    <s v="POSITION1"/>
    <x v="4"/>
    <x v="160"/>
  </r>
  <r>
    <n v="231648"/>
    <s v="People529"/>
    <s v="department"/>
    <s v="REGION5"/>
    <s v="STORE184"/>
    <s v="MANAGER64"/>
    <s v="POSITIVO"/>
    <d v="1899-12-31T08:43:00"/>
    <m/>
    <d v="1899-12-31T08:43:00"/>
    <s v="POSITION1"/>
    <x v="4"/>
    <x v="183"/>
  </r>
  <r>
    <n v="232259"/>
    <s v="People530"/>
    <s v="department"/>
    <s v="REGION5"/>
    <s v="STORE162"/>
    <s v="MANAGER65"/>
    <s v="POSITIVO"/>
    <d v="1899-12-31T08:07:00"/>
    <m/>
    <d v="1899-12-31T08:07:00"/>
    <s v="POSITION1"/>
    <x v="4"/>
    <x v="161"/>
  </r>
  <r>
    <n v="237621"/>
    <s v="People531"/>
    <s v="department"/>
    <s v="REGION5"/>
    <s v="STORE152"/>
    <s v="MANAGER58"/>
    <s v="POSITIVO"/>
    <d v="1899-12-31T07:04:00"/>
    <m/>
    <d v="1899-12-31T07:04:00"/>
    <s v="POSITION1"/>
    <x v="4"/>
    <x v="151"/>
  </r>
  <r>
    <n v="232542"/>
    <s v="People532"/>
    <s v="department"/>
    <s v="REGION5"/>
    <s v="STORE183"/>
    <s v="MANAGER61"/>
    <s v="POSITIVO"/>
    <d v="1899-12-31T06:55:00"/>
    <m/>
    <d v="1899-12-31T06:55:00"/>
    <s v="POSITION1"/>
    <x v="4"/>
    <x v="182"/>
  </r>
  <r>
    <n v="238048"/>
    <s v="People533"/>
    <s v="department"/>
    <s v="REGION5"/>
    <s v="STORE184"/>
    <s v="MANAGER64"/>
    <s v="POSITIVO"/>
    <d v="1899-12-31T06:52:00"/>
    <m/>
    <d v="1899-12-31T06:52:00"/>
    <s v="POSITION1"/>
    <x v="4"/>
    <x v="183"/>
  </r>
  <r>
    <n v="234417"/>
    <s v="People534"/>
    <s v="department"/>
    <s v="REGION5"/>
    <s v="STORE183"/>
    <s v="MANAGER61"/>
    <s v="POSITIVO"/>
    <d v="1899-12-31T05:28:00"/>
    <m/>
    <d v="1899-12-31T05:28:00"/>
    <s v="POSITION1"/>
    <x v="4"/>
    <x v="182"/>
  </r>
  <r>
    <n v="236257"/>
    <s v="People535"/>
    <s v="department"/>
    <s v="REGION5"/>
    <s v="STORE168"/>
    <s v="MANAGER66"/>
    <s v="POSITIVO"/>
    <d v="1899-12-31T05:24:00"/>
    <m/>
    <d v="1899-12-31T05:24:00"/>
    <s v="POSITION1"/>
    <x v="4"/>
    <x v="167"/>
  </r>
  <r>
    <n v="233786"/>
    <s v="People536"/>
    <s v="department"/>
    <s v="REGION5"/>
    <s v="STORE161"/>
    <s v="MANAGER56"/>
    <s v="POSITIVO"/>
    <d v="1899-12-31T00:35:00"/>
    <m/>
    <d v="1899-12-31T00:35:00"/>
    <s v="POSITION1"/>
    <x v="4"/>
    <x v="160"/>
  </r>
  <r>
    <n v="225329"/>
    <s v="People537"/>
    <s v="department"/>
    <s v="REGION5"/>
    <s v="STORE186"/>
    <s v="MANAGER57"/>
    <s v="POSITIVO"/>
    <d v="1899-12-31T00:33:00"/>
    <m/>
    <d v="1899-12-31T00:33:00"/>
    <s v="POSITION2"/>
    <x v="4"/>
    <x v="185"/>
  </r>
  <r>
    <n v="229397"/>
    <s v="People538"/>
    <s v="department"/>
    <s v="REGION5"/>
    <s v="STORE187"/>
    <s v="MANAGER57"/>
    <s v="POSITIVO"/>
    <d v="1899-12-30T23:56:00"/>
    <m/>
    <d v="1899-12-30T23:56:00"/>
    <s v="POSITION9"/>
    <x v="4"/>
    <x v="186"/>
  </r>
  <r>
    <n v="237319"/>
    <s v="People539"/>
    <s v="department"/>
    <s v="REGION5"/>
    <s v="STORE172"/>
    <s v="MANAGER60"/>
    <s v="POSITIVO"/>
    <d v="1899-12-30T22:50:00"/>
    <m/>
    <d v="1899-12-30T22:50:00"/>
    <s v="POSITION1"/>
    <x v="4"/>
    <x v="171"/>
  </r>
  <r>
    <n v="201712"/>
    <s v="People540"/>
    <s v="department"/>
    <s v="REGION5"/>
    <s v="STORE185"/>
    <s v="MANAGER68"/>
    <s v="POSITIVO"/>
    <d v="1899-12-30T22:48:00"/>
    <m/>
    <d v="1899-12-30T22:48:00"/>
    <s v="POSITION1"/>
    <x v="4"/>
    <x v="184"/>
  </r>
  <r>
    <n v="235967"/>
    <s v="People541"/>
    <s v="department"/>
    <s v="REGION5"/>
    <s v="STORE188"/>
    <s v="MANAGER57"/>
    <s v="POSITIVO"/>
    <d v="1899-12-30T18:31:00"/>
    <m/>
    <d v="1899-12-30T18:31:00"/>
    <s v="POSITION2"/>
    <x v="4"/>
    <x v="187"/>
  </r>
  <r>
    <n v="237801"/>
    <s v="People542"/>
    <s v="department"/>
    <s v="REGION5"/>
    <s v="STORE154"/>
    <s v="MANAGER60"/>
    <s v="POSITIVO"/>
    <d v="1899-12-30T18:28:00"/>
    <m/>
    <d v="1899-12-30T18:28:00"/>
    <s v="POSITION3"/>
    <x v="4"/>
    <x v="153"/>
  </r>
  <r>
    <n v="231359"/>
    <s v="People543"/>
    <s v="department"/>
    <s v="REGION5"/>
    <s v="STORE189"/>
    <s v="MANAGER57"/>
    <s v="POSITIVO"/>
    <d v="1899-12-30T17:36:00"/>
    <m/>
    <d v="1899-12-30T17:36:00"/>
    <s v="POSITION2"/>
    <x v="4"/>
    <x v="188"/>
  </r>
  <r>
    <n v="237418"/>
    <s v="People544"/>
    <s v="department"/>
    <s v="REGION5"/>
    <s v="STORE153"/>
    <s v="MANAGER59"/>
    <s v="POSITIVO"/>
    <d v="1899-12-30T16:48:00"/>
    <m/>
    <d v="1899-12-30T16:48:00"/>
    <s v="POSITION1"/>
    <x v="4"/>
    <x v="152"/>
  </r>
  <r>
    <n v="230462"/>
    <s v="People545"/>
    <s v="department"/>
    <s v="REGION5"/>
    <s v="STORE185"/>
    <s v="MANAGER68"/>
    <s v="POSITIVO"/>
    <d v="1899-12-30T14:18:00"/>
    <m/>
    <d v="1899-12-30T14:18:00"/>
    <s v="POSITION1"/>
    <x v="4"/>
    <x v="184"/>
  </r>
  <r>
    <n v="235459"/>
    <s v="People546"/>
    <s v="department"/>
    <s v="REGION5"/>
    <s v="STORE185"/>
    <s v="MANAGER68"/>
    <s v="POSITIVO"/>
    <d v="1899-12-30T13:40:00"/>
    <m/>
    <d v="1899-12-30T13:40:00"/>
    <s v="POSITION1"/>
    <x v="4"/>
    <x v="184"/>
  </r>
  <r>
    <n v="201469"/>
    <s v="People547"/>
    <s v="department"/>
    <s v="REGION5"/>
    <s v="STORE177"/>
    <s v="MANAGER68"/>
    <s v="POSITIVO"/>
    <d v="1899-12-30T11:15:00"/>
    <m/>
    <d v="1899-12-30T11:15:00"/>
    <s v="POSITION3"/>
    <x v="4"/>
    <x v="176"/>
  </r>
  <r>
    <n v="237829"/>
    <s v="People548"/>
    <s v="department"/>
    <s v="REGION5"/>
    <s v="STORE168"/>
    <s v="MANAGER66"/>
    <s v="POSITIVO"/>
    <d v="1899-12-30T09:34:00"/>
    <m/>
    <d v="1899-12-30T09:34:00"/>
    <s v="POSITION1"/>
    <x v="4"/>
    <x v="167"/>
  </r>
  <r>
    <n v="237162"/>
    <s v="People549"/>
    <s v="department"/>
    <s v="REGION5"/>
    <s v="STORE180"/>
    <s v="MANAGER70"/>
    <s v="POSITIVO"/>
    <d v="1899-12-30T09:25:00"/>
    <m/>
    <d v="1899-12-30T09:25:00"/>
    <s v="POSITION3"/>
    <x v="4"/>
    <x v="179"/>
  </r>
  <r>
    <n v="231459"/>
    <s v="People550"/>
    <s v="department"/>
    <s v="REGION5"/>
    <s v="STORE170"/>
    <s v="MANAGER67"/>
    <s v="POSITIVO"/>
    <d v="1899-12-30T08:53:00"/>
    <m/>
    <d v="1899-12-30T08:53:00"/>
    <s v="POSITION1"/>
    <x v="4"/>
    <x v="169"/>
  </r>
  <r>
    <n v="217827"/>
    <s v="People551"/>
    <s v="department"/>
    <s v="REGION5"/>
    <s v="STORE169"/>
    <s v="MANAGER66"/>
    <s v="POSITIVO"/>
    <d v="1899-12-30T07:58:00"/>
    <m/>
    <d v="1899-12-30T07:58:00"/>
    <s v="POSITION4"/>
    <x v="4"/>
    <x v="168"/>
  </r>
  <r>
    <n v="233121"/>
    <s v="People552"/>
    <s v="department"/>
    <s v="REGION5"/>
    <s v="STORE168"/>
    <s v="MANAGER66"/>
    <s v="POSITIVO"/>
    <d v="1899-12-30T07:31:00"/>
    <m/>
    <d v="1899-12-30T07:31:00"/>
    <s v="POSITION1"/>
    <x v="4"/>
    <x v="167"/>
  </r>
  <r>
    <n v="233977"/>
    <s v="People553"/>
    <s v="department"/>
    <s v="REGION5"/>
    <s v="STORE165"/>
    <s v="MANAGER62"/>
    <s v="POSITIVO"/>
    <d v="1899-12-30T06:32:00"/>
    <m/>
    <d v="1899-12-30T06:32:00"/>
    <s v="POSITION1"/>
    <x v="4"/>
    <x v="164"/>
  </r>
  <r>
    <n v="219368"/>
    <s v="People554"/>
    <s v="department"/>
    <s v="REGION5"/>
    <s v="STORE190"/>
    <s v="MANAGER57"/>
    <s v="POSITIVO"/>
    <d v="1899-12-30T05:05:00"/>
    <m/>
    <d v="1899-12-30T05:05:00"/>
    <s v="POSITION7"/>
    <x v="4"/>
    <x v="189"/>
  </r>
  <r>
    <n v="235215"/>
    <s v="People555"/>
    <s v="department"/>
    <s v="REGION5"/>
    <s v="STORE170"/>
    <s v="MANAGER67"/>
    <s v="POSITIVO"/>
    <d v="1899-12-30T05:01:00"/>
    <m/>
    <d v="1899-12-30T05:01:00"/>
    <s v="POSITION1"/>
    <x v="4"/>
    <x v="169"/>
  </r>
  <r>
    <n v="235232"/>
    <s v="People556"/>
    <s v="department"/>
    <s v="REGION5"/>
    <s v="STORE161"/>
    <s v="MANAGER56"/>
    <s v="POSITIVO"/>
    <d v="1899-12-30T03:10:00"/>
    <m/>
    <d v="1899-12-30T03:10:00"/>
    <s v="POSITION1"/>
    <x v="4"/>
    <x v="160"/>
  </r>
  <r>
    <n v="235951"/>
    <s v="People557"/>
    <s v="department"/>
    <s v="REGION5"/>
    <s v="STORE170"/>
    <s v="MANAGER67"/>
    <s v="POSITIVO"/>
    <d v="1899-12-30T02:50:00"/>
    <m/>
    <d v="1899-12-30T02:50:00"/>
    <s v="POSITION1"/>
    <x v="4"/>
    <x v="169"/>
  </r>
  <r>
    <n v="231554"/>
    <s v="People558"/>
    <s v="department"/>
    <s v="REGION5"/>
    <s v="STORE185"/>
    <s v="MANAGER68"/>
    <s v="POSITIVO"/>
    <d v="1899-12-30T02:16:00"/>
    <m/>
    <d v="1899-12-30T02:16:00"/>
    <s v="POSITION1"/>
    <x v="4"/>
    <x v="184"/>
  </r>
  <r>
    <n v="231492"/>
    <s v="People559"/>
    <s v="department"/>
    <s v="REGION5"/>
    <s v="STORE191"/>
    <s v="MANAGER67"/>
    <s v="POSITIVO"/>
    <d v="1899-12-30T02:00:00"/>
    <m/>
    <d v="1899-12-30T02:00:00"/>
    <s v="POSITION3"/>
    <x v="4"/>
    <x v="190"/>
  </r>
  <r>
    <n v="232950"/>
    <s v="People560"/>
    <s v="department"/>
    <s v="REGION5"/>
    <s v="STORE165"/>
    <s v="MANAGER62"/>
    <s v="POSITIVO"/>
    <d v="1899-12-30T01:25:00"/>
    <m/>
    <d v="1899-12-30T01:25:00"/>
    <s v="POSITION1"/>
    <x v="4"/>
    <x v="164"/>
  </r>
  <r>
    <n v="202631"/>
    <s v="People561"/>
    <s v="department"/>
    <s v="REGION5"/>
    <s v="STORE184"/>
    <s v="MANAGER64"/>
    <s v="POSITIVO"/>
    <d v="1899-12-30T01:12:00"/>
    <m/>
    <d v="1899-12-30T01:12:00"/>
    <s v="POSITION1"/>
    <x v="4"/>
    <x v="183"/>
  </r>
  <r>
    <n v="234121"/>
    <s v="People562"/>
    <s v="department"/>
    <s v="REGION5"/>
    <s v="STORE165"/>
    <s v="MANAGER62"/>
    <s v="POSITIVO"/>
    <d v="1899-12-30T01:09:00"/>
    <m/>
    <d v="1899-12-30T01:09:00"/>
    <s v="POSITION1"/>
    <x v="4"/>
    <x v="164"/>
  </r>
  <r>
    <n v="235399"/>
    <s v="People563"/>
    <s v="department"/>
    <s v="REGION5"/>
    <s v="STORE165"/>
    <s v="MANAGER62"/>
    <s v="POSITIVO"/>
    <d v="1899-12-30T01:08:00"/>
    <m/>
    <d v="1899-12-30T01:08:00"/>
    <s v="POSITION1"/>
    <x v="4"/>
    <x v="164"/>
  </r>
  <r>
    <n v="234601"/>
    <s v="People564"/>
    <s v="department"/>
    <s v="REGION5"/>
    <s v="STORE156"/>
    <s v="MANAGER55"/>
    <s v="POSITIVO"/>
    <d v="1899-12-30T00:39:00"/>
    <m/>
    <d v="1899-12-30T00:39:00"/>
    <s v="POSITION1"/>
    <x v="4"/>
    <x v="155"/>
  </r>
  <r>
    <n v="233835"/>
    <s v="People565"/>
    <s v="department"/>
    <s v="REGION5"/>
    <s v="STORE191"/>
    <s v="MANAGER67"/>
    <s v="POSITIVO"/>
    <d v="1899-12-30T00:23:00"/>
    <m/>
    <d v="1899-12-30T00:23:00"/>
    <s v="POSITION4"/>
    <x v="4"/>
    <x v="190"/>
  </r>
  <r>
    <n v="234799"/>
    <s v="People566"/>
    <s v="department"/>
    <s v="REGION5"/>
    <s v="STORE179"/>
    <s v="MANAGER70"/>
    <s v="POSITIVO"/>
    <d v="1899-12-30T00:22:00"/>
    <m/>
    <d v="1899-12-30T00:22:00"/>
    <s v="POSITION1"/>
    <x v="4"/>
    <x v="178"/>
  </r>
  <r>
    <n v="232151"/>
    <s v="People567"/>
    <s v="department"/>
    <s v="REGION6"/>
    <s v="STORE192"/>
    <s v="MANAGER71"/>
    <s v="NEGATIVO"/>
    <d v="1899-12-30T19:06:00"/>
    <d v="1899-12-30T19:06:00"/>
    <m/>
    <s v="POSITION1"/>
    <x v="5"/>
    <x v="191"/>
  </r>
  <r>
    <n v="230742"/>
    <s v="People568"/>
    <s v="department"/>
    <s v="REGION6"/>
    <s v="STORE193"/>
    <s v="MANAGER72"/>
    <s v="NEGATIVO"/>
    <d v="1899-12-31T20:13:00"/>
    <d v="1899-12-31T20:13:00"/>
    <m/>
    <s v="POSITION1"/>
    <x v="5"/>
    <x v="192"/>
  </r>
  <r>
    <n v="236241"/>
    <s v="People569"/>
    <s v="department"/>
    <s v="REGION6"/>
    <s v="STORE194"/>
    <s v="MANAGER73"/>
    <s v="NEGATIVO"/>
    <d v="1900-01-03T01:25:00"/>
    <d v="1900-01-03T01:25:00"/>
    <m/>
    <s v="POSITION4"/>
    <x v="5"/>
    <x v="193"/>
  </r>
  <r>
    <n v="230634"/>
    <s v="People570"/>
    <s v="department"/>
    <s v="REGION6"/>
    <s v="STORE195"/>
    <s v="MANAGER74"/>
    <s v="NEGATIVO"/>
    <d v="1899-12-31T16:19:00"/>
    <d v="1899-12-31T16:19:00"/>
    <m/>
    <s v="POSITION1"/>
    <x v="5"/>
    <x v="194"/>
  </r>
  <r>
    <n v="203590"/>
    <s v="People571"/>
    <s v="department"/>
    <s v="REGION6"/>
    <s v="STORE192"/>
    <s v="MANAGER71"/>
    <s v="NEGATIVO"/>
    <d v="1899-12-31T12:28:00"/>
    <d v="1899-12-31T12:28:00"/>
    <m/>
    <s v="POSITION1"/>
    <x v="5"/>
    <x v="191"/>
  </r>
  <r>
    <n v="218141"/>
    <s v="People572"/>
    <s v="department"/>
    <s v="REGION6"/>
    <s v="STORE196"/>
    <s v="MANAGER71"/>
    <s v="NEGATIVO"/>
    <d v="1900-01-05T23:04:00"/>
    <d v="1900-01-05T23:04:00"/>
    <m/>
    <s v="POSITION3"/>
    <x v="5"/>
    <x v="195"/>
  </r>
  <r>
    <n v="233601"/>
    <s v="People573"/>
    <s v="department"/>
    <s v="REGION6"/>
    <s v="STORE197"/>
    <s v="MANAGER75"/>
    <s v="NEGATIVO"/>
    <d v="1899-12-30T08:21:00"/>
    <d v="1899-12-30T08:21:00"/>
    <m/>
    <s v="POSITION3"/>
    <x v="5"/>
    <x v="196"/>
  </r>
  <r>
    <n v="231250"/>
    <s v="People574"/>
    <s v="department"/>
    <s v="REGION6"/>
    <s v="STORE198"/>
    <s v="MANAGER72"/>
    <s v="NEGATIVO"/>
    <d v="1899-12-31T13:51:00"/>
    <d v="1899-12-31T13:51:00"/>
    <m/>
    <s v="POSITION3"/>
    <x v="5"/>
    <x v="197"/>
  </r>
  <r>
    <n v="232830"/>
    <s v="People575"/>
    <s v="department"/>
    <s v="REGION6"/>
    <s v="STORE199"/>
    <s v="MANAGER74"/>
    <s v="NEGATIVO"/>
    <d v="1899-12-30T05:23:00"/>
    <d v="1899-12-30T05:23:00"/>
    <m/>
    <s v="POSITION1"/>
    <x v="5"/>
    <x v="198"/>
  </r>
  <r>
    <n v="200513"/>
    <s v="People576"/>
    <s v="department"/>
    <s v="REGION6"/>
    <s v="STORE200"/>
    <s v="MANAGER76"/>
    <s v="NEGATIVO"/>
    <d v="1900-01-01T10:30:00"/>
    <d v="1900-01-01T10:30:00"/>
    <m/>
    <s v="POSITION3"/>
    <x v="5"/>
    <x v="199"/>
  </r>
  <r>
    <n v="237423"/>
    <s v="People577"/>
    <s v="department"/>
    <s v="REGION6"/>
    <s v="STORE201"/>
    <s v="MANAGER77"/>
    <s v="NEGATIVO"/>
    <d v="1899-12-30T00:01:00"/>
    <d v="1899-12-30T00:01:00"/>
    <m/>
    <s v="POSITION1"/>
    <x v="5"/>
    <x v="200"/>
  </r>
  <r>
    <n v="224240"/>
    <s v="People578"/>
    <s v="department"/>
    <s v="REGION6"/>
    <s v="STORE202"/>
    <s v="MANAGER78"/>
    <s v="NEGATIVO"/>
    <d v="1899-12-30T00:06:00"/>
    <d v="1899-12-30T00:06:00"/>
    <m/>
    <s v="POSITION7"/>
    <x v="5"/>
    <x v="201"/>
  </r>
  <r>
    <n v="237210"/>
    <s v="People579"/>
    <s v="department"/>
    <s v="REGION6"/>
    <s v="STORE203"/>
    <s v="MANAGER79"/>
    <s v="NEGATIVO"/>
    <d v="1899-12-30T07:41:00"/>
    <d v="1899-12-30T07:41:00"/>
    <m/>
    <s v="POSITION3"/>
    <x v="5"/>
    <x v="202"/>
  </r>
  <r>
    <n v="234147"/>
    <s v="People580"/>
    <s v="department"/>
    <s v="REGION6"/>
    <s v="STORE204"/>
    <s v="MANAGER76"/>
    <s v="NEGATIVO"/>
    <d v="1899-12-31T23:45:00"/>
    <d v="1899-12-31T23:45:00"/>
    <m/>
    <s v="POSITION1"/>
    <x v="5"/>
    <x v="203"/>
  </r>
  <r>
    <n v="203599"/>
    <s v="People581"/>
    <s v="department"/>
    <s v="REGION6"/>
    <s v="STORE205"/>
    <s v="MANAGER80"/>
    <s v="NEGATIVO"/>
    <d v="1899-12-30T20:32:00"/>
    <d v="1899-12-30T20:32:00"/>
    <m/>
    <s v="POSITION1"/>
    <x v="5"/>
    <x v="204"/>
  </r>
  <r>
    <n v="200893"/>
    <s v="People582"/>
    <s v="department"/>
    <s v="REGION6"/>
    <s v="STORE203"/>
    <s v="MANAGER79"/>
    <s v="NEGATIVO"/>
    <d v="1900-01-05T17:14:00"/>
    <d v="1900-01-05T17:14:00"/>
    <m/>
    <s v="POSITION4"/>
    <x v="5"/>
    <x v="202"/>
  </r>
  <r>
    <n v="200533"/>
    <s v="People583"/>
    <s v="department"/>
    <s v="REGION6"/>
    <s v="STORE206"/>
    <s v="MANAGER80"/>
    <s v="NEGATIVO"/>
    <d v="1899-12-30T10:37:00"/>
    <d v="1899-12-30T10:37:00"/>
    <m/>
    <s v="POSITION4"/>
    <x v="5"/>
    <x v="205"/>
  </r>
  <r>
    <n v="230857"/>
    <s v="People584"/>
    <s v="department"/>
    <s v="REGION6"/>
    <s v="STORE200"/>
    <s v="MANAGER76"/>
    <s v="NEGATIVO"/>
    <d v="1900-01-03T02:04:00"/>
    <d v="1900-01-03T02:04:00"/>
    <m/>
    <s v="POSITION3"/>
    <x v="5"/>
    <x v="199"/>
  </r>
  <r>
    <n v="237160"/>
    <s v="People585"/>
    <s v="department"/>
    <s v="REGION6"/>
    <s v="STORE207"/>
    <s v="MANAGER81"/>
    <s v="NEGATIVO"/>
    <d v="1899-12-30T11:20:00"/>
    <d v="1899-12-30T11:20:00"/>
    <m/>
    <s v="POSITION3"/>
    <x v="5"/>
    <x v="206"/>
  </r>
  <r>
    <n v="224228"/>
    <s v="People586"/>
    <s v="department"/>
    <s v="REGION6"/>
    <s v="STORE199"/>
    <s v="MANAGER74"/>
    <s v="NEGATIVO"/>
    <d v="1900-01-01T19:12:00"/>
    <d v="1900-01-01T19:12:00"/>
    <m/>
    <s v="POSITION1"/>
    <x v="5"/>
    <x v="198"/>
  </r>
  <r>
    <n v="230748"/>
    <s v="People587"/>
    <s v="department"/>
    <s v="REGION6"/>
    <s v="STORE201"/>
    <s v="MANAGER77"/>
    <s v="NEGATIVO"/>
    <d v="1899-12-30T00:04:00"/>
    <d v="1899-12-30T00:04:00"/>
    <m/>
    <s v="POSITION1"/>
    <x v="5"/>
    <x v="200"/>
  </r>
  <r>
    <n v="237216"/>
    <s v="People588"/>
    <s v="department"/>
    <s v="REGION6"/>
    <s v="STORE208"/>
    <s v="MANAGER81"/>
    <s v="NEGATIVO"/>
    <d v="1899-12-30T11:07:00"/>
    <d v="1899-12-30T11:07:00"/>
    <m/>
    <s v="POSITION1"/>
    <x v="5"/>
    <x v="207"/>
  </r>
  <r>
    <n v="232856"/>
    <s v="People589"/>
    <s v="department"/>
    <s v="REGION6"/>
    <s v="STORE197"/>
    <s v="MANAGER75"/>
    <s v="NEGATIVO"/>
    <d v="1899-12-30T21:17:00"/>
    <d v="1899-12-30T21:17:00"/>
    <m/>
    <s v="POSITION5"/>
    <x v="5"/>
    <x v="196"/>
  </r>
  <r>
    <n v="230931"/>
    <s v="People590"/>
    <s v="department"/>
    <s v="REGION6"/>
    <s v="STORE198"/>
    <s v="MANAGER72"/>
    <s v="NEGATIVO"/>
    <d v="1899-12-30T07:37:00"/>
    <d v="1899-12-30T07:37:00"/>
    <m/>
    <s v="POSITION4"/>
    <x v="5"/>
    <x v="197"/>
  </r>
  <r>
    <n v="236004"/>
    <s v="People591"/>
    <s v="department"/>
    <s v="REGION6"/>
    <s v="STORE198"/>
    <s v="MANAGER72"/>
    <s v="NEGATIVO"/>
    <d v="1899-12-30T12:07:00"/>
    <d v="1899-12-30T12:07:00"/>
    <m/>
    <s v="POSITION3"/>
    <x v="5"/>
    <x v="197"/>
  </r>
  <r>
    <n v="224160"/>
    <s v="People592"/>
    <s v="department"/>
    <s v="REGION6"/>
    <s v="STORE192"/>
    <s v="MANAGER71"/>
    <s v="NEGATIVO"/>
    <d v="1899-12-30T08:42:00"/>
    <d v="1899-12-30T08:42:00"/>
    <m/>
    <s v="POSITION1"/>
    <x v="5"/>
    <x v="191"/>
  </r>
  <r>
    <n v="203637"/>
    <s v="People593"/>
    <s v="department"/>
    <s v="REGION6"/>
    <s v="STORE209"/>
    <s v="MANAGER73"/>
    <s v="NEGATIVO"/>
    <d v="1899-12-30T04:38:00"/>
    <d v="1899-12-30T04:38:00"/>
    <m/>
    <s v="POSITION1"/>
    <x v="5"/>
    <x v="208"/>
  </r>
  <r>
    <n v="230584"/>
    <s v="People594"/>
    <s v="department"/>
    <s v="REGION6"/>
    <s v="STORE197"/>
    <s v="MANAGER75"/>
    <s v="NEGATIVO"/>
    <d v="1899-12-31T08:51:00"/>
    <d v="1899-12-31T08:51:00"/>
    <m/>
    <s v="POSITION4"/>
    <x v="5"/>
    <x v="196"/>
  </r>
  <r>
    <n v="200784"/>
    <s v="People595"/>
    <s v="department"/>
    <s v="REGION6"/>
    <s v="STORE200"/>
    <s v="MANAGER76"/>
    <s v="NEGATIVO"/>
    <d v="1899-12-30T03:22:00"/>
    <d v="1899-12-30T03:22:00"/>
    <m/>
    <s v="POSITION4"/>
    <x v="5"/>
    <x v="199"/>
  </r>
  <r>
    <n v="236168"/>
    <s v="People596"/>
    <s v="department"/>
    <s v="REGION6"/>
    <s v="STORE208"/>
    <s v="MANAGER81"/>
    <s v="NEGATIVO"/>
    <d v="1899-12-31T05:12:00"/>
    <d v="1899-12-31T05:12:00"/>
    <m/>
    <s v="POSITION1"/>
    <x v="5"/>
    <x v="207"/>
  </r>
  <r>
    <n v="214135"/>
    <s v="People597"/>
    <s v="department"/>
    <s v="REGION6"/>
    <s v="STORE199"/>
    <s v="MANAGER74"/>
    <s v="NEGATIVO"/>
    <d v="1899-12-31T16:31:00"/>
    <d v="1899-12-31T16:31:00"/>
    <m/>
    <s v="POSITION1"/>
    <x v="5"/>
    <x v="198"/>
  </r>
  <r>
    <n v="235983"/>
    <s v="People598"/>
    <s v="department"/>
    <s v="REGION6"/>
    <s v="STORE208"/>
    <s v="MANAGER81"/>
    <s v="NEGATIVO"/>
    <d v="1899-12-31T19:18:00"/>
    <d v="1899-12-31T19:18:00"/>
    <m/>
    <s v="POSITION1"/>
    <x v="5"/>
    <x v="207"/>
  </r>
  <r>
    <n v="232012"/>
    <s v="People599"/>
    <s v="department"/>
    <s v="REGION6"/>
    <s v="STORE200"/>
    <s v="MANAGER76"/>
    <s v="NEGATIVO"/>
    <d v="1900-01-02T19:08:00"/>
    <d v="1900-01-02T19:08:00"/>
    <m/>
    <s v="POSITION3"/>
    <x v="5"/>
    <x v="199"/>
  </r>
  <r>
    <n v="203078"/>
    <s v="People600"/>
    <s v="department"/>
    <s v="REGION6"/>
    <s v="STORE192"/>
    <s v="MANAGER71"/>
    <s v="NEGATIVO"/>
    <d v="1900-01-01T22:44:00"/>
    <d v="1900-01-01T22:44:00"/>
    <m/>
    <s v="POSITION1"/>
    <x v="5"/>
    <x v="191"/>
  </r>
  <r>
    <n v="225762"/>
    <s v="People601"/>
    <s v="department"/>
    <s v="REGION6"/>
    <s v="STORE192"/>
    <s v="MANAGER71"/>
    <s v="NEGATIVO"/>
    <d v="1900-01-02T09:55:00"/>
    <d v="1900-01-02T09:55:00"/>
    <m/>
    <s v="POSITION1"/>
    <x v="5"/>
    <x v="191"/>
  </r>
  <r>
    <n v="225545"/>
    <s v="People602"/>
    <s v="department"/>
    <s v="REGION6"/>
    <s v="STORE197"/>
    <s v="MANAGER75"/>
    <s v="NEGATIVO"/>
    <d v="1899-12-30T03:50:00"/>
    <d v="1899-12-30T03:50:00"/>
    <m/>
    <s v="POSITION3"/>
    <x v="5"/>
    <x v="196"/>
  </r>
  <r>
    <n v="231981"/>
    <s v="People603"/>
    <s v="department"/>
    <s v="REGION6"/>
    <s v="STORE204"/>
    <s v="MANAGER76"/>
    <s v="NEGATIVO"/>
    <d v="1899-12-30T02:07:00"/>
    <d v="1899-12-30T02:07:00"/>
    <m/>
    <s v="POSITION1"/>
    <x v="5"/>
    <x v="203"/>
  </r>
  <r>
    <n v="222928"/>
    <s v="People604"/>
    <s v="department"/>
    <s v="REGION6"/>
    <s v="STORE201"/>
    <s v="MANAGER77"/>
    <s v="NEGATIVO"/>
    <d v="1899-12-30T00:09:00"/>
    <d v="1899-12-30T00:09:00"/>
    <m/>
    <s v="POSITION1"/>
    <x v="5"/>
    <x v="200"/>
  </r>
  <r>
    <n v="232287"/>
    <s v="People605"/>
    <s v="department"/>
    <s v="REGION6"/>
    <s v="STORE210"/>
    <s v="MANAGER73"/>
    <s v="NEGATIVO"/>
    <d v="1899-12-31T06:54:00"/>
    <d v="1899-12-31T06:54:00"/>
    <m/>
    <s v="POSITION1"/>
    <x v="5"/>
    <x v="209"/>
  </r>
  <r>
    <n v="217689"/>
    <s v="People606"/>
    <s v="department"/>
    <s v="REGION6"/>
    <s v="STORE211"/>
    <s v="MANAGER82"/>
    <s v="NEGATIVO"/>
    <d v="1900-01-19T19:42:00"/>
    <d v="1900-01-19T19:42:00"/>
    <m/>
    <s v="POSITION4"/>
    <x v="5"/>
    <x v="210"/>
  </r>
  <r>
    <n v="233057"/>
    <s v="People607"/>
    <s v="department"/>
    <s v="REGION6"/>
    <s v="STORE212"/>
    <s v="MANAGER74"/>
    <s v="NEGATIVO"/>
    <d v="1900-01-04T09:38:00"/>
    <d v="1900-01-04T09:38:00"/>
    <m/>
    <s v="POSITION5"/>
    <x v="5"/>
    <x v="211"/>
  </r>
  <r>
    <n v="224380"/>
    <s v="People608"/>
    <s v="department"/>
    <s v="REGION6"/>
    <s v="STORE213"/>
    <s v="MANAGER75"/>
    <s v="NEGATIVO"/>
    <d v="1899-12-30T18:09:00"/>
    <d v="1899-12-30T18:09:00"/>
    <m/>
    <s v="POSITION1"/>
    <x v="5"/>
    <x v="212"/>
  </r>
  <r>
    <n v="222847"/>
    <s v="People609"/>
    <s v="department"/>
    <s v="REGION6"/>
    <s v="STORE199"/>
    <s v="MANAGER74"/>
    <s v="NEGATIVO"/>
    <d v="1899-12-30T07:16:00"/>
    <d v="1899-12-30T07:16:00"/>
    <m/>
    <s v="POSITION1"/>
    <x v="5"/>
    <x v="198"/>
  </r>
  <r>
    <n v="234611"/>
    <s v="People610"/>
    <s v="department"/>
    <s v="REGION6"/>
    <s v="STORE214"/>
    <s v="MANAGER79"/>
    <s v="NEGATIVO"/>
    <d v="1899-12-30T01:06:00"/>
    <d v="1899-12-30T01:06:00"/>
    <m/>
    <s v="POSITION1"/>
    <x v="5"/>
    <x v="213"/>
  </r>
  <r>
    <n v="203499"/>
    <s v="People611"/>
    <s v="department"/>
    <s v="REGION6"/>
    <s v="STORE205"/>
    <s v="MANAGER80"/>
    <s v="POSITIVO"/>
    <d v="1900-01-02T11:28:00"/>
    <m/>
    <d v="1900-01-02T11:28:00"/>
    <s v="POSITION1"/>
    <x v="5"/>
    <x v="204"/>
  </r>
  <r>
    <n v="225192"/>
    <s v="People612"/>
    <s v="department"/>
    <s v="REGION6"/>
    <s v="STORE215"/>
    <s v="MANAGER83"/>
    <s v="POSITIVO"/>
    <d v="1900-01-01T21:39:00"/>
    <m/>
    <d v="1900-01-01T21:39:00"/>
    <s v="POSITION1"/>
    <x v="5"/>
    <x v="214"/>
  </r>
  <r>
    <n v="230859"/>
    <s v="People613"/>
    <s v="department"/>
    <s v="REGION6"/>
    <s v="STORE193"/>
    <s v="MANAGER72"/>
    <s v="POSITIVO"/>
    <d v="1900-01-01T12:34:00"/>
    <m/>
    <d v="1900-01-01T12:34:00"/>
    <s v="POSITION1"/>
    <x v="5"/>
    <x v="192"/>
  </r>
  <r>
    <n v="236302"/>
    <s v="People614"/>
    <s v="department"/>
    <s v="REGION6"/>
    <s v="STORE216"/>
    <s v="MANAGER84"/>
    <s v="POSITIVO"/>
    <d v="1900-01-01T05:39:00"/>
    <m/>
    <d v="1900-01-01T05:39:00"/>
    <s v="POSITION1"/>
    <x v="5"/>
    <x v="215"/>
  </r>
  <r>
    <n v="237944"/>
    <s v="People615"/>
    <s v="department"/>
    <s v="REGION6"/>
    <s v="STORE204"/>
    <s v="MANAGER76"/>
    <s v="POSITIVO"/>
    <d v="1900-01-01T04:24:00"/>
    <m/>
    <d v="1900-01-01T04:24:00"/>
    <s v="POSITION1"/>
    <x v="5"/>
    <x v="203"/>
  </r>
  <r>
    <n v="229826"/>
    <s v="People616"/>
    <s v="department"/>
    <s v="REGION6"/>
    <s v="STORE217"/>
    <s v="MANAGER84"/>
    <s v="POSITIVO"/>
    <d v="1900-01-01T01:03:00"/>
    <m/>
    <d v="1900-01-01T01:03:00"/>
    <s v="POSITION3"/>
    <x v="5"/>
    <x v="216"/>
  </r>
  <r>
    <n v="235803"/>
    <s v="People617"/>
    <s v="department"/>
    <s v="REGION6"/>
    <s v="STORE205"/>
    <s v="MANAGER80"/>
    <s v="POSITIVO"/>
    <d v="1900-01-01T00:37:00"/>
    <m/>
    <d v="1900-01-01T00:37:00"/>
    <s v="POSITION1"/>
    <x v="5"/>
    <x v="204"/>
  </r>
  <r>
    <n v="223399"/>
    <s v="People618"/>
    <s v="department"/>
    <s v="REGION6"/>
    <s v="STORE196"/>
    <s v="MANAGER71"/>
    <s v="POSITIVO"/>
    <d v="1899-12-31T17:50:00"/>
    <m/>
    <d v="1899-12-31T17:50:00"/>
    <s v="POSITION3"/>
    <x v="5"/>
    <x v="195"/>
  </r>
  <r>
    <n v="220151"/>
    <s v="People619"/>
    <s v="department"/>
    <s v="REGION6"/>
    <s v="STORE197"/>
    <s v="MANAGER75"/>
    <s v="POSITIVO"/>
    <d v="1899-12-31T12:14:00"/>
    <m/>
    <d v="1899-12-31T12:14:00"/>
    <s v="POSITION3"/>
    <x v="5"/>
    <x v="196"/>
  </r>
  <r>
    <n v="236301"/>
    <s v="People620"/>
    <s v="department"/>
    <s v="REGION6"/>
    <s v="STORE216"/>
    <s v="MANAGER84"/>
    <s v="POSITIVO"/>
    <d v="1899-12-31T11:47:00"/>
    <m/>
    <d v="1899-12-31T11:47:00"/>
    <s v="POSITION1"/>
    <x v="5"/>
    <x v="215"/>
  </r>
  <r>
    <n v="203617"/>
    <s v="People621"/>
    <s v="department"/>
    <s v="REGION6"/>
    <s v="STORE214"/>
    <s v="MANAGER79"/>
    <s v="POSITIVO"/>
    <d v="1899-12-31T09:49:00"/>
    <m/>
    <d v="1899-12-31T09:49:00"/>
    <s v="POSITION1"/>
    <x v="5"/>
    <x v="213"/>
  </r>
  <r>
    <n v="203277"/>
    <s v="People622"/>
    <s v="department"/>
    <s v="REGION6"/>
    <s v="STORE204"/>
    <s v="MANAGER76"/>
    <s v="POSITIVO"/>
    <d v="1899-12-31T09:04:00"/>
    <m/>
    <d v="1899-12-31T09:04:00"/>
    <s v="POSITION1"/>
    <x v="5"/>
    <x v="203"/>
  </r>
  <r>
    <n v="230858"/>
    <s v="People623"/>
    <s v="department"/>
    <s v="REGION6"/>
    <s v="STORE204"/>
    <s v="MANAGER76"/>
    <s v="POSITIVO"/>
    <d v="1899-12-31T08:49:00"/>
    <m/>
    <d v="1899-12-31T08:49:00"/>
    <s v="POSITION1"/>
    <x v="5"/>
    <x v="203"/>
  </r>
  <r>
    <n v="230861"/>
    <s v="People624"/>
    <s v="department"/>
    <s v="REGION6"/>
    <s v="STORE193"/>
    <s v="MANAGER72"/>
    <s v="POSITIVO"/>
    <d v="1899-12-31T07:49:00"/>
    <m/>
    <d v="1899-12-31T07:49:00"/>
    <s v="POSITION1"/>
    <x v="5"/>
    <x v="192"/>
  </r>
  <r>
    <n v="234334"/>
    <s v="People625"/>
    <s v="department"/>
    <s v="REGION6"/>
    <s v="STORE210"/>
    <s v="MANAGER73"/>
    <s v="POSITIVO"/>
    <d v="1899-12-31T07:32:00"/>
    <m/>
    <d v="1899-12-31T07:32:00"/>
    <s v="POSITION1"/>
    <x v="5"/>
    <x v="209"/>
  </r>
  <r>
    <n v="235476"/>
    <s v="People626"/>
    <s v="department"/>
    <s v="REGION6"/>
    <s v="STORE218"/>
    <s v="MANAGER78"/>
    <s v="POSITIVO"/>
    <d v="1899-12-31T05:00:00"/>
    <m/>
    <d v="1899-12-31T05:00:00"/>
    <s v="POSITION9"/>
    <x v="5"/>
    <x v="217"/>
  </r>
  <r>
    <n v="222890"/>
    <s v="People627"/>
    <s v="department"/>
    <s v="REGION6"/>
    <s v="STORE219"/>
    <s v="MANAGER78"/>
    <s v="POSITIVO"/>
    <d v="1899-12-31T04:17:00"/>
    <m/>
    <d v="1899-12-31T04:17:00"/>
    <s v="POSITION9"/>
    <x v="5"/>
    <x v="218"/>
  </r>
  <r>
    <n v="237421"/>
    <s v="People628"/>
    <s v="department"/>
    <s v="REGION6"/>
    <s v="STORE220"/>
    <s v="MANAGER78"/>
    <s v="POSITIVO"/>
    <d v="1899-12-31T03:56:00"/>
    <m/>
    <d v="1899-12-31T03:56:00"/>
    <s v="POSITION2"/>
    <x v="5"/>
    <x v="219"/>
  </r>
  <r>
    <n v="219427"/>
    <s v="People629"/>
    <s v="department"/>
    <s v="REGION6"/>
    <s v="STORE206"/>
    <s v="MANAGER80"/>
    <s v="POSITIVO"/>
    <d v="1899-12-31T03:30:00"/>
    <m/>
    <d v="1899-12-31T03:30:00"/>
    <s v="POSITION3"/>
    <x v="5"/>
    <x v="205"/>
  </r>
  <r>
    <n v="233564"/>
    <s v="People630"/>
    <s v="department"/>
    <s v="REGION6"/>
    <s v="STORE215"/>
    <s v="MANAGER83"/>
    <s v="POSITIVO"/>
    <d v="1899-12-31T03:26:00"/>
    <m/>
    <d v="1899-12-31T03:26:00"/>
    <s v="POSITION1"/>
    <x v="5"/>
    <x v="214"/>
  </r>
  <r>
    <n v="236588"/>
    <s v="People631"/>
    <s v="department"/>
    <s v="REGION6"/>
    <s v="STORE221"/>
    <s v="MANAGER83"/>
    <s v="POSITIVO"/>
    <d v="1899-12-31T03:23:00"/>
    <m/>
    <d v="1899-12-31T03:23:00"/>
    <s v="POSITION3"/>
    <x v="5"/>
    <x v="220"/>
  </r>
  <r>
    <n v="222075"/>
    <s v="People632"/>
    <s v="department"/>
    <s v="REGION6"/>
    <s v="STORE206"/>
    <s v="MANAGER80"/>
    <s v="POSITIVO"/>
    <d v="1899-12-31T01:40:00"/>
    <m/>
    <d v="1899-12-31T01:40:00"/>
    <s v="POSITION3"/>
    <x v="5"/>
    <x v="205"/>
  </r>
  <r>
    <n v="236521"/>
    <s v="People633"/>
    <s v="department"/>
    <s v="REGION6"/>
    <s v="STORE212"/>
    <s v="MANAGER74"/>
    <s v="POSITIVO"/>
    <d v="1899-12-31T01:27:00"/>
    <m/>
    <d v="1899-12-31T01:27:00"/>
    <s v="POSITION3"/>
    <x v="5"/>
    <x v="211"/>
  </r>
  <r>
    <n v="236514"/>
    <s v="People634"/>
    <s v="department"/>
    <s v="REGION6"/>
    <s v="STORE199"/>
    <s v="MANAGER74"/>
    <s v="POSITIVO"/>
    <d v="1899-12-31T01:02:00"/>
    <m/>
    <d v="1899-12-31T01:02:00"/>
    <s v="POSITION1"/>
    <x v="5"/>
    <x v="198"/>
  </r>
  <r>
    <n v="217780"/>
    <s v="People635"/>
    <s v="department"/>
    <s v="REGION6"/>
    <s v="STORE222"/>
    <s v="MANAGER78"/>
    <s v="POSITIVO"/>
    <d v="1899-12-31T00:56:00"/>
    <m/>
    <d v="1899-12-31T00:56:00"/>
    <s v="POSITION9"/>
    <x v="5"/>
    <x v="221"/>
  </r>
  <r>
    <n v="230808"/>
    <s v="People636"/>
    <s v="department"/>
    <s v="REGION6"/>
    <s v="STORE223"/>
    <s v="MANAGER84"/>
    <s v="POSITIVO"/>
    <d v="1899-12-31T00:24:00"/>
    <m/>
    <d v="1899-12-31T00:24:00"/>
    <s v="POSITION3"/>
    <x v="5"/>
    <x v="222"/>
  </r>
  <r>
    <n v="233500"/>
    <s v="People637"/>
    <s v="department"/>
    <s v="REGION6"/>
    <s v="STORE212"/>
    <s v="MANAGER74"/>
    <s v="POSITIVO"/>
    <d v="1899-12-30T23:46:00"/>
    <m/>
    <d v="1899-12-30T23:46:00"/>
    <s v="POSITION3"/>
    <x v="5"/>
    <x v="211"/>
  </r>
  <r>
    <n v="233838"/>
    <s v="People638"/>
    <s v="department"/>
    <s v="REGION6"/>
    <s v="STORE214"/>
    <s v="MANAGER79"/>
    <s v="POSITIVO"/>
    <d v="1899-12-30T23:25:00"/>
    <m/>
    <d v="1899-12-30T23:25:00"/>
    <s v="POSITION1"/>
    <x v="5"/>
    <x v="213"/>
  </r>
  <r>
    <n v="202644"/>
    <s v="People639"/>
    <s v="department"/>
    <s v="REGION6"/>
    <s v="STORE213"/>
    <s v="MANAGER75"/>
    <s v="POSITIVO"/>
    <d v="1899-12-30T21:16:00"/>
    <m/>
    <d v="1899-12-30T21:16:00"/>
    <s v="POSITION1"/>
    <x v="5"/>
    <x v="212"/>
  </r>
  <r>
    <n v="203258"/>
    <s v="People640"/>
    <s v="department"/>
    <s v="REGION6"/>
    <s v="STORE204"/>
    <s v="MANAGER76"/>
    <s v="POSITIVO"/>
    <d v="1899-12-30T20:38:00"/>
    <m/>
    <d v="1899-12-30T20:38:00"/>
    <s v="POSITION1"/>
    <x v="5"/>
    <x v="203"/>
  </r>
  <r>
    <n v="203144"/>
    <s v="People641"/>
    <s v="department"/>
    <s v="REGION6"/>
    <s v="STORE224"/>
    <s v="MANAGER82"/>
    <s v="POSITIVO"/>
    <d v="1899-12-30T19:35:00"/>
    <m/>
    <d v="1899-12-30T19:35:00"/>
    <s v="POSITION1"/>
    <x v="5"/>
    <x v="223"/>
  </r>
  <r>
    <n v="233269"/>
    <s v="People642"/>
    <s v="department"/>
    <s v="REGION6"/>
    <s v="STORE209"/>
    <s v="MANAGER73"/>
    <s v="POSITIVO"/>
    <d v="1899-12-30T19:06:00"/>
    <m/>
    <d v="1899-12-30T19:06:00"/>
    <s v="POSITION1"/>
    <x v="5"/>
    <x v="208"/>
  </r>
  <r>
    <n v="230034"/>
    <s v="People643"/>
    <s v="department"/>
    <s v="REGION6"/>
    <s v="STORE224"/>
    <s v="MANAGER82"/>
    <s v="POSITIVO"/>
    <d v="1899-12-30T18:54:00"/>
    <m/>
    <d v="1899-12-30T18:54:00"/>
    <s v="POSITION1"/>
    <x v="5"/>
    <x v="223"/>
  </r>
  <r>
    <n v="232238"/>
    <s v="People644"/>
    <s v="department"/>
    <s v="REGION6"/>
    <s v="STORE193"/>
    <s v="MANAGER72"/>
    <s v="POSITIVO"/>
    <d v="1899-12-30T18:33:00"/>
    <m/>
    <d v="1899-12-30T18:33:00"/>
    <s v="POSITION1"/>
    <x v="5"/>
    <x v="192"/>
  </r>
  <r>
    <n v="201250"/>
    <s v="People645"/>
    <s v="department"/>
    <s v="REGION6"/>
    <s v="STORE194"/>
    <s v="MANAGER73"/>
    <s v="POSITIVO"/>
    <d v="1899-12-30T17:06:00"/>
    <m/>
    <d v="1899-12-30T17:06:00"/>
    <s v="POSITION3"/>
    <x v="5"/>
    <x v="193"/>
  </r>
  <r>
    <n v="222543"/>
    <s v="People646"/>
    <s v="department"/>
    <s v="REGION6"/>
    <s v="STORE225"/>
    <s v="MANAGER78"/>
    <s v="POSITIVO"/>
    <d v="1899-12-30T17:03:00"/>
    <m/>
    <d v="1899-12-30T17:03:00"/>
    <s v="POSITION7"/>
    <x v="5"/>
    <x v="224"/>
  </r>
  <r>
    <n v="203305"/>
    <s v="People647"/>
    <s v="department"/>
    <s v="REGION6"/>
    <s v="STORE224"/>
    <s v="MANAGER82"/>
    <s v="POSITIVO"/>
    <d v="1899-12-30T16:15:00"/>
    <m/>
    <d v="1899-12-30T16:15:00"/>
    <s v="POSITION1"/>
    <x v="5"/>
    <x v="223"/>
  </r>
  <r>
    <n v="237633"/>
    <s v="People648"/>
    <s v="department"/>
    <s v="REGION6"/>
    <s v="STORE196"/>
    <s v="MANAGER71"/>
    <s v="POSITIVO"/>
    <d v="1899-12-30T15:23:00"/>
    <m/>
    <d v="1899-12-30T15:23:00"/>
    <s v="POSITION4"/>
    <x v="5"/>
    <x v="195"/>
  </r>
  <r>
    <n v="203385"/>
    <s v="People649"/>
    <s v="department"/>
    <s v="REGION6"/>
    <s v="STORE224"/>
    <s v="MANAGER82"/>
    <s v="POSITIVO"/>
    <d v="1899-12-30T15:16:00"/>
    <m/>
    <d v="1899-12-30T15:16:00"/>
    <s v="POSITION1"/>
    <x v="5"/>
    <x v="223"/>
  </r>
  <r>
    <n v="202078"/>
    <s v="People650"/>
    <s v="department"/>
    <s v="REGION6"/>
    <s v="STORE213"/>
    <s v="MANAGER75"/>
    <s v="POSITIVO"/>
    <d v="1899-12-30T14:46:00"/>
    <m/>
    <d v="1899-12-30T14:46:00"/>
    <s v="POSITION1"/>
    <x v="5"/>
    <x v="212"/>
  </r>
  <r>
    <n v="235982"/>
    <s v="People651"/>
    <s v="department"/>
    <s v="REGION6"/>
    <s v="STORE208"/>
    <s v="MANAGER81"/>
    <s v="POSITIVO"/>
    <d v="1899-12-30T14:42:00"/>
    <m/>
    <d v="1899-12-30T14:42:00"/>
    <s v="POSITION1"/>
    <x v="5"/>
    <x v="207"/>
  </r>
  <r>
    <n v="230259"/>
    <s v="People652"/>
    <s v="department"/>
    <s v="REGION6"/>
    <s v="STORE192"/>
    <s v="MANAGER71"/>
    <s v="POSITIVO"/>
    <d v="1899-12-30T13:57:00"/>
    <m/>
    <d v="1899-12-30T13:57:00"/>
    <s v="POSITION1"/>
    <x v="5"/>
    <x v="191"/>
  </r>
  <r>
    <n v="230304"/>
    <s v="People653"/>
    <s v="department"/>
    <s v="REGION6"/>
    <s v="STORE213"/>
    <s v="MANAGER75"/>
    <s v="POSITIVO"/>
    <d v="1899-12-30T13:43:00"/>
    <m/>
    <d v="1899-12-30T13:43:00"/>
    <s v="POSITION1"/>
    <x v="5"/>
    <x v="212"/>
  </r>
  <r>
    <n v="230587"/>
    <s v="People654"/>
    <s v="department"/>
    <s v="REGION6"/>
    <s v="STORE224"/>
    <s v="MANAGER82"/>
    <s v="POSITIVO"/>
    <d v="1899-12-30T13:27:00"/>
    <m/>
    <d v="1899-12-30T13:27:00"/>
    <s v="POSITION1"/>
    <x v="5"/>
    <x v="223"/>
  </r>
  <r>
    <n v="222842"/>
    <s v="People655"/>
    <s v="department"/>
    <s v="REGION6"/>
    <s v="STORE199"/>
    <s v="MANAGER74"/>
    <s v="POSITIVO"/>
    <d v="1899-12-30T13:08:00"/>
    <m/>
    <d v="1899-12-30T13:08:00"/>
    <s v="POSITION1"/>
    <x v="5"/>
    <x v="198"/>
  </r>
  <r>
    <n v="231226"/>
    <s v="People656"/>
    <s v="department"/>
    <s v="REGION6"/>
    <s v="STORE214"/>
    <s v="MANAGER79"/>
    <s v="POSITIVO"/>
    <d v="1899-12-30T13:04:00"/>
    <m/>
    <d v="1899-12-30T13:04:00"/>
    <s v="POSITION1"/>
    <x v="5"/>
    <x v="213"/>
  </r>
  <r>
    <n v="232918"/>
    <s v="People657"/>
    <s v="department"/>
    <s v="REGION6"/>
    <s v="STORE214"/>
    <s v="MANAGER79"/>
    <s v="POSITIVO"/>
    <d v="1899-12-30T12:03:00"/>
    <m/>
    <d v="1899-12-30T12:03:00"/>
    <s v="POSITION1"/>
    <x v="5"/>
    <x v="213"/>
  </r>
  <r>
    <n v="236304"/>
    <s v="People658"/>
    <s v="department"/>
    <s v="REGION6"/>
    <s v="STORE216"/>
    <s v="MANAGER84"/>
    <s v="POSITIVO"/>
    <d v="1899-12-30T11:58:00"/>
    <m/>
    <d v="1899-12-30T11:58:00"/>
    <s v="POSITION1"/>
    <x v="5"/>
    <x v="215"/>
  </r>
  <r>
    <n v="223561"/>
    <s v="People659"/>
    <s v="department"/>
    <s v="REGION6"/>
    <s v="STORE193"/>
    <s v="MANAGER72"/>
    <s v="POSITIVO"/>
    <d v="1899-12-30T11:29:00"/>
    <m/>
    <d v="1899-12-30T11:29:00"/>
    <s v="POSITION1"/>
    <x v="5"/>
    <x v="192"/>
  </r>
  <r>
    <n v="234853"/>
    <s v="People660"/>
    <s v="department"/>
    <s v="REGION6"/>
    <s v="STORE192"/>
    <s v="MANAGER71"/>
    <s v="POSITIVO"/>
    <d v="1899-12-30T11:24:00"/>
    <m/>
    <d v="1899-12-30T11:24:00"/>
    <s v="POSITION1"/>
    <x v="5"/>
    <x v="191"/>
  </r>
  <r>
    <n v="222380"/>
    <s v="People661"/>
    <s v="department"/>
    <s v="REGION6"/>
    <s v="STORE226"/>
    <s v="MANAGER78"/>
    <s v="POSITIVO"/>
    <d v="1899-12-30T11:19:00"/>
    <m/>
    <d v="1899-12-30T11:19:00"/>
    <s v="POSITION9"/>
    <x v="5"/>
    <x v="225"/>
  </r>
  <r>
    <n v="219371"/>
    <s v="People662"/>
    <s v="department"/>
    <s v="REGION6"/>
    <s v="STORE227"/>
    <s v="MANAGER78"/>
    <s v="POSITIVO"/>
    <d v="1899-12-30T10:55:00"/>
    <m/>
    <d v="1899-12-30T10:55:00"/>
    <s v="POSITION7"/>
    <x v="5"/>
    <x v="226"/>
  </r>
  <r>
    <n v="223317"/>
    <s v="People663"/>
    <s v="department"/>
    <s v="REGION6"/>
    <s v="STORE213"/>
    <s v="MANAGER75"/>
    <s v="POSITIVO"/>
    <d v="1899-12-30T10:43:00"/>
    <m/>
    <d v="1899-12-30T10:43:00"/>
    <s v="POSITION1"/>
    <x v="5"/>
    <x v="212"/>
  </r>
  <r>
    <n v="229877"/>
    <s v="People664"/>
    <s v="department"/>
    <s v="REGION6"/>
    <s v="STORE212"/>
    <s v="MANAGER74"/>
    <s v="POSITIVO"/>
    <d v="1899-12-30T10:34:00"/>
    <m/>
    <d v="1899-12-30T10:34:00"/>
    <s v="POSITION4"/>
    <x v="5"/>
    <x v="211"/>
  </r>
  <r>
    <n v="235243"/>
    <s v="People665"/>
    <s v="department"/>
    <s v="REGION6"/>
    <s v="STORE213"/>
    <s v="MANAGER75"/>
    <s v="POSITIVO"/>
    <d v="1899-12-30T10:19:00"/>
    <m/>
    <d v="1899-12-30T10:19:00"/>
    <s v="POSITION1"/>
    <x v="5"/>
    <x v="212"/>
  </r>
  <r>
    <n v="225263"/>
    <s v="People666"/>
    <s v="department"/>
    <s v="REGION6"/>
    <s v="STORE221"/>
    <s v="MANAGER83"/>
    <s v="POSITIVO"/>
    <d v="1899-12-30T09:09:00"/>
    <m/>
    <d v="1899-12-30T09:09:00"/>
    <s v="POSITION11"/>
    <x v="5"/>
    <x v="220"/>
  </r>
  <r>
    <n v="203332"/>
    <s v="People667"/>
    <s v="department"/>
    <s v="REGION6"/>
    <s v="STORE224"/>
    <s v="MANAGER82"/>
    <s v="POSITIVO"/>
    <d v="1899-12-30T08:32:00"/>
    <m/>
    <d v="1899-12-30T08:32:00"/>
    <s v="POSITION1"/>
    <x v="5"/>
    <x v="223"/>
  </r>
  <r>
    <n v="201280"/>
    <s v="People668"/>
    <s v="department"/>
    <s v="REGION6"/>
    <s v="STORE194"/>
    <s v="MANAGER73"/>
    <s v="POSITIVO"/>
    <d v="1899-12-30T08:18:00"/>
    <m/>
    <d v="1899-12-30T08:18:00"/>
    <s v="POSITION3"/>
    <x v="5"/>
    <x v="193"/>
  </r>
  <r>
    <n v="219778"/>
    <s v="People669"/>
    <s v="department"/>
    <s v="REGION6"/>
    <s v="STORE228"/>
    <s v="MANAGER78"/>
    <s v="POSITIVO"/>
    <d v="1899-12-30T07:57:00"/>
    <m/>
    <d v="1899-12-30T07:57:00"/>
    <s v="POSITION7"/>
    <x v="5"/>
    <x v="227"/>
  </r>
  <r>
    <n v="200858"/>
    <s v="People670"/>
    <s v="department"/>
    <s v="REGION6"/>
    <s v="STORE229"/>
    <s v="MANAGER78"/>
    <s v="POSITIVO"/>
    <d v="1899-12-30T07:18:00"/>
    <m/>
    <d v="1899-12-30T07:18:00"/>
    <s v="POSITION7"/>
    <x v="5"/>
    <x v="228"/>
  </r>
  <r>
    <n v="236529"/>
    <s v="People671"/>
    <s v="department"/>
    <s v="REGION6"/>
    <s v="STORE211"/>
    <s v="MANAGER82"/>
    <s v="POSITIVO"/>
    <d v="1899-12-30T07:07:00"/>
    <m/>
    <d v="1899-12-30T07:07:00"/>
    <s v="POSITION3"/>
    <x v="5"/>
    <x v="210"/>
  </r>
  <r>
    <n v="237178"/>
    <s v="People672"/>
    <s v="department"/>
    <s v="REGION6"/>
    <s v="STORE223"/>
    <s v="MANAGER84"/>
    <s v="POSITIVO"/>
    <d v="1899-12-30T06:54:00"/>
    <m/>
    <d v="1899-12-30T06:54:00"/>
    <s v="POSITION4"/>
    <x v="5"/>
    <x v="222"/>
  </r>
  <r>
    <n v="223095"/>
    <s v="People673"/>
    <s v="department"/>
    <s v="REGION6"/>
    <s v="STORE199"/>
    <s v="MANAGER74"/>
    <s v="POSITIVO"/>
    <d v="1899-12-30T06:40:00"/>
    <m/>
    <d v="1899-12-30T06:40:00"/>
    <s v="POSITION1"/>
    <x v="5"/>
    <x v="198"/>
  </r>
  <r>
    <n v="236041"/>
    <s v="People674"/>
    <s v="department"/>
    <s v="REGION6"/>
    <s v="STORE230"/>
    <s v="MANAGER78"/>
    <s v="POSITIVO"/>
    <d v="1899-12-30T06:30:00"/>
    <m/>
    <d v="1899-12-30T06:30:00"/>
    <s v="POSITION2"/>
    <x v="5"/>
    <x v="229"/>
  </r>
  <r>
    <n v="236499"/>
    <s v="People675"/>
    <s v="department"/>
    <s v="REGION6"/>
    <s v="STORE211"/>
    <s v="MANAGER82"/>
    <s v="POSITIVO"/>
    <d v="1899-12-30T06:17:00"/>
    <m/>
    <d v="1899-12-30T06:17:00"/>
    <s v="POSITION3"/>
    <x v="5"/>
    <x v="210"/>
  </r>
  <r>
    <n v="203549"/>
    <s v="People676"/>
    <s v="department"/>
    <s v="REGION6"/>
    <s v="STORE209"/>
    <s v="MANAGER73"/>
    <s v="POSITIVO"/>
    <d v="1899-12-30T06:13:00"/>
    <m/>
    <d v="1899-12-30T06:13:00"/>
    <s v="POSITION1"/>
    <x v="5"/>
    <x v="208"/>
  </r>
  <r>
    <n v="231994"/>
    <s v="People677"/>
    <s v="department"/>
    <s v="REGION6"/>
    <s v="STORE205"/>
    <s v="MANAGER80"/>
    <s v="POSITIVO"/>
    <d v="1899-12-30T05:14:00"/>
    <m/>
    <d v="1899-12-30T05:14:00"/>
    <s v="POSITION1"/>
    <x v="5"/>
    <x v="204"/>
  </r>
  <r>
    <n v="237749"/>
    <s v="People678"/>
    <s v="department"/>
    <s v="REGION6"/>
    <s v="STORE211"/>
    <s v="MANAGER82"/>
    <s v="POSITIVO"/>
    <d v="1899-12-30T04:44:00"/>
    <m/>
    <d v="1899-12-30T04:44:00"/>
    <s v="POSITION4"/>
    <x v="5"/>
    <x v="210"/>
  </r>
  <r>
    <n v="236321"/>
    <s v="People679"/>
    <s v="department"/>
    <s v="REGION6"/>
    <s v="STORE231"/>
    <s v="MANAGER78"/>
    <s v="POSITIVO"/>
    <d v="1899-12-30T04:28:00"/>
    <m/>
    <d v="1899-12-30T04:28:00"/>
    <s v="POSITION2"/>
    <x v="5"/>
    <x v="230"/>
  </r>
  <r>
    <n v="230374"/>
    <s v="People680"/>
    <s v="department"/>
    <s v="REGION6"/>
    <s v="STORE214"/>
    <s v="MANAGER79"/>
    <s v="POSITIVO"/>
    <d v="1899-12-30T04:00:00"/>
    <m/>
    <d v="1899-12-30T04:00:00"/>
    <s v="POSITION1"/>
    <x v="5"/>
    <x v="213"/>
  </r>
  <r>
    <n v="219370"/>
    <s v="People681"/>
    <s v="department"/>
    <s v="REGION6"/>
    <s v="STORE232"/>
    <s v="MANAGER78"/>
    <s v="POSITIVO"/>
    <d v="1899-12-30T03:30:00"/>
    <m/>
    <d v="1899-12-30T03:30:00"/>
    <s v="POSITION7"/>
    <x v="5"/>
    <x v="231"/>
  </r>
  <r>
    <n v="235236"/>
    <s v="People682"/>
    <s v="department"/>
    <s v="REGION6"/>
    <s v="STORE211"/>
    <s v="MANAGER82"/>
    <s v="POSITIVO"/>
    <d v="1899-12-30T03:05:00"/>
    <m/>
    <d v="1899-12-30T03:05:00"/>
    <s v="POSITION3"/>
    <x v="5"/>
    <x v="210"/>
  </r>
  <r>
    <n v="202385"/>
    <s v="People683"/>
    <s v="department"/>
    <s v="REGION6"/>
    <s v="STORE196"/>
    <s v="MANAGER71"/>
    <s v="POSITIVO"/>
    <d v="1899-12-30T03:00:00"/>
    <m/>
    <d v="1899-12-30T03:00:00"/>
    <s v="POSITION3"/>
    <x v="5"/>
    <x v="195"/>
  </r>
  <r>
    <n v="236306"/>
    <s v="People684"/>
    <s v="department"/>
    <s v="REGION6"/>
    <s v="STORE216"/>
    <s v="MANAGER84"/>
    <s v="POSITIVO"/>
    <d v="1899-12-30T02:39:00"/>
    <m/>
    <d v="1899-12-30T02:39:00"/>
    <s v="POSITION1"/>
    <x v="5"/>
    <x v="215"/>
  </r>
  <r>
    <n v="235980"/>
    <s v="People685"/>
    <s v="department"/>
    <s v="REGION6"/>
    <s v="STORE207"/>
    <s v="MANAGER81"/>
    <s v="POSITIVO"/>
    <d v="1899-12-30T02:05:00"/>
    <m/>
    <d v="1899-12-30T02:05:00"/>
    <s v="POSITION4"/>
    <x v="5"/>
    <x v="206"/>
  </r>
  <r>
    <n v="238110"/>
    <s v="People686"/>
    <s v="department"/>
    <s v="REGION6"/>
    <s v="STORE201"/>
    <s v="MANAGER77"/>
    <s v="POSITIVO"/>
    <d v="1899-12-30T01:14:00"/>
    <m/>
    <d v="1899-12-30T01:14:00"/>
    <s v="POSITION1"/>
    <x v="5"/>
    <x v="200"/>
  </r>
  <r>
    <n v="235897"/>
    <s v="People687"/>
    <s v="department"/>
    <s v="REGION6"/>
    <s v="STORE224"/>
    <s v="MANAGER82"/>
    <s v="POSITIVO"/>
    <d v="1899-12-30T01:00:00"/>
    <m/>
    <d v="1899-12-30T01:00:00"/>
    <s v="POSITION1"/>
    <x v="5"/>
    <x v="223"/>
  </r>
  <r>
    <n v="224789"/>
    <s v="People688"/>
    <s v="department"/>
    <s v="REGION6"/>
    <s v="STORE213"/>
    <s v="MANAGER75"/>
    <s v="POSITIVO"/>
    <d v="1899-12-30T00:34:00"/>
    <m/>
    <d v="1899-12-30T00:34:00"/>
    <s v="POSITION1"/>
    <x v="5"/>
    <x v="212"/>
  </r>
  <r>
    <n v="225194"/>
    <s v="People689"/>
    <s v="department"/>
    <s v="REGION6"/>
    <s v="STORE215"/>
    <s v="MANAGER83"/>
    <s v="POSITIVO"/>
    <d v="1899-12-30T00:28:00"/>
    <m/>
    <d v="1899-12-30T00:28:00"/>
    <s v="POSITION1"/>
    <x v="5"/>
    <x v="214"/>
  </r>
  <r>
    <n v="229419"/>
    <s v="People690"/>
    <s v="department"/>
    <s v="REGION6"/>
    <s v="STORE233"/>
    <s v="MANAGER77"/>
    <s v="POSITIVO"/>
    <d v="1899-12-30T00:10:00"/>
    <m/>
    <d v="1899-12-30T00:10:00"/>
    <s v="POSITION11"/>
    <x v="5"/>
    <x v="232"/>
  </r>
  <r>
    <n v="222895"/>
    <s v="People691"/>
    <s v="department"/>
    <s v="REGION6"/>
    <s v="STORE201"/>
    <s v="MANAGER77"/>
    <s v="POSITIVO"/>
    <d v="1899-12-30T00:09:00"/>
    <m/>
    <d v="1899-12-30T00:09:00"/>
    <s v="POSITION1"/>
    <x v="5"/>
    <x v="200"/>
  </r>
  <r>
    <n v="236275"/>
    <s v="People692"/>
    <s v="department"/>
    <s v="REGION6"/>
    <s v="STORE201"/>
    <s v="MANAGER77"/>
    <s v="POSITIVO"/>
    <d v="1899-12-30T00:02:00"/>
    <m/>
    <d v="1899-12-30T00:02:00"/>
    <s v="POSITION1"/>
    <x v="5"/>
    <x v="200"/>
  </r>
  <r>
    <n v="230421"/>
    <s v="People693"/>
    <s v="department"/>
    <s v="REGION6"/>
    <s v="STORE233"/>
    <s v="MANAGER77"/>
    <s v="POSITIVO"/>
    <d v="1899-12-30T00:01:00"/>
    <m/>
    <d v="1899-12-30T00:01:00"/>
    <s v="POSITION3"/>
    <x v="5"/>
    <x v="232"/>
  </r>
  <r>
    <n v="232415"/>
    <s v="People694"/>
    <s v="department"/>
    <s v="REGION7"/>
    <s v="STORE234"/>
    <s v="MANAGER85"/>
    <s v="NEGATIVO"/>
    <d v="1899-12-31T04:34:00"/>
    <d v="1899-12-31T04:34:00"/>
    <m/>
    <s v="POSITION1"/>
    <x v="6"/>
    <x v="233"/>
  </r>
  <r>
    <n v="202185"/>
    <s v="People695"/>
    <s v="department"/>
    <s v="REGION7"/>
    <s v="STORE235"/>
    <s v="MANAGER86"/>
    <s v="NEGATIVO"/>
    <d v="1899-12-30T00:37:00"/>
    <d v="1899-12-30T00:37:00"/>
    <m/>
    <s v="POSITION1"/>
    <x v="6"/>
    <x v="234"/>
  </r>
  <r>
    <n v="220809"/>
    <s v="People696"/>
    <s v="department"/>
    <s v="REGION7"/>
    <s v="STORE236"/>
    <s v="MANAGER87"/>
    <s v="NEGATIVO"/>
    <d v="1899-12-31T17:35:00"/>
    <d v="1899-12-31T17:35:00"/>
    <m/>
    <s v="POSITION4"/>
    <x v="6"/>
    <x v="235"/>
  </r>
  <r>
    <n v="224554"/>
    <s v="People697"/>
    <s v="department"/>
    <s v="REGION7"/>
    <s v="STORE236"/>
    <s v="MANAGER87"/>
    <s v="NEGATIVO"/>
    <d v="1899-12-30T01:07:00"/>
    <d v="1899-12-30T01:07:00"/>
    <m/>
    <s v="POSITION4"/>
    <x v="6"/>
    <x v="235"/>
  </r>
  <r>
    <n v="231511"/>
    <s v="People698"/>
    <s v="department"/>
    <s v="REGION7"/>
    <s v="STORE237"/>
    <s v="MANAGER87"/>
    <s v="NEGATIVO"/>
    <d v="1899-12-31T04:19:00"/>
    <d v="1899-12-31T04:19:00"/>
    <m/>
    <s v="POSITION1"/>
    <x v="6"/>
    <x v="236"/>
  </r>
  <r>
    <n v="233747"/>
    <s v="People699"/>
    <s v="department"/>
    <s v="REGION7"/>
    <s v="STORE238"/>
    <s v="MANAGER88"/>
    <s v="NEGATIVO"/>
    <d v="1899-12-30T07:11:00"/>
    <d v="1899-12-30T07:11:00"/>
    <m/>
    <s v="POSITION4"/>
    <x v="6"/>
    <x v="237"/>
  </r>
  <r>
    <n v="234669"/>
    <s v="People700"/>
    <s v="department"/>
    <s v="REGION7"/>
    <s v="STORE239"/>
    <s v="MANAGER89"/>
    <s v="NEGATIVO"/>
    <d v="1899-12-30T04:56:00"/>
    <d v="1899-12-30T04:56:00"/>
    <m/>
    <s v="POSITION4"/>
    <x v="6"/>
    <x v="238"/>
  </r>
  <r>
    <n v="232034"/>
    <s v="People701"/>
    <s v="department"/>
    <s v="REGION7"/>
    <s v="STORE240"/>
    <s v="MANAGER86"/>
    <s v="NEGATIVO"/>
    <d v="1899-12-30T21:10:00"/>
    <d v="1899-12-30T21:10:00"/>
    <m/>
    <s v="POSITION1"/>
    <x v="6"/>
    <x v="239"/>
  </r>
  <r>
    <n v="221964"/>
    <s v="People702"/>
    <s v="department"/>
    <s v="REGION7"/>
    <s v="STORE239"/>
    <s v="MANAGER89"/>
    <s v="NEGATIVO"/>
    <d v="1899-12-30T09:56:00"/>
    <d v="1899-12-30T09:56:00"/>
    <m/>
    <s v="POSITION3"/>
    <x v="6"/>
    <x v="238"/>
  </r>
  <r>
    <n v="225492"/>
    <s v="People703"/>
    <s v="department"/>
    <s v="REGION7"/>
    <s v="STORE241"/>
    <s v="MANAGER88"/>
    <s v="NEGATIVO"/>
    <d v="1899-12-30T01:06:00"/>
    <d v="1899-12-30T01:06:00"/>
    <m/>
    <s v="POSITION1"/>
    <x v="6"/>
    <x v="240"/>
  </r>
  <r>
    <n v="233179"/>
    <s v="People704"/>
    <s v="department"/>
    <s v="REGION7"/>
    <s v="STORE235"/>
    <s v="MANAGER86"/>
    <s v="NEGATIVO"/>
    <d v="1899-12-30T01:34:00"/>
    <d v="1899-12-30T01:34:00"/>
    <m/>
    <s v="POSITION1"/>
    <x v="6"/>
    <x v="234"/>
  </r>
  <r>
    <n v="225600"/>
    <s v="People705"/>
    <s v="department"/>
    <s v="REGION7"/>
    <s v="STORE241"/>
    <s v="MANAGER88"/>
    <s v="NEGATIVO"/>
    <d v="1900-01-02T17:20:00"/>
    <d v="1900-01-02T17:20:00"/>
    <m/>
    <s v="POSITION1"/>
    <x v="6"/>
    <x v="240"/>
  </r>
  <r>
    <n v="229718"/>
    <s v="People706"/>
    <s v="department"/>
    <s v="REGION7"/>
    <s v="STORE242"/>
    <s v="MANAGER88"/>
    <s v="NEGATIVO"/>
    <d v="1900-02-01T05:18:00"/>
    <d v="1900-02-01T05:18:00"/>
    <m/>
    <s v="POSITION3"/>
    <x v="6"/>
    <x v="241"/>
  </r>
  <r>
    <n v="235800"/>
    <s v="People707"/>
    <s v="department"/>
    <s v="REGION7"/>
    <s v="STORE243"/>
    <s v="MANAGER90"/>
    <s v="NEGATIVO"/>
    <d v="1899-12-31T17:02:00"/>
    <d v="1899-12-31T17:02:00"/>
    <m/>
    <s v="POSITION3"/>
    <x v="6"/>
    <x v="242"/>
  </r>
  <r>
    <n v="202805"/>
    <s v="People708"/>
    <s v="department"/>
    <s v="REGION7"/>
    <s v="STORE244"/>
    <s v="MANAGER91"/>
    <s v="NEGATIVO"/>
    <d v="1900-01-14T02:18:00"/>
    <d v="1900-01-14T02:18:00"/>
    <m/>
    <s v="POSITION1"/>
    <x v="6"/>
    <x v="243"/>
  </r>
  <r>
    <n v="234640"/>
    <s v="People709"/>
    <s v="department"/>
    <s v="REGION7"/>
    <s v="STORE239"/>
    <s v="MANAGER89"/>
    <s v="NEGATIVO"/>
    <d v="1899-12-30T06:16:00"/>
    <d v="1899-12-30T06:16:00"/>
    <m/>
    <s v="POSITION3"/>
    <x v="6"/>
    <x v="238"/>
  </r>
  <r>
    <n v="230573"/>
    <s v="People710"/>
    <s v="department"/>
    <s v="REGION7"/>
    <s v="STORE245"/>
    <s v="MANAGER92"/>
    <s v="NEGATIVO"/>
    <d v="1899-12-30T05:17:00"/>
    <d v="1899-12-30T05:17:00"/>
    <m/>
    <s v="POSITION3"/>
    <x v="6"/>
    <x v="244"/>
  </r>
  <r>
    <n v="217948"/>
    <s v="People711"/>
    <s v="department"/>
    <s v="REGION7"/>
    <s v="STORE246"/>
    <s v="MANAGER93"/>
    <s v="NEGATIVO"/>
    <d v="1899-12-30T04:00:00"/>
    <d v="1899-12-30T04:00:00"/>
    <m/>
    <s v="POSITION4"/>
    <x v="6"/>
    <x v="245"/>
  </r>
  <r>
    <n v="234649"/>
    <s v="People712"/>
    <s v="department"/>
    <s v="REGION7"/>
    <s v="STORE247"/>
    <s v="MANAGER93"/>
    <s v="NEGATIVO"/>
    <d v="1899-12-30T03:49:00"/>
    <d v="1899-12-30T03:49:00"/>
    <m/>
    <s v="POSITION1"/>
    <x v="6"/>
    <x v="246"/>
  </r>
  <r>
    <n v="224329"/>
    <s v="People713"/>
    <s v="department"/>
    <s v="REGION7"/>
    <s v="STORE248"/>
    <s v="MANAGER94"/>
    <s v="NEGATIVO"/>
    <d v="1899-12-30T01:10:00"/>
    <d v="1899-12-30T01:10:00"/>
    <m/>
    <s v="POSITION1"/>
    <x v="6"/>
    <x v="247"/>
  </r>
  <r>
    <n v="231761"/>
    <s v="People714"/>
    <s v="department"/>
    <s v="REGION7"/>
    <s v="STORE244"/>
    <s v="MANAGER91"/>
    <s v="NEGATIVO"/>
    <d v="1899-12-31T10:35:00"/>
    <d v="1899-12-31T10:35:00"/>
    <m/>
    <s v="POSITION1"/>
    <x v="6"/>
    <x v="243"/>
  </r>
  <r>
    <n v="203428"/>
    <s v="People715"/>
    <s v="department"/>
    <s v="REGION7"/>
    <s v="STORE249"/>
    <s v="MANAGER95"/>
    <s v="NEGATIVO"/>
    <d v="1899-12-30T11:01:00"/>
    <d v="1899-12-30T11:01:00"/>
    <m/>
    <s v="POSITION8"/>
    <x v="6"/>
    <x v="248"/>
  </r>
  <r>
    <n v="232671"/>
    <s v="People716"/>
    <s v="department"/>
    <s v="REGION7"/>
    <s v="STORE250"/>
    <s v="MANAGER90"/>
    <s v="NEGATIVO"/>
    <d v="1900-01-02T08:53:00"/>
    <d v="1900-01-02T08:53:00"/>
    <m/>
    <s v="POSITION1"/>
    <x v="6"/>
    <x v="249"/>
  </r>
  <r>
    <n v="235849"/>
    <s v="People717"/>
    <s v="department"/>
    <s v="REGION7"/>
    <s v="STORE244"/>
    <s v="MANAGER91"/>
    <s v="NEGATIVO"/>
    <d v="1900-01-12T22:41:00"/>
    <d v="1900-01-12T22:41:00"/>
    <m/>
    <s v="POSITION1"/>
    <x v="6"/>
    <x v="243"/>
  </r>
  <r>
    <n v="231164"/>
    <s v="People718"/>
    <s v="department"/>
    <s v="REGION7"/>
    <s v="STORE234"/>
    <s v="MANAGER85"/>
    <s v="NEGATIVO"/>
    <d v="1899-12-30T20:29:00"/>
    <d v="1899-12-30T20:29:00"/>
    <m/>
    <s v="POSITION1"/>
    <x v="6"/>
    <x v="233"/>
  </r>
  <r>
    <n v="231646"/>
    <s v="People719"/>
    <s v="department"/>
    <s v="REGION7"/>
    <s v="STORE251"/>
    <s v="MANAGER96"/>
    <s v="NEGATIVO"/>
    <d v="1899-12-30T14:14:00"/>
    <d v="1899-12-30T14:14:00"/>
    <m/>
    <s v="POSITION1"/>
    <x v="6"/>
    <x v="250"/>
  </r>
  <r>
    <n v="203601"/>
    <s v="People720"/>
    <s v="department"/>
    <s v="REGION7"/>
    <s v="STORE237"/>
    <s v="MANAGER87"/>
    <s v="NEGATIVO"/>
    <d v="1899-12-30T09:02:00"/>
    <d v="1899-12-30T09:02:00"/>
    <m/>
    <s v="POSITION1"/>
    <x v="6"/>
    <x v="236"/>
  </r>
  <r>
    <n v="203448"/>
    <s v="People721"/>
    <s v="department"/>
    <s v="REGION7"/>
    <s v="STORE250"/>
    <s v="MANAGER90"/>
    <s v="NEGATIVO"/>
    <d v="1900-01-01T19:47:00"/>
    <d v="1900-01-01T19:47:00"/>
    <m/>
    <s v="POSITION1"/>
    <x v="6"/>
    <x v="249"/>
  </r>
  <r>
    <n v="224949"/>
    <s v="People722"/>
    <s v="department"/>
    <s v="REGION7"/>
    <s v="STORE247"/>
    <s v="MANAGER93"/>
    <s v="NEGATIVO"/>
    <d v="1899-12-30T03:21:00"/>
    <d v="1899-12-30T03:21:00"/>
    <m/>
    <s v="POSITION1"/>
    <x v="6"/>
    <x v="246"/>
  </r>
  <r>
    <n v="234373"/>
    <s v="People723"/>
    <s v="department"/>
    <s v="REGION7"/>
    <s v="STORE252"/>
    <s v="MANAGER92"/>
    <s v="NEGATIVO"/>
    <d v="1899-12-30T11:47:00"/>
    <d v="1899-12-30T11:47:00"/>
    <m/>
    <s v="POSITION1"/>
    <x v="6"/>
    <x v="251"/>
  </r>
  <r>
    <n v="229319"/>
    <s v="People724"/>
    <s v="department"/>
    <s v="REGION7"/>
    <s v="STORE253"/>
    <s v="MANAGER91"/>
    <s v="NEGATIVO"/>
    <d v="1900-01-10T17:52:00"/>
    <d v="1900-01-10T17:52:00"/>
    <m/>
    <s v="POSITION3"/>
    <x v="6"/>
    <x v="252"/>
  </r>
  <r>
    <n v="232546"/>
    <s v="People725"/>
    <s v="department"/>
    <s v="REGION7"/>
    <s v="STORE248"/>
    <s v="MANAGER94"/>
    <s v="NEGATIVO"/>
    <d v="1899-12-30T04:40:00"/>
    <d v="1899-12-30T04:40:00"/>
    <m/>
    <s v="POSITION1"/>
    <x v="6"/>
    <x v="247"/>
  </r>
  <r>
    <n v="202808"/>
    <s v="People726"/>
    <s v="department"/>
    <s v="REGION7"/>
    <s v="STORE254"/>
    <s v="MANAGER89"/>
    <s v="NEGATIVO"/>
    <d v="1899-12-31T10:43:00"/>
    <d v="1899-12-31T10:43:00"/>
    <m/>
    <s v="POSITION1"/>
    <x v="6"/>
    <x v="253"/>
  </r>
  <r>
    <n v="230743"/>
    <s v="People727"/>
    <s v="department"/>
    <s v="REGION7"/>
    <s v="STORE245"/>
    <s v="MANAGER92"/>
    <s v="NEGATIVO"/>
    <d v="1899-12-30T02:20:00"/>
    <d v="1899-12-30T02:20:00"/>
    <m/>
    <s v="POSITION4"/>
    <x v="6"/>
    <x v="244"/>
  </r>
  <r>
    <n v="233466"/>
    <s v="People728"/>
    <s v="department"/>
    <s v="REGION7"/>
    <s v="STORE236"/>
    <s v="MANAGER87"/>
    <s v="NEGATIVO"/>
    <d v="1899-12-31T11:26:00"/>
    <d v="1899-12-31T11:26:00"/>
    <m/>
    <s v="POSITION5"/>
    <x v="6"/>
    <x v="235"/>
  </r>
  <r>
    <n v="232900"/>
    <s v="People729"/>
    <s v="department"/>
    <s v="REGION7"/>
    <s v="STORE254"/>
    <s v="MANAGER89"/>
    <s v="NEGATIVO"/>
    <d v="1899-12-30T09:32:00"/>
    <d v="1899-12-30T09:32:00"/>
    <m/>
    <s v="POSITION1"/>
    <x v="6"/>
    <x v="253"/>
  </r>
  <r>
    <n v="234910"/>
    <s v="People730"/>
    <s v="department"/>
    <s v="REGION7"/>
    <s v="STORE247"/>
    <s v="MANAGER93"/>
    <s v="NEGATIVO"/>
    <d v="1899-12-30T08:51:00"/>
    <d v="1899-12-30T08:51:00"/>
    <m/>
    <s v="POSITION1"/>
    <x v="6"/>
    <x v="246"/>
  </r>
  <r>
    <n v="231742"/>
    <s v="People731"/>
    <s v="department"/>
    <s v="REGION7"/>
    <s v="STORE244"/>
    <s v="MANAGER91"/>
    <s v="NEGATIVO"/>
    <d v="1900-01-14T23:54:00"/>
    <d v="1900-01-14T23:54:00"/>
    <m/>
    <s v="POSITION1"/>
    <x v="6"/>
    <x v="243"/>
  </r>
  <r>
    <n v="224123"/>
    <s v="People732"/>
    <s v="department"/>
    <s v="REGION7"/>
    <s v="STORE246"/>
    <s v="MANAGER93"/>
    <s v="NEGATIVO"/>
    <d v="1899-12-30T09:18:00"/>
    <d v="1899-12-30T09:18:00"/>
    <m/>
    <s v="POSITION5"/>
    <x v="6"/>
    <x v="245"/>
  </r>
  <r>
    <n v="237726"/>
    <s v="People733"/>
    <s v="department"/>
    <s v="REGION7"/>
    <s v="STORE254"/>
    <s v="MANAGER89"/>
    <s v="NEGATIVO"/>
    <d v="1899-12-30T08:16:00"/>
    <d v="1899-12-30T08:16:00"/>
    <m/>
    <s v="POSITION1"/>
    <x v="6"/>
    <x v="253"/>
  </r>
  <r>
    <n v="232452"/>
    <s v="People734"/>
    <s v="department"/>
    <s v="REGION7"/>
    <s v="STORE251"/>
    <s v="MANAGER96"/>
    <s v="NEGATIVO"/>
    <d v="1899-12-30T06:07:00"/>
    <d v="1899-12-30T06:07:00"/>
    <m/>
    <s v="POSITION1"/>
    <x v="6"/>
    <x v="250"/>
  </r>
  <r>
    <n v="203504"/>
    <s v="People735"/>
    <s v="department"/>
    <s v="REGION7"/>
    <s v="STORE244"/>
    <s v="MANAGER91"/>
    <s v="NEGATIVO"/>
    <d v="1900-01-07T02:19:00"/>
    <d v="1900-01-07T02:19:00"/>
    <m/>
    <s v="POSITION1"/>
    <x v="6"/>
    <x v="243"/>
  </r>
  <r>
    <n v="234153"/>
    <s v="People736"/>
    <s v="department"/>
    <s v="REGION7"/>
    <s v="STORE255"/>
    <s v="MANAGER95"/>
    <s v="NEGATIVO"/>
    <d v="1899-12-30T00:52:00"/>
    <d v="1899-12-30T00:52:00"/>
    <m/>
    <s v="POSITION2"/>
    <x v="6"/>
    <x v="254"/>
  </r>
  <r>
    <n v="203114"/>
    <s v="People737"/>
    <s v="department"/>
    <s v="REGION7"/>
    <s v="STORE254"/>
    <s v="MANAGER89"/>
    <s v="NEGATIVO"/>
    <d v="1899-12-30T08:41:00"/>
    <d v="1899-12-30T08:41:00"/>
    <m/>
    <s v="POSITION1"/>
    <x v="6"/>
    <x v="253"/>
  </r>
  <r>
    <n v="238205"/>
    <s v="People738"/>
    <s v="department"/>
    <s v="REGION7"/>
    <s v="STORE238"/>
    <s v="MANAGER88"/>
    <s v="NEGATIVO"/>
    <d v="1899-12-30T00:52:00"/>
    <d v="1899-12-30T00:52:00"/>
    <m/>
    <s v="POSITION3"/>
    <x v="6"/>
    <x v="237"/>
  </r>
  <r>
    <n v="201179"/>
    <s v="People739"/>
    <s v="department"/>
    <s v="REGION7"/>
    <s v="STORE248"/>
    <s v="MANAGER94"/>
    <s v="NEGATIVO"/>
    <d v="1899-12-31T07:03:00"/>
    <d v="1899-12-31T07:03:00"/>
    <m/>
    <s v="POSITION1"/>
    <x v="6"/>
    <x v="247"/>
  </r>
  <r>
    <n v="229954"/>
    <s v="People740"/>
    <s v="department"/>
    <s v="REGION7"/>
    <s v="STORE247"/>
    <s v="MANAGER93"/>
    <s v="NEGATIVO"/>
    <d v="1899-12-30T02:50:00"/>
    <d v="1899-12-30T02:50:00"/>
    <m/>
    <s v="POSITION1"/>
    <x v="6"/>
    <x v="246"/>
  </r>
  <r>
    <n v="231905"/>
    <s v="People741"/>
    <s v="department"/>
    <s v="REGION7"/>
    <s v="STORE248"/>
    <s v="MANAGER94"/>
    <s v="NEGATIVO"/>
    <d v="1899-12-30T06:00:00"/>
    <d v="1899-12-30T06:00:00"/>
    <m/>
    <s v="POSITION1"/>
    <x v="6"/>
    <x v="247"/>
  </r>
  <r>
    <n v="230182"/>
    <s v="People742"/>
    <s v="department"/>
    <s v="REGION7"/>
    <s v="STORE234"/>
    <s v="MANAGER85"/>
    <s v="NEGATIVO"/>
    <d v="1899-12-30T16:03:00"/>
    <d v="1899-12-30T16:03:00"/>
    <m/>
    <s v="POSITION1"/>
    <x v="6"/>
    <x v="233"/>
  </r>
  <r>
    <n v="222004"/>
    <s v="People743"/>
    <s v="department"/>
    <s v="REGION7"/>
    <s v="STORE256"/>
    <s v="MANAGER85"/>
    <s v="NEGATIVO"/>
    <d v="1899-12-30T10:37:00"/>
    <d v="1899-12-30T10:37:00"/>
    <m/>
    <s v="POSITION3"/>
    <x v="6"/>
    <x v="255"/>
  </r>
  <r>
    <n v="203406"/>
    <s v="People744"/>
    <s v="department"/>
    <s v="REGION7"/>
    <s v="STORE237"/>
    <s v="MANAGER87"/>
    <s v="NEGATIVO"/>
    <d v="1899-12-30T07:48:00"/>
    <d v="1899-12-30T07:48:00"/>
    <m/>
    <s v="POSITION1"/>
    <x v="6"/>
    <x v="236"/>
  </r>
  <r>
    <n v="235865"/>
    <s v="People745"/>
    <s v="department"/>
    <s v="REGION7"/>
    <s v="STORE239"/>
    <s v="MANAGER89"/>
    <s v="NEGATIVO"/>
    <d v="1899-12-30T00:42:00"/>
    <d v="1899-12-30T00:42:00"/>
    <m/>
    <s v="POSITION3"/>
    <x v="6"/>
    <x v="238"/>
  </r>
  <r>
    <n v="231301"/>
    <s v="People746"/>
    <s v="department"/>
    <s v="REGION7"/>
    <s v="STORE252"/>
    <s v="MANAGER92"/>
    <s v="NEGATIVO"/>
    <d v="1899-12-31T01:32:00"/>
    <d v="1899-12-31T01:32:00"/>
    <m/>
    <s v="POSITION1"/>
    <x v="6"/>
    <x v="251"/>
  </r>
  <r>
    <n v="222592"/>
    <s v="People747"/>
    <s v="department"/>
    <s v="REGION7"/>
    <s v="STORE257"/>
    <s v="MANAGER94"/>
    <s v="NEGATIVO"/>
    <d v="1899-12-30T09:13:00"/>
    <d v="1899-12-30T09:13:00"/>
    <m/>
    <s v="POSITION5"/>
    <x v="6"/>
    <x v="256"/>
  </r>
  <r>
    <n v="220996"/>
    <s v="People748"/>
    <s v="department"/>
    <s v="REGION7"/>
    <s v="STORE236"/>
    <s v="MANAGER87"/>
    <s v="NEGATIVO"/>
    <d v="1899-12-30T06:27:00"/>
    <d v="1899-12-30T06:27:00"/>
    <m/>
    <s v="POSITION3"/>
    <x v="6"/>
    <x v="235"/>
  </r>
  <r>
    <n v="231606"/>
    <s v="People749"/>
    <s v="department"/>
    <s v="REGION7"/>
    <s v="STORE253"/>
    <s v="MANAGER91"/>
    <s v="NEGATIVO"/>
    <d v="1899-12-30T09:47:00"/>
    <d v="1899-12-30T09:47:00"/>
    <m/>
    <s v="POSITION4"/>
    <x v="6"/>
    <x v="252"/>
  </r>
  <r>
    <n v="221865"/>
    <s v="People750"/>
    <s v="department"/>
    <s v="REGION7"/>
    <s v="STORE246"/>
    <s v="MANAGER93"/>
    <s v="NEGATIVO"/>
    <d v="1899-12-30T13:48:00"/>
    <d v="1899-12-30T13:48:00"/>
    <m/>
    <s v="POSITION3"/>
    <x v="6"/>
    <x v="245"/>
  </r>
  <r>
    <n v="203398"/>
    <s v="People751"/>
    <s v="department"/>
    <s v="REGION7"/>
    <s v="STORE258"/>
    <s v="MANAGER95"/>
    <s v="NEGATIVO"/>
    <d v="1899-12-30T07:49:00"/>
    <d v="1899-12-30T07:49:00"/>
    <m/>
    <s v="POSITION5"/>
    <x v="6"/>
    <x v="257"/>
  </r>
  <r>
    <n v="222800"/>
    <s v="People752"/>
    <s v="department"/>
    <s v="REGION7"/>
    <s v="STORE235"/>
    <s v="MANAGER86"/>
    <s v="NEGATIVO"/>
    <d v="1899-12-30T04:07:00"/>
    <d v="1899-12-30T04:07:00"/>
    <m/>
    <s v="POSITION1"/>
    <x v="6"/>
    <x v="234"/>
  </r>
  <r>
    <n v="237425"/>
    <s v="People753"/>
    <s v="department"/>
    <s v="REGION7"/>
    <s v="STORE251"/>
    <s v="MANAGER96"/>
    <s v="NEGATIVO"/>
    <d v="1899-12-30T04:12:00"/>
    <d v="1899-12-30T04:12:00"/>
    <m/>
    <s v="POSITION1"/>
    <x v="6"/>
    <x v="250"/>
  </r>
  <r>
    <n v="237742"/>
    <s v="People754"/>
    <s v="department"/>
    <s v="REGION7"/>
    <s v="STORE256"/>
    <s v="MANAGER85"/>
    <s v="NEGATIVO"/>
    <d v="1899-12-30T08:32:00"/>
    <d v="1899-12-30T08:32:00"/>
    <m/>
    <s v="POSITION4"/>
    <x v="6"/>
    <x v="255"/>
  </r>
  <r>
    <n v="229535"/>
    <s v="People755"/>
    <s v="department"/>
    <s v="REGION7"/>
    <s v="STORE237"/>
    <s v="MANAGER87"/>
    <s v="NEGATIVO"/>
    <d v="1899-12-30T13:14:00"/>
    <d v="1899-12-30T13:14:00"/>
    <m/>
    <s v="POSITION1"/>
    <x v="6"/>
    <x v="236"/>
  </r>
  <r>
    <n v="203137"/>
    <s v="People756"/>
    <s v="department"/>
    <s v="REGION7"/>
    <s v="STORE244"/>
    <s v="MANAGER91"/>
    <s v="NEGATIVO"/>
    <d v="1900-01-02T16:01:00"/>
    <d v="1900-01-02T16:01:00"/>
    <m/>
    <s v="POSITION1"/>
    <x v="6"/>
    <x v="243"/>
  </r>
  <r>
    <n v="231071"/>
    <s v="People757"/>
    <s v="department"/>
    <s v="REGION7"/>
    <s v="STORE234"/>
    <s v="MANAGER85"/>
    <s v="NEGATIVO"/>
    <d v="1899-12-30T16:36:00"/>
    <d v="1899-12-30T16:36:00"/>
    <m/>
    <s v="POSITION1"/>
    <x v="6"/>
    <x v="233"/>
  </r>
  <r>
    <n v="203054"/>
    <s v="People758"/>
    <s v="department"/>
    <s v="REGION7"/>
    <s v="STORE234"/>
    <s v="MANAGER85"/>
    <s v="NEGATIVO"/>
    <d v="1899-12-30T02:28:00"/>
    <d v="1899-12-30T02:28:00"/>
    <m/>
    <s v="POSITION1"/>
    <x v="6"/>
    <x v="233"/>
  </r>
  <r>
    <n v="202865"/>
    <s v="People759"/>
    <s v="department"/>
    <s v="REGION7"/>
    <s v="STORE250"/>
    <s v="MANAGER90"/>
    <s v="POSITIVO"/>
    <d v="1899-12-31T21:28:00"/>
    <m/>
    <d v="1899-12-31T21:28:00"/>
    <s v="POSITION1"/>
    <x v="6"/>
    <x v="249"/>
  </r>
  <r>
    <n v="231605"/>
    <s v="People760"/>
    <s v="department"/>
    <s v="REGION7"/>
    <s v="STORE244"/>
    <s v="MANAGER91"/>
    <s v="POSITIVO"/>
    <d v="1899-12-31T10:31:00"/>
    <m/>
    <d v="1899-12-31T10:31:00"/>
    <s v="POSITION1"/>
    <x v="6"/>
    <x v="243"/>
  </r>
  <r>
    <n v="222978"/>
    <s v="People761"/>
    <s v="department"/>
    <s v="REGION7"/>
    <s v="STORE237"/>
    <s v="MANAGER87"/>
    <s v="POSITIVO"/>
    <d v="1899-12-31T06:55:00"/>
    <m/>
    <d v="1899-12-31T06:55:00"/>
    <s v="POSITION1"/>
    <x v="6"/>
    <x v="236"/>
  </r>
  <r>
    <n v="238052"/>
    <s v="People762"/>
    <s v="department"/>
    <s v="REGION7"/>
    <s v="STORE250"/>
    <s v="MANAGER90"/>
    <s v="POSITIVO"/>
    <d v="1899-12-31T05:56:00"/>
    <m/>
    <d v="1899-12-31T05:56:00"/>
    <s v="POSITION1"/>
    <x v="6"/>
    <x v="249"/>
  </r>
  <r>
    <n v="218278"/>
    <s v="People763"/>
    <s v="department"/>
    <s v="REGION7"/>
    <s v="STORE259"/>
    <s v="MANAGER95"/>
    <s v="POSITIVO"/>
    <d v="1899-12-31T05:02:00"/>
    <m/>
    <d v="1899-12-31T05:02:00"/>
    <s v="POSITION7"/>
    <x v="6"/>
    <x v="258"/>
  </r>
  <r>
    <n v="224977"/>
    <s v="People764"/>
    <s v="department"/>
    <s v="REGION7"/>
    <s v="STORE243"/>
    <s v="MANAGER90"/>
    <s v="POSITIVO"/>
    <d v="1899-12-31T03:17:00"/>
    <m/>
    <d v="1899-12-31T03:17:00"/>
    <s v="POSITION3"/>
    <x v="6"/>
    <x v="242"/>
  </r>
  <r>
    <n v="223555"/>
    <s v="People765"/>
    <s v="department"/>
    <s v="REGION7"/>
    <s v="STORE250"/>
    <s v="MANAGER90"/>
    <s v="POSITIVO"/>
    <d v="1899-12-31T02:37:00"/>
    <m/>
    <d v="1899-12-31T02:37:00"/>
    <s v="POSITION1"/>
    <x v="6"/>
    <x v="249"/>
  </r>
  <r>
    <n v="231899"/>
    <s v="People766"/>
    <s v="department"/>
    <s v="REGION7"/>
    <s v="STORE234"/>
    <s v="MANAGER85"/>
    <s v="POSITIVO"/>
    <d v="1899-12-31T01:52:00"/>
    <m/>
    <d v="1899-12-31T01:52:00"/>
    <s v="POSITION1"/>
    <x v="6"/>
    <x v="233"/>
  </r>
  <r>
    <n v="232005"/>
    <s v="People767"/>
    <s v="department"/>
    <s v="REGION7"/>
    <s v="STORE250"/>
    <s v="MANAGER90"/>
    <s v="POSITIVO"/>
    <d v="1899-12-31T01:03:00"/>
    <m/>
    <d v="1899-12-31T01:03:00"/>
    <s v="POSITION1"/>
    <x v="6"/>
    <x v="249"/>
  </r>
  <r>
    <n v="201108"/>
    <s v="People768"/>
    <s v="department"/>
    <s v="REGION7"/>
    <s v="STORE260"/>
    <s v="MANAGER95"/>
    <s v="POSITIVO"/>
    <d v="1899-12-31T00:46:00"/>
    <m/>
    <d v="1899-12-31T00:46:00"/>
    <s v="POSITION7"/>
    <x v="6"/>
    <x v="259"/>
  </r>
  <r>
    <n v="236001"/>
    <s v="People769"/>
    <s v="department"/>
    <s v="REGION7"/>
    <s v="STORE252"/>
    <s v="MANAGER92"/>
    <s v="POSITIVO"/>
    <d v="1899-12-31T00:29:00"/>
    <m/>
    <d v="1899-12-31T00:29:00"/>
    <s v="POSITION1"/>
    <x v="6"/>
    <x v="251"/>
  </r>
  <r>
    <n v="203107"/>
    <s v="People770"/>
    <s v="department"/>
    <s v="REGION7"/>
    <s v="STORE234"/>
    <s v="MANAGER85"/>
    <s v="POSITIVO"/>
    <d v="1899-12-30T23:41:00"/>
    <m/>
    <d v="1899-12-30T23:41:00"/>
    <s v="POSITION1"/>
    <x v="6"/>
    <x v="233"/>
  </r>
  <r>
    <n v="237698"/>
    <s v="People771"/>
    <s v="department"/>
    <s v="REGION7"/>
    <s v="STORE248"/>
    <s v="MANAGER94"/>
    <s v="POSITIVO"/>
    <d v="1899-12-30T22:28:00"/>
    <m/>
    <d v="1899-12-30T22:28:00"/>
    <s v="POSITION1"/>
    <x v="6"/>
    <x v="247"/>
  </r>
  <r>
    <n v="202909"/>
    <s v="People772"/>
    <s v="department"/>
    <s v="REGION7"/>
    <s v="STORE257"/>
    <s v="MANAGER94"/>
    <s v="POSITIVO"/>
    <d v="1899-12-30T20:40:00"/>
    <m/>
    <d v="1899-12-30T20:40:00"/>
    <s v="POSITION3"/>
    <x v="6"/>
    <x v="256"/>
  </r>
  <r>
    <n v="200746"/>
    <s v="People773"/>
    <s v="department"/>
    <s v="REGION7"/>
    <s v="STORE256"/>
    <s v="MANAGER85"/>
    <s v="POSITIVO"/>
    <d v="1899-12-30T18:34:00"/>
    <m/>
    <d v="1899-12-30T18:34:00"/>
    <s v="POSITION3"/>
    <x v="6"/>
    <x v="255"/>
  </r>
  <r>
    <n v="229986"/>
    <s v="People774"/>
    <s v="department"/>
    <s v="REGION7"/>
    <s v="STORE235"/>
    <s v="MANAGER86"/>
    <s v="POSITIVO"/>
    <d v="1899-12-30T17:30:00"/>
    <m/>
    <d v="1899-12-30T17:30:00"/>
    <s v="POSITION1"/>
    <x v="6"/>
    <x v="234"/>
  </r>
  <r>
    <n v="221494"/>
    <s v="People775"/>
    <s v="department"/>
    <s v="REGION7"/>
    <s v="STORE257"/>
    <s v="MANAGER94"/>
    <s v="POSITIVO"/>
    <d v="1899-12-30T17:30:00"/>
    <m/>
    <d v="1899-12-30T17:30:00"/>
    <s v="POSITION4"/>
    <x v="6"/>
    <x v="256"/>
  </r>
  <r>
    <n v="224948"/>
    <s v="People776"/>
    <s v="department"/>
    <s v="REGION7"/>
    <s v="STORE261"/>
    <s v="MANAGER88"/>
    <s v="POSITIVO"/>
    <d v="1899-12-30T17:29:00"/>
    <m/>
    <d v="1899-12-30T17:29:00"/>
    <s v="POSITION1"/>
    <x v="6"/>
    <x v="260"/>
  </r>
  <r>
    <n v="236376"/>
    <s v="People777"/>
    <s v="department"/>
    <s v="REGION7"/>
    <s v="STORE254"/>
    <s v="MANAGER89"/>
    <s v="POSITIVO"/>
    <d v="1899-12-30T15:20:00"/>
    <m/>
    <d v="1899-12-30T15:20:00"/>
    <s v="POSITION1"/>
    <x v="6"/>
    <x v="253"/>
  </r>
  <r>
    <n v="229948"/>
    <s v="People778"/>
    <s v="department"/>
    <s v="REGION7"/>
    <s v="STORE236"/>
    <s v="MANAGER87"/>
    <s v="POSITIVO"/>
    <d v="1899-12-30T14:56:00"/>
    <m/>
    <d v="1899-12-30T14:56:00"/>
    <s v="POSITION3"/>
    <x v="6"/>
    <x v="235"/>
  </r>
  <r>
    <n v="215783"/>
    <s v="People779"/>
    <s v="department"/>
    <s v="REGION7"/>
    <s v="STORE262"/>
    <s v="MANAGER95"/>
    <s v="POSITIVO"/>
    <d v="1899-12-30T14:37:00"/>
    <m/>
    <d v="1899-12-30T14:37:00"/>
    <s v="POSITION7"/>
    <x v="6"/>
    <x v="261"/>
  </r>
  <r>
    <n v="230794"/>
    <s v="People780"/>
    <s v="department"/>
    <s v="REGION7"/>
    <s v="STORE252"/>
    <s v="MANAGER92"/>
    <s v="POSITIVO"/>
    <d v="1899-12-30T13:18:00"/>
    <m/>
    <d v="1899-12-30T13:18:00"/>
    <s v="POSITION1"/>
    <x v="6"/>
    <x v="251"/>
  </r>
  <r>
    <n v="216277"/>
    <s v="People781"/>
    <s v="department"/>
    <s v="REGION7"/>
    <s v="STORE263"/>
    <s v="MANAGER95"/>
    <s v="POSITIVO"/>
    <d v="1899-12-30T13:06:00"/>
    <m/>
    <d v="1899-12-30T13:06:00"/>
    <s v="POSITION7"/>
    <x v="6"/>
    <x v="262"/>
  </r>
  <r>
    <n v="232965"/>
    <s v="People782"/>
    <s v="department"/>
    <s v="REGION7"/>
    <s v="STORE257"/>
    <s v="MANAGER94"/>
    <s v="POSITIVO"/>
    <d v="1899-12-30T12:44:00"/>
    <m/>
    <d v="1899-12-30T12:44:00"/>
    <s v="POSITION3"/>
    <x v="6"/>
    <x v="256"/>
  </r>
  <r>
    <n v="230618"/>
    <s v="People783"/>
    <s v="department"/>
    <s v="REGION7"/>
    <s v="STORE251"/>
    <s v="MANAGER96"/>
    <s v="POSITIVO"/>
    <d v="1899-12-30T11:58:00"/>
    <m/>
    <d v="1899-12-30T11:58:00"/>
    <s v="POSITION1"/>
    <x v="6"/>
    <x v="250"/>
  </r>
  <r>
    <n v="230363"/>
    <s v="People784"/>
    <s v="department"/>
    <s v="REGION7"/>
    <s v="STORE235"/>
    <s v="MANAGER86"/>
    <s v="POSITIVO"/>
    <d v="1899-12-30T11:28:00"/>
    <m/>
    <d v="1899-12-30T11:28:00"/>
    <s v="POSITION1"/>
    <x v="6"/>
    <x v="234"/>
  </r>
  <r>
    <n v="221590"/>
    <s v="People785"/>
    <s v="department"/>
    <s v="REGION7"/>
    <s v="STORE243"/>
    <s v="MANAGER90"/>
    <s v="POSITIVO"/>
    <d v="1899-12-30T11:20:00"/>
    <m/>
    <d v="1899-12-30T11:20:00"/>
    <s v="POSITION4"/>
    <x v="6"/>
    <x v="242"/>
  </r>
  <r>
    <n v="200602"/>
    <s v="People786"/>
    <s v="department"/>
    <s v="REGION7"/>
    <s v="STORE240"/>
    <s v="MANAGER86"/>
    <s v="POSITIVO"/>
    <d v="1899-12-30T11:09:00"/>
    <m/>
    <d v="1899-12-30T11:09:00"/>
    <s v="POSITION3"/>
    <x v="6"/>
    <x v="239"/>
  </r>
  <r>
    <n v="233618"/>
    <s v="People787"/>
    <s v="department"/>
    <s v="REGION7"/>
    <s v="STORE248"/>
    <s v="MANAGER94"/>
    <s v="POSITIVO"/>
    <d v="1899-12-30T10:25:00"/>
    <m/>
    <d v="1899-12-30T10:25:00"/>
    <s v="POSITION1"/>
    <x v="6"/>
    <x v="247"/>
  </r>
  <r>
    <n v="201755"/>
    <s v="People788"/>
    <s v="department"/>
    <s v="REGION7"/>
    <s v="STORE254"/>
    <s v="MANAGER89"/>
    <s v="POSITIVO"/>
    <d v="1899-12-30T10:00:00"/>
    <m/>
    <d v="1899-12-30T10:00:00"/>
    <s v="POSITION1"/>
    <x v="6"/>
    <x v="253"/>
  </r>
  <r>
    <n v="224856"/>
    <s v="People789"/>
    <s v="department"/>
    <s v="REGION7"/>
    <s v="STORE264"/>
    <s v="MANAGER95"/>
    <s v="POSITIVO"/>
    <d v="1899-12-30T09:45:00"/>
    <m/>
    <d v="1899-12-30T09:45:00"/>
    <s v="POSITION2"/>
    <x v="6"/>
    <x v="263"/>
  </r>
  <r>
    <n v="223793"/>
    <s v="People790"/>
    <s v="department"/>
    <s v="REGION7"/>
    <s v="STORE251"/>
    <s v="MANAGER96"/>
    <s v="POSITIVO"/>
    <d v="1899-12-30T09:36:00"/>
    <m/>
    <d v="1899-12-30T09:36:00"/>
    <s v="POSITION1"/>
    <x v="6"/>
    <x v="250"/>
  </r>
  <r>
    <n v="232823"/>
    <s v="People791"/>
    <s v="department"/>
    <s v="REGION7"/>
    <s v="STORE248"/>
    <s v="MANAGER94"/>
    <s v="POSITIVO"/>
    <d v="1899-12-30T09:20:00"/>
    <m/>
    <d v="1899-12-30T09:20:00"/>
    <s v="POSITION1"/>
    <x v="6"/>
    <x v="247"/>
  </r>
  <r>
    <n v="235365"/>
    <s v="People792"/>
    <s v="department"/>
    <s v="REGION7"/>
    <s v="STORE245"/>
    <s v="MANAGER92"/>
    <s v="POSITIVO"/>
    <d v="1899-12-30T09:00:00"/>
    <m/>
    <d v="1899-12-30T09:00:00"/>
    <s v="POSITION4"/>
    <x v="6"/>
    <x v="244"/>
  </r>
  <r>
    <n v="202916"/>
    <s v="People793"/>
    <s v="department"/>
    <s v="REGION7"/>
    <s v="STORE254"/>
    <s v="MANAGER89"/>
    <s v="POSITIVO"/>
    <d v="1899-12-30T08:50:00"/>
    <m/>
    <d v="1899-12-30T08:50:00"/>
    <s v="POSITION1"/>
    <x v="6"/>
    <x v="253"/>
  </r>
  <r>
    <n v="200680"/>
    <s v="People794"/>
    <s v="department"/>
    <s v="REGION7"/>
    <s v="STORE256"/>
    <s v="MANAGER85"/>
    <s v="POSITIVO"/>
    <d v="1899-12-30T08:14:00"/>
    <m/>
    <d v="1899-12-30T08:14:00"/>
    <s v="POSITION4"/>
    <x v="6"/>
    <x v="255"/>
  </r>
  <r>
    <n v="201264"/>
    <s v="People795"/>
    <s v="department"/>
    <s v="REGION7"/>
    <s v="STORE235"/>
    <s v="MANAGER86"/>
    <s v="POSITIVO"/>
    <d v="1899-12-30T08:05:00"/>
    <m/>
    <d v="1899-12-30T08:05:00"/>
    <s v="POSITION1"/>
    <x v="6"/>
    <x v="234"/>
  </r>
  <r>
    <n v="234335"/>
    <s v="People796"/>
    <s v="department"/>
    <s v="REGION7"/>
    <s v="STORE265"/>
    <s v="MANAGER96"/>
    <s v="POSITIVO"/>
    <d v="1899-12-30T07:52:00"/>
    <m/>
    <d v="1899-12-30T07:52:00"/>
    <s v="POSITION3"/>
    <x v="6"/>
    <x v="264"/>
  </r>
  <r>
    <n v="200657"/>
    <s v="People797"/>
    <s v="department"/>
    <s v="REGION7"/>
    <s v="STORE258"/>
    <s v="MANAGER95"/>
    <s v="POSITIVO"/>
    <d v="1899-12-30T07:50:00"/>
    <m/>
    <d v="1899-12-30T07:50:00"/>
    <s v="POSITION7"/>
    <x v="6"/>
    <x v="257"/>
  </r>
  <r>
    <n v="222378"/>
    <s v="People798"/>
    <s v="department"/>
    <s v="REGION7"/>
    <s v="STORE253"/>
    <s v="MANAGER91"/>
    <s v="POSITIVO"/>
    <d v="1899-12-30T07:39:00"/>
    <m/>
    <d v="1899-12-30T07:39:00"/>
    <s v="POSITION3"/>
    <x v="6"/>
    <x v="252"/>
  </r>
  <r>
    <n v="219511"/>
    <s v="People799"/>
    <s v="department"/>
    <s v="REGION7"/>
    <s v="STORE249"/>
    <s v="MANAGER95"/>
    <s v="POSITIVO"/>
    <d v="1899-12-30T06:22:00"/>
    <m/>
    <d v="1899-12-30T06:22:00"/>
    <s v="POSITION7"/>
    <x v="6"/>
    <x v="248"/>
  </r>
  <r>
    <n v="230669"/>
    <s v="People800"/>
    <s v="department"/>
    <s v="REGION7"/>
    <s v="STORE252"/>
    <s v="MANAGER92"/>
    <s v="POSITIVO"/>
    <d v="1899-12-30T06:18:00"/>
    <m/>
    <d v="1899-12-30T06:18:00"/>
    <s v="POSITION1"/>
    <x v="6"/>
    <x v="251"/>
  </r>
  <r>
    <n v="233730"/>
    <s v="People801"/>
    <s v="department"/>
    <s v="REGION7"/>
    <s v="STORE237"/>
    <s v="MANAGER87"/>
    <s v="POSITIVO"/>
    <d v="1899-12-30T06:07:00"/>
    <m/>
    <d v="1899-12-30T06:07:00"/>
    <s v="POSITION1"/>
    <x v="6"/>
    <x v="236"/>
  </r>
  <r>
    <n v="203532"/>
    <s v="People802"/>
    <s v="department"/>
    <s v="REGION7"/>
    <s v="STORE237"/>
    <s v="MANAGER87"/>
    <s v="POSITIVO"/>
    <d v="1899-12-30T05:35:00"/>
    <m/>
    <d v="1899-12-30T05:35:00"/>
    <s v="POSITION1"/>
    <x v="6"/>
    <x v="236"/>
  </r>
  <r>
    <n v="201282"/>
    <s v="People803"/>
    <s v="department"/>
    <s v="REGION7"/>
    <s v="STORE235"/>
    <s v="MANAGER86"/>
    <s v="POSITIVO"/>
    <d v="1899-12-30T05:15:00"/>
    <m/>
    <d v="1899-12-30T05:15:00"/>
    <s v="POSITION1"/>
    <x v="6"/>
    <x v="234"/>
  </r>
  <r>
    <n v="230838"/>
    <s v="People804"/>
    <s v="department"/>
    <s v="REGION7"/>
    <s v="STORE245"/>
    <s v="MANAGER92"/>
    <s v="POSITIVO"/>
    <d v="1899-12-30T05:05:00"/>
    <m/>
    <d v="1899-12-30T05:05:00"/>
    <s v="POSITION3"/>
    <x v="6"/>
    <x v="244"/>
  </r>
  <r>
    <n v="237575"/>
    <s v="People805"/>
    <s v="department"/>
    <s v="REGION7"/>
    <s v="STORE261"/>
    <s v="MANAGER88"/>
    <s v="POSITIVO"/>
    <d v="1899-12-30T04:45:00"/>
    <m/>
    <d v="1899-12-30T04:45:00"/>
    <s v="POSITION1"/>
    <x v="6"/>
    <x v="260"/>
  </r>
  <r>
    <n v="237420"/>
    <s v="People806"/>
    <s v="department"/>
    <s v="REGION7"/>
    <s v="STORE252"/>
    <s v="MANAGER92"/>
    <s v="POSITIVO"/>
    <d v="1899-12-30T03:59:00"/>
    <m/>
    <d v="1899-12-30T03:59:00"/>
    <s v="POSITION1"/>
    <x v="6"/>
    <x v="251"/>
  </r>
  <r>
    <n v="232924"/>
    <s v="People807"/>
    <s v="department"/>
    <s v="REGION7"/>
    <s v="STORE247"/>
    <s v="MANAGER93"/>
    <s v="POSITIVO"/>
    <d v="1899-12-30T03:41:00"/>
    <m/>
    <d v="1899-12-30T03:41:00"/>
    <s v="POSITION1"/>
    <x v="6"/>
    <x v="246"/>
  </r>
  <r>
    <n v="200751"/>
    <s v="People808"/>
    <s v="department"/>
    <s v="REGION7"/>
    <s v="STORE266"/>
    <s v="MANAGER95"/>
    <s v="POSITIVO"/>
    <d v="1899-12-30T03:34:00"/>
    <m/>
    <d v="1899-12-30T03:34:00"/>
    <s v="POSITION7"/>
    <x v="6"/>
    <x v="265"/>
  </r>
  <r>
    <n v="223941"/>
    <s v="People809"/>
    <s v="department"/>
    <s v="REGION7"/>
    <s v="STORE254"/>
    <s v="MANAGER89"/>
    <s v="POSITIVO"/>
    <d v="1899-12-30T03:14:00"/>
    <m/>
    <d v="1899-12-30T03:14:00"/>
    <s v="POSITION1"/>
    <x v="6"/>
    <x v="253"/>
  </r>
  <r>
    <n v="203111"/>
    <s v="People810"/>
    <s v="department"/>
    <s v="REGION7"/>
    <s v="STORE234"/>
    <s v="MANAGER85"/>
    <s v="POSITIVO"/>
    <d v="1899-12-30T03:10:00"/>
    <m/>
    <d v="1899-12-30T03:10:00"/>
    <s v="POSITION1"/>
    <x v="6"/>
    <x v="233"/>
  </r>
  <r>
    <n v="222479"/>
    <s v="People811"/>
    <s v="department"/>
    <s v="REGION7"/>
    <s v="STORE246"/>
    <s v="MANAGER93"/>
    <s v="POSITIVO"/>
    <d v="1899-12-30T03:10:00"/>
    <m/>
    <d v="1899-12-30T03:10:00"/>
    <s v="POSITION3"/>
    <x v="6"/>
    <x v="245"/>
  </r>
  <r>
    <n v="232595"/>
    <s v="People812"/>
    <s v="department"/>
    <s v="REGION7"/>
    <s v="STORE261"/>
    <s v="MANAGER88"/>
    <s v="POSITIVO"/>
    <d v="1899-12-30T03:06:00"/>
    <m/>
    <d v="1899-12-30T03:06:00"/>
    <s v="POSITION1"/>
    <x v="6"/>
    <x v="260"/>
  </r>
  <r>
    <n v="232266"/>
    <s v="People813"/>
    <s v="department"/>
    <s v="REGION7"/>
    <s v="STORE253"/>
    <s v="MANAGER91"/>
    <s v="POSITIVO"/>
    <d v="1899-12-30T02:32:00"/>
    <m/>
    <d v="1899-12-30T02:32:00"/>
    <s v="POSITION3"/>
    <x v="6"/>
    <x v="252"/>
  </r>
  <r>
    <n v="203558"/>
    <s v="People814"/>
    <s v="department"/>
    <s v="REGION7"/>
    <s v="STORE250"/>
    <s v="MANAGER90"/>
    <s v="POSITIVO"/>
    <d v="1899-12-30T02:30:00"/>
    <m/>
    <d v="1899-12-30T02:30:00"/>
    <s v="POSITION1"/>
    <x v="6"/>
    <x v="249"/>
  </r>
  <r>
    <n v="236464"/>
    <s v="People815"/>
    <s v="department"/>
    <s v="REGION7"/>
    <s v="STORE261"/>
    <s v="MANAGER88"/>
    <s v="POSITIVO"/>
    <d v="1899-12-30T02:23:00"/>
    <m/>
    <d v="1899-12-30T02:23:00"/>
    <s v="POSITION1"/>
    <x v="6"/>
    <x v="260"/>
  </r>
  <r>
    <n v="232954"/>
    <s v="People816"/>
    <s v="department"/>
    <s v="REGION7"/>
    <s v="STORE245"/>
    <s v="MANAGER92"/>
    <s v="POSITIVO"/>
    <d v="1899-12-30T02:21:00"/>
    <m/>
    <d v="1899-12-30T02:21:00"/>
    <s v="POSITION5"/>
    <x v="6"/>
    <x v="244"/>
  </r>
  <r>
    <n v="202582"/>
    <s v="People817"/>
    <s v="department"/>
    <s v="REGION7"/>
    <s v="STORE265"/>
    <s v="MANAGER96"/>
    <s v="POSITIVO"/>
    <d v="1899-12-30T01:40:00"/>
    <m/>
    <d v="1899-12-30T01:40:00"/>
    <s v="POSITION3"/>
    <x v="6"/>
    <x v="264"/>
  </r>
  <r>
    <n v="237669"/>
    <s v="People818"/>
    <s v="department"/>
    <s v="REGION7"/>
    <s v="STORE248"/>
    <s v="MANAGER94"/>
    <s v="POSITIVO"/>
    <d v="1899-12-30T01:29:00"/>
    <m/>
    <d v="1899-12-30T01:29:00"/>
    <s v="POSITION1"/>
    <x v="6"/>
    <x v="247"/>
  </r>
  <r>
    <n v="200294"/>
    <s v="People819"/>
    <s v="department"/>
    <s v="REGION7"/>
    <s v="STORE240"/>
    <s v="MANAGER86"/>
    <s v="POSITIVO"/>
    <d v="1899-12-30T01:20:00"/>
    <m/>
    <d v="1899-12-30T01:20:00"/>
    <s v="POSITION3"/>
    <x v="6"/>
    <x v="239"/>
  </r>
  <r>
    <n v="203538"/>
    <s v="People820"/>
    <s v="department"/>
    <s v="REGION7"/>
    <s v="STORE235"/>
    <s v="MANAGER86"/>
    <s v="POSITIVO"/>
    <d v="1899-12-30T01:20:00"/>
    <m/>
    <d v="1899-12-30T01:20:00"/>
    <s v="POSITION1"/>
    <x v="6"/>
    <x v="234"/>
  </r>
  <r>
    <n v="218505"/>
    <s v="People821"/>
    <s v="department"/>
    <s v="REGION7"/>
    <s v="STORE238"/>
    <s v="MANAGER88"/>
    <s v="POSITIVO"/>
    <d v="1899-12-30T01:06:00"/>
    <m/>
    <d v="1899-12-30T01:06:00"/>
    <s v="POSITION3"/>
    <x v="6"/>
    <x v="237"/>
  </r>
  <r>
    <n v="215728"/>
    <s v="People822"/>
    <s v="department"/>
    <s v="REGION7"/>
    <s v="STORE267"/>
    <s v="MANAGER95"/>
    <s v="POSITIVO"/>
    <d v="1899-12-30T00:54:00"/>
    <m/>
    <d v="1899-12-30T00:54:00"/>
    <s v="POSITION7"/>
    <x v="6"/>
    <x v="266"/>
  </r>
  <r>
    <n v="225908"/>
    <s v="People823"/>
    <s v="department"/>
    <s v="REGION7"/>
    <s v="STORE247"/>
    <s v="MANAGER93"/>
    <s v="POSITIVO"/>
    <d v="1899-12-30T00:53:00"/>
    <m/>
    <d v="1899-12-30T00:53:00"/>
    <s v="POSITION1"/>
    <x v="6"/>
    <x v="246"/>
  </r>
  <r>
    <n v="202398"/>
    <s v="People824"/>
    <s v="department"/>
    <s v="REGION7"/>
    <s v="STORE239"/>
    <s v="MANAGER89"/>
    <s v="POSITIVO"/>
    <d v="1899-12-30T00:45:00"/>
    <m/>
    <d v="1899-12-30T00:45:00"/>
    <s v="POSITION4"/>
    <x v="6"/>
    <x v="238"/>
  </r>
  <r>
    <n v="200335"/>
    <s v="People825"/>
    <s v="department"/>
    <s v="REGION7"/>
    <s v="STORE240"/>
    <s v="MANAGER86"/>
    <s v="POSITIVO"/>
    <d v="1899-12-30T00:28:00"/>
    <m/>
    <d v="1899-12-30T00:28:00"/>
    <s v="POSITION4"/>
    <x v="6"/>
    <x v="239"/>
  </r>
  <r>
    <n v="200336"/>
    <s v="People826"/>
    <s v="department"/>
    <s v="REGION7"/>
    <s v="STORE240"/>
    <s v="MANAGER86"/>
    <s v="POSITIVO"/>
    <d v="1899-12-30T00:25:00"/>
    <m/>
    <d v="1899-12-30T00:25:00"/>
    <s v="POSITION4"/>
    <x v="6"/>
    <x v="239"/>
  </r>
  <r>
    <n v="220568"/>
    <s v="People827"/>
    <s v="department"/>
    <s v="REGION7"/>
    <s v="STORE240"/>
    <s v="MANAGER86"/>
    <s v="POSITIVO"/>
    <d v="1899-12-30T00:24:00"/>
    <m/>
    <d v="1899-12-30T00:24:00"/>
    <s v="POSITION3"/>
    <x v="6"/>
    <x v="239"/>
  </r>
  <r>
    <n v="233032"/>
    <s v="People828"/>
    <s v="department"/>
    <s v="REGION7"/>
    <s v="STORE239"/>
    <s v="MANAGER89"/>
    <s v="POSITIVO"/>
    <d v="1899-12-30T00:23:00"/>
    <m/>
    <d v="1899-12-30T00:23:00"/>
    <s v="POSITION5"/>
    <x v="6"/>
    <x v="238"/>
  </r>
  <r>
    <n v="235264"/>
    <s v="People829"/>
    <s v="department"/>
    <s v="REGION7"/>
    <s v="STORE248"/>
    <s v="MANAGER94"/>
    <s v="POSITIVO"/>
    <d v="1899-12-30T00:18:00"/>
    <m/>
    <d v="1899-12-30T00:18:00"/>
    <s v="POSITION1"/>
    <x v="6"/>
    <x v="247"/>
  </r>
  <r>
    <n v="230842"/>
    <s v="People830"/>
    <s v="department"/>
    <s v="REGION8"/>
    <s v="STORE268"/>
    <s v="MANAGER97"/>
    <s v="NEGATIVO"/>
    <d v="1900-01-09T14:05:00"/>
    <d v="1900-01-09T14:05:00"/>
    <m/>
    <s v="POSITION3"/>
    <x v="7"/>
    <x v="267"/>
  </r>
  <r>
    <n v="232059"/>
    <s v="People831"/>
    <s v="department"/>
    <s v="REGION8"/>
    <s v="STORE268"/>
    <s v="MANAGER97"/>
    <s v="NEGATIVO"/>
    <d v="1900-01-01T01:33:00"/>
    <d v="1900-01-01T01:33:00"/>
    <m/>
    <s v="POSITION3"/>
    <x v="7"/>
    <x v="267"/>
  </r>
  <r>
    <n v="232763"/>
    <s v="People832"/>
    <s v="department"/>
    <s v="REGION8"/>
    <s v="STORE268"/>
    <s v="MANAGER97"/>
    <s v="NEGATIVO"/>
    <d v="1899-12-30T14:06:00"/>
    <d v="1899-12-30T14:06:00"/>
    <m/>
    <s v="POSITION4"/>
    <x v="7"/>
    <x v="267"/>
  </r>
  <r>
    <n v="237508"/>
    <s v="People833"/>
    <s v="department"/>
    <s v="REGION8"/>
    <s v="STORE269"/>
    <s v="MANAGER97"/>
    <s v="POSITIVO"/>
    <d v="1899-12-30T13:48:00"/>
    <m/>
    <d v="1899-12-30T13:48:00"/>
    <s v="POSITION1"/>
    <x v="7"/>
    <x v="268"/>
  </r>
  <r>
    <n v="230040"/>
    <s v="People834"/>
    <s v="department"/>
    <s v="REGION8"/>
    <s v="STORE269"/>
    <s v="MANAGER97"/>
    <s v="POSITIVO"/>
    <d v="1899-12-30T09:47:00"/>
    <m/>
    <d v="1899-12-30T09:47:00"/>
    <s v="POSITION1"/>
    <x v="7"/>
    <x v="268"/>
  </r>
  <r>
    <n v="233896"/>
    <s v="People835"/>
    <s v="department"/>
    <s v="REGION8"/>
    <s v="STORE269"/>
    <s v="MANAGER97"/>
    <s v="POSITIVO"/>
    <d v="1899-12-30T07:59:00"/>
    <m/>
    <d v="1899-12-30T07:59:00"/>
    <s v="POSITION1"/>
    <x v="7"/>
    <x v="268"/>
  </r>
  <r>
    <n v="222018"/>
    <s v="People836"/>
    <s v="department"/>
    <s v="REGION8"/>
    <s v="STORE270"/>
    <s v="MANAGER98"/>
    <s v="POSITIVO"/>
    <d v="1899-12-30T06:07:00"/>
    <m/>
    <d v="1899-12-30T06:07:00"/>
    <s v="POSITION2"/>
    <x v="7"/>
    <x v="269"/>
  </r>
  <r>
    <n v="237584"/>
    <s v="People837"/>
    <s v="department"/>
    <s v="REGION8"/>
    <s v="STORE269"/>
    <s v="MANAGER97"/>
    <s v="POSITIVO"/>
    <d v="1899-12-30T01:14:00"/>
    <m/>
    <d v="1899-12-30T01:14:00"/>
    <s v="POSITION1"/>
    <x v="7"/>
    <x v="268"/>
  </r>
  <r>
    <n v="237211"/>
    <s v="People838"/>
    <s v="department"/>
    <s v="REGION8"/>
    <s v="STORE271"/>
    <s v="MANAGER99"/>
    <s v="NEGATIVO"/>
    <d v="1900-01-05T19:50:00"/>
    <d v="1900-01-05T19:50:00"/>
    <m/>
    <s v="POSITION4"/>
    <x v="7"/>
    <x v="270"/>
  </r>
  <r>
    <n v="225332"/>
    <s v="People839"/>
    <s v="department"/>
    <s v="REGION8"/>
    <s v="STORE272"/>
    <s v="MANAGER98"/>
    <s v="NEGATIVO"/>
    <d v="1899-12-30T02:24:00"/>
    <d v="1899-12-30T02:24:00"/>
    <m/>
    <s v="POSITION2"/>
    <x v="7"/>
    <x v="271"/>
  </r>
  <r>
    <n v="230746"/>
    <s v="People840"/>
    <s v="department"/>
    <s v="REGION8"/>
    <s v="STORE273"/>
    <s v="MANAGER99"/>
    <s v="POSITIVO"/>
    <d v="1900-01-01T12:35:00"/>
    <m/>
    <d v="1900-01-01T12:35:00"/>
    <s v="POSITION1"/>
    <x v="7"/>
    <x v="272"/>
  </r>
  <r>
    <n v="231009"/>
    <s v="People841"/>
    <s v="department"/>
    <s v="REGION8"/>
    <s v="STORE273"/>
    <s v="MANAGER99"/>
    <s v="POSITIVO"/>
    <d v="1899-12-31T14:54:00"/>
    <m/>
    <d v="1899-12-31T14:54:00"/>
    <s v="POSITION1"/>
    <x v="7"/>
    <x v="272"/>
  </r>
  <r>
    <n v="230739"/>
    <s v="People842"/>
    <s v="department"/>
    <s v="REGION8"/>
    <s v="STORE273"/>
    <s v="MANAGER99"/>
    <s v="POSITIVO"/>
    <d v="1899-12-30T09:58:00"/>
    <m/>
    <d v="1899-12-30T09:58:00"/>
    <s v="POSITION1"/>
    <x v="7"/>
    <x v="272"/>
  </r>
  <r>
    <n v="225622"/>
    <s v="People843"/>
    <s v="department"/>
    <s v="REGION8"/>
    <s v="STORE273"/>
    <s v="MANAGER99"/>
    <s v="POSITIVO"/>
    <d v="1899-12-30T01:57:00"/>
    <m/>
    <d v="1899-12-30T01:57:00"/>
    <s v="POSITION1"/>
    <x v="7"/>
    <x v="272"/>
  </r>
  <r>
    <n v="234680"/>
    <s v="People844"/>
    <s v="department"/>
    <s v="REGION8"/>
    <s v="STORE271"/>
    <s v="MANAGER99"/>
    <s v="POSITIVO"/>
    <d v="1899-12-30T00:23:00"/>
    <m/>
    <d v="1899-12-30T00:23:00"/>
    <s v="POSITION3"/>
    <x v="7"/>
    <x v="270"/>
  </r>
  <r>
    <n v="237314"/>
    <s v="People845"/>
    <s v="department"/>
    <s v="REGION8"/>
    <s v="STORE274"/>
    <s v="MANAGER100"/>
    <s v="POSITIVO"/>
    <d v="1899-12-31T07:21:00"/>
    <m/>
    <d v="1899-12-31T07:21:00"/>
    <s v="POSITION1"/>
    <x v="7"/>
    <x v="273"/>
  </r>
  <r>
    <n v="237313"/>
    <s v="People846"/>
    <s v="department"/>
    <s v="REGION8"/>
    <s v="STORE274"/>
    <s v="MANAGER100"/>
    <s v="POSITIVO"/>
    <d v="1899-12-31T06:15:00"/>
    <m/>
    <d v="1899-12-31T06:15:00"/>
    <s v="POSITION1"/>
    <x v="7"/>
    <x v="273"/>
  </r>
  <r>
    <n v="237315"/>
    <s v="People847"/>
    <s v="department"/>
    <s v="REGION8"/>
    <s v="STORE274"/>
    <s v="MANAGER100"/>
    <s v="POSITIVO"/>
    <d v="1899-12-30T15:52:00"/>
    <m/>
    <d v="1899-12-30T15:52:00"/>
    <s v="POSITION1"/>
    <x v="7"/>
    <x v="273"/>
  </r>
  <r>
    <n v="237324"/>
    <s v="People848"/>
    <s v="department"/>
    <s v="REGION8"/>
    <s v="STORE275"/>
    <s v="MANAGER100"/>
    <s v="POSITIVO"/>
    <d v="1899-12-30T08:00:00"/>
    <m/>
    <d v="1899-12-30T08:00:00"/>
    <s v="POSITION4"/>
    <x v="7"/>
    <x v="274"/>
  </r>
  <r>
    <n v="237325"/>
    <s v="People849"/>
    <s v="department"/>
    <s v="REGION8"/>
    <s v="STORE275"/>
    <s v="MANAGER100"/>
    <s v="POSITIVO"/>
    <d v="1899-12-30T08:00:00"/>
    <m/>
    <d v="1899-12-30T08:00:00"/>
    <s v="POSITION3"/>
    <x v="7"/>
    <x v="274"/>
  </r>
  <r>
    <n v="237507"/>
    <s v="People850"/>
    <s v="department"/>
    <s v="REGION8"/>
    <s v="STORE276"/>
    <s v="MANAGER98"/>
    <s v="POSITIVO"/>
    <d v="1899-12-30T00:59:00"/>
    <m/>
    <d v="1899-12-30T00:59:00"/>
    <s v="POSITION2"/>
    <x v="7"/>
    <x v="275"/>
  </r>
  <r>
    <n v="235729"/>
    <s v="People851"/>
    <s v="department"/>
    <s v="REGION8"/>
    <s v="STORE277"/>
    <s v="MANAGER101"/>
    <s v="NEGATIVO"/>
    <d v="1899-12-30T19:33:00"/>
    <d v="1899-12-30T19:33:00"/>
    <m/>
    <s v="POSITION1"/>
    <x v="7"/>
    <x v="276"/>
  </r>
  <r>
    <n v="233628"/>
    <s v="People852"/>
    <s v="department"/>
    <s v="REGION8"/>
    <s v="STORE277"/>
    <s v="MANAGER101"/>
    <s v="NEGATIVO"/>
    <d v="1900-01-02T11:22:00"/>
    <d v="1900-01-02T11:22:00"/>
    <m/>
    <s v="POSITION1"/>
    <x v="7"/>
    <x v="276"/>
  </r>
  <r>
    <n v="229872"/>
    <s v="People853"/>
    <s v="department"/>
    <s v="REGION8"/>
    <s v="STORE277"/>
    <s v="MANAGER101"/>
    <s v="NEGATIVO"/>
    <d v="1899-12-31T03:07:00"/>
    <d v="1899-12-31T03:07:00"/>
    <m/>
    <s v="POSITION1"/>
    <x v="7"/>
    <x v="276"/>
  </r>
  <r>
    <n v="218563"/>
    <s v="People854"/>
    <s v="department"/>
    <s v="REGION8"/>
    <s v="STORE278"/>
    <s v="MANAGER98"/>
    <s v="POSITIVO"/>
    <d v="1899-12-31T04:50:00"/>
    <m/>
    <d v="1899-12-31T04:50:00"/>
    <s v="POSITION9"/>
    <x v="7"/>
    <x v="277"/>
  </r>
  <r>
    <n v="232766"/>
    <s v="People855"/>
    <s v="department"/>
    <s v="REGION8"/>
    <s v="STORE277"/>
    <s v="MANAGER101"/>
    <s v="POSITIVO"/>
    <d v="1899-12-31T04:34:00"/>
    <m/>
    <d v="1899-12-31T04:34:00"/>
    <s v="POSITION1"/>
    <x v="7"/>
    <x v="276"/>
  </r>
  <r>
    <n v="233559"/>
    <s v="People856"/>
    <s v="department"/>
    <s v="REGION8"/>
    <s v="STORE279"/>
    <s v="MANAGER101"/>
    <s v="POSITIVO"/>
    <d v="1899-12-30T21:06:00"/>
    <m/>
    <d v="1899-12-30T21:06:00"/>
    <s v="POSITION3"/>
    <x v="7"/>
    <x v="278"/>
  </r>
  <r>
    <n v="231169"/>
    <s v="People857"/>
    <s v="department"/>
    <s v="REGION8"/>
    <s v="STORE277"/>
    <s v="MANAGER101"/>
    <s v="POSITIVO"/>
    <d v="1899-12-30T11:55:00"/>
    <m/>
    <d v="1899-12-30T11:55:00"/>
    <s v="POSITION1"/>
    <x v="7"/>
    <x v="276"/>
  </r>
  <r>
    <n v="203351"/>
    <s v="People858"/>
    <s v="department"/>
    <s v="REGION8"/>
    <s v="STORE277"/>
    <s v="MANAGER101"/>
    <s v="POSITIVO"/>
    <d v="1899-12-30T11:08:00"/>
    <m/>
    <d v="1899-12-30T11:08:00"/>
    <s v="POSITION1"/>
    <x v="7"/>
    <x v="276"/>
  </r>
  <r>
    <n v="231447"/>
    <s v="People859"/>
    <s v="department"/>
    <s v="REGION8"/>
    <s v="STORE279"/>
    <s v="MANAGER101"/>
    <s v="POSITIVO"/>
    <d v="1899-12-30T04:46:00"/>
    <m/>
    <d v="1899-12-30T04:46:00"/>
    <s v="POSITION3"/>
    <x v="7"/>
    <x v="278"/>
  </r>
  <r>
    <n v="219325"/>
    <s v="People860"/>
    <s v="department"/>
    <s v="REGION8"/>
    <s v="STORE279"/>
    <s v="MANAGER101"/>
    <s v="POSITIVO"/>
    <d v="1899-12-30T00:43:00"/>
    <m/>
    <d v="1899-12-30T00:43:00"/>
    <s v="POSITION4"/>
    <x v="7"/>
    <x v="278"/>
  </r>
  <r>
    <n v="235743"/>
    <s v="People861"/>
    <s v="department"/>
    <s v="REGION8"/>
    <s v="STORE280"/>
    <s v="MANAGER102"/>
    <s v="NEGATIVO"/>
    <d v="1899-12-30T06:19:00"/>
    <d v="1899-12-30T06:19:00"/>
    <m/>
    <s v="POSITION3"/>
    <x v="7"/>
    <x v="279"/>
  </r>
  <r>
    <n v="232809"/>
    <s v="People862"/>
    <s v="department"/>
    <s v="REGION8"/>
    <s v="STORE281"/>
    <s v="MANAGER102"/>
    <s v="NEGATIVO"/>
    <d v="1899-12-30T10:31:00"/>
    <d v="1899-12-30T10:31:00"/>
    <m/>
    <s v="POSITION1"/>
    <x v="7"/>
    <x v="280"/>
  </r>
  <r>
    <n v="225679"/>
    <s v="People863"/>
    <s v="department"/>
    <s v="REGION8"/>
    <s v="STORE281"/>
    <s v="MANAGER102"/>
    <s v="POSITIVO"/>
    <d v="1899-12-31T03:49:00"/>
    <m/>
    <d v="1899-12-31T03:49:00"/>
    <s v="POSITION1"/>
    <x v="7"/>
    <x v="280"/>
  </r>
  <r>
    <n v="236862"/>
    <s v="People864"/>
    <s v="department"/>
    <s v="REGION8"/>
    <s v="STORE280"/>
    <s v="MANAGER102"/>
    <s v="POSITIVO"/>
    <d v="1899-12-31T02:15:00"/>
    <m/>
    <d v="1899-12-31T02:15:00"/>
    <s v="POSITION3"/>
    <x v="7"/>
    <x v="279"/>
  </r>
  <r>
    <n v="203513"/>
    <s v="People865"/>
    <s v="department"/>
    <s v="REGION8"/>
    <s v="STORE281"/>
    <s v="MANAGER102"/>
    <s v="POSITIVO"/>
    <d v="1899-12-30T14:56:00"/>
    <m/>
    <d v="1899-12-30T14:56:00"/>
    <s v="POSITION1"/>
    <x v="7"/>
    <x v="280"/>
  </r>
  <r>
    <n v="225543"/>
    <s v="People866"/>
    <s v="department"/>
    <s v="REGION8"/>
    <s v="STORE282"/>
    <s v="MANAGER98"/>
    <s v="POSITIVO"/>
    <d v="1899-12-30T12:59:00"/>
    <m/>
    <d v="1899-12-30T12:59:00"/>
    <s v="POSITION2"/>
    <x v="7"/>
    <x v="281"/>
  </r>
  <r>
    <n v="236788"/>
    <s v="People867"/>
    <s v="department"/>
    <s v="REGION8"/>
    <s v="STORE280"/>
    <s v="MANAGER102"/>
    <s v="POSITIVO"/>
    <d v="1899-12-30T08:01:00"/>
    <m/>
    <d v="1899-12-30T08:01:00"/>
    <s v="POSITION4"/>
    <x v="7"/>
    <x v="279"/>
  </r>
  <r>
    <n v="233634"/>
    <s v="People868"/>
    <s v="department"/>
    <s v="REGION8"/>
    <s v="STORE281"/>
    <s v="MANAGER102"/>
    <s v="POSITIVO"/>
    <d v="1899-12-30T05:11:00"/>
    <m/>
    <d v="1899-12-30T05:11:00"/>
    <s v="POSITION1"/>
    <x v="7"/>
    <x v="280"/>
  </r>
  <r>
    <n v="234171"/>
    <s v="People869"/>
    <s v="department"/>
    <s v="REGION8"/>
    <s v="STORE281"/>
    <s v="MANAGER102"/>
    <s v="POSITIVO"/>
    <d v="1899-12-30T03:59:00"/>
    <m/>
    <d v="1899-12-30T03:59:00"/>
    <s v="POSITION1"/>
    <x v="7"/>
    <x v="280"/>
  </r>
  <r>
    <n v="237934"/>
    <s v="People870"/>
    <s v="department"/>
    <s v="REGION8"/>
    <s v="STORE283"/>
    <s v="MANAGER103"/>
    <s v="NEGATIVO"/>
    <d v="1899-12-30T12:00:00"/>
    <d v="1899-12-30T12:00:00"/>
    <m/>
    <s v="POSITION3"/>
    <x v="7"/>
    <x v="282"/>
  </r>
  <r>
    <n v="237565"/>
    <s v="People871"/>
    <s v="department"/>
    <s v="REGION8"/>
    <s v="STORE283"/>
    <s v="MANAGER103"/>
    <s v="NEGATIVO"/>
    <d v="1899-12-31T11:03:00"/>
    <d v="1899-12-31T11:03:00"/>
    <m/>
    <s v="POSITION4"/>
    <x v="7"/>
    <x v="282"/>
  </r>
  <r>
    <n v="237380"/>
    <s v="People872"/>
    <s v="department"/>
    <s v="REGION8"/>
    <s v="STORE283"/>
    <s v="MANAGER103"/>
    <s v="NEGATIVO"/>
    <d v="1900-01-03T17:36:00"/>
    <d v="1900-01-03T17:36:00"/>
    <m/>
    <s v="POSITION3"/>
    <x v="7"/>
    <x v="282"/>
  </r>
  <r>
    <n v="235838"/>
    <s v="People873"/>
    <s v="department"/>
    <s v="REGION8"/>
    <s v="STORE284"/>
    <s v="MANAGER103"/>
    <s v="POSITIVO"/>
    <d v="1900-01-06T02:12:00"/>
    <m/>
    <d v="1900-01-06T02:12:00"/>
    <s v="POSITION1"/>
    <x v="7"/>
    <x v="283"/>
  </r>
  <r>
    <n v="237704"/>
    <s v="People874"/>
    <s v="department"/>
    <s v="REGION8"/>
    <s v="STORE284"/>
    <s v="MANAGER103"/>
    <s v="POSITIVO"/>
    <d v="1900-01-01T22:24:00"/>
    <m/>
    <d v="1900-01-01T22:24:00"/>
    <s v="POSITION1"/>
    <x v="7"/>
    <x v="283"/>
  </r>
  <r>
    <n v="236626"/>
    <s v="People875"/>
    <s v="department"/>
    <s v="REGION8"/>
    <s v="STORE284"/>
    <s v="MANAGER103"/>
    <s v="POSITIVO"/>
    <d v="1899-12-31T08:05:00"/>
    <m/>
    <d v="1899-12-31T08:05:00"/>
    <s v="POSITION1"/>
    <x v="7"/>
    <x v="283"/>
  </r>
  <r>
    <n v="201441"/>
    <s v="People876"/>
    <s v="department"/>
    <s v="REGION8"/>
    <s v="STORE285"/>
    <s v="MANAGER104"/>
    <s v="NEGATIVO"/>
    <d v="1900-01-05T02:27:00"/>
    <d v="1900-01-05T02:27:00"/>
    <m/>
    <s v="POSITION3"/>
    <x v="7"/>
    <x v="284"/>
  </r>
  <r>
    <n v="232418"/>
    <s v="People877"/>
    <s v="department"/>
    <s v="REGION8"/>
    <s v="STORE286"/>
    <s v="MANAGER104"/>
    <s v="NEGATIVO"/>
    <d v="1900-01-09T13:17:00"/>
    <d v="1900-01-09T13:17:00"/>
    <m/>
    <s v="POSITION1"/>
    <x v="7"/>
    <x v="285"/>
  </r>
  <r>
    <n v="233959"/>
    <s v="People878"/>
    <s v="department"/>
    <s v="REGION8"/>
    <s v="STORE286"/>
    <s v="MANAGER104"/>
    <s v="NEGATIVO"/>
    <d v="1900-01-07T14:24:00"/>
    <d v="1900-01-07T14:24:00"/>
    <m/>
    <s v="POSITION1"/>
    <x v="7"/>
    <x v="285"/>
  </r>
  <r>
    <n v="229701"/>
    <s v="People879"/>
    <s v="department"/>
    <s v="REGION8"/>
    <s v="STORE286"/>
    <s v="MANAGER104"/>
    <s v="NEGATIVO"/>
    <d v="1900-01-06T23:22:00"/>
    <d v="1900-01-06T23:22:00"/>
    <m/>
    <s v="POSITION1"/>
    <x v="7"/>
    <x v="285"/>
  </r>
  <r>
    <n v="201126"/>
    <s v="People880"/>
    <s v="department"/>
    <s v="REGION8"/>
    <s v="STORE285"/>
    <s v="MANAGER104"/>
    <s v="NEGATIVO"/>
    <d v="1899-12-30T00:09:00"/>
    <d v="1899-12-30T00:09:00"/>
    <m/>
    <s v="POSITION4"/>
    <x v="7"/>
    <x v="284"/>
  </r>
  <r>
    <n v="203531"/>
    <s v="People881"/>
    <s v="department"/>
    <s v="REGION8"/>
    <s v="STORE286"/>
    <s v="MANAGER104"/>
    <s v="NEGATIVO"/>
    <d v="1900-01-04T09:45:00"/>
    <d v="1900-01-04T09:45:00"/>
    <m/>
    <s v="POSITION1"/>
    <x v="7"/>
    <x v="285"/>
  </r>
  <r>
    <n v="202742"/>
    <s v="People882"/>
    <s v="department"/>
    <s v="REGION8"/>
    <s v="STORE286"/>
    <s v="MANAGER104"/>
    <s v="NEGATIVO"/>
    <d v="1900-01-06T17:12:00"/>
    <d v="1900-01-06T17:12:00"/>
    <m/>
    <s v="POSITION1"/>
    <x v="7"/>
    <x v="285"/>
  </r>
  <r>
    <n v="200117"/>
    <s v="People883"/>
    <s v="department"/>
    <s v="REGION8"/>
    <s v="STORE287"/>
    <s v="MANAGER98"/>
    <s v="POSITIVO"/>
    <d v="1899-12-30T20:32:00"/>
    <m/>
    <d v="1899-12-30T20:32:00"/>
    <s v="POSITION9"/>
    <x v="7"/>
    <x v="286"/>
  </r>
  <r>
    <n v="232818"/>
    <s v="People884"/>
    <s v="department"/>
    <s v="REGION8"/>
    <s v="STORE288"/>
    <s v="MANAGER105"/>
    <s v="NEGATIVO"/>
    <d v="1899-12-30T12:45:00"/>
    <d v="1899-12-30T12:45:00"/>
    <m/>
    <s v="POSITION1"/>
    <x v="7"/>
    <x v="287"/>
  </r>
  <r>
    <n v="234576"/>
    <s v="People885"/>
    <s v="department"/>
    <s v="REGION8"/>
    <s v="STORE288"/>
    <s v="MANAGER105"/>
    <s v="NEGATIVO"/>
    <d v="1899-12-30T02:03:00"/>
    <d v="1899-12-30T02:03:00"/>
    <m/>
    <s v="POSITION1"/>
    <x v="7"/>
    <x v="287"/>
  </r>
  <r>
    <n v="232817"/>
    <s v="People886"/>
    <s v="department"/>
    <s v="REGION8"/>
    <s v="STORE289"/>
    <s v="MANAGER105"/>
    <s v="NEGATIVO"/>
    <d v="1899-12-31T18:15:00"/>
    <d v="1899-12-31T18:15:00"/>
    <m/>
    <s v="POSITION4"/>
    <x v="7"/>
    <x v="288"/>
  </r>
  <r>
    <n v="233016"/>
    <s v="People887"/>
    <s v="department"/>
    <s v="REGION8"/>
    <s v="STORE290"/>
    <s v="MANAGER98"/>
    <s v="NEGATIVO"/>
    <d v="1899-12-30T06:36:00"/>
    <d v="1899-12-30T06:36:00"/>
    <m/>
    <s v="POSITION2"/>
    <x v="7"/>
    <x v="289"/>
  </r>
  <r>
    <n v="222225"/>
    <s v="People888"/>
    <s v="department"/>
    <s v="REGION8"/>
    <s v="STORE289"/>
    <s v="MANAGER105"/>
    <s v="NEGATIVO"/>
    <d v="1899-12-30T04:33:00"/>
    <d v="1899-12-30T04:33:00"/>
    <m/>
    <s v="POSITION3"/>
    <x v="7"/>
    <x v="288"/>
  </r>
  <r>
    <n v="232796"/>
    <s v="People889"/>
    <s v="department"/>
    <s v="REGION8"/>
    <s v="STORE288"/>
    <s v="MANAGER105"/>
    <s v="NEGATIVO"/>
    <d v="1899-12-31T14:07:00"/>
    <d v="1899-12-31T14:07:00"/>
    <m/>
    <s v="POSITION1"/>
    <x v="7"/>
    <x v="287"/>
  </r>
  <r>
    <n v="232797"/>
    <s v="People890"/>
    <s v="department"/>
    <s v="REGION8"/>
    <s v="STORE288"/>
    <s v="MANAGER105"/>
    <s v="POSITIVO"/>
    <d v="1900-01-02T02:06:00"/>
    <m/>
    <d v="1900-01-02T02:06:00"/>
    <s v="POSITION1"/>
    <x v="7"/>
    <x v="287"/>
  </r>
  <r>
    <n v="225454"/>
    <s v="People891"/>
    <s v="department"/>
    <s v="REGION8"/>
    <s v="STORE291"/>
    <s v="MANAGER106"/>
    <s v="NEGATIVO"/>
    <d v="1900-01-04T09:53:00"/>
    <d v="1900-01-04T09:53:00"/>
    <m/>
    <s v="POSITION4"/>
    <x v="7"/>
    <x v="290"/>
  </r>
  <r>
    <n v="225453"/>
    <s v="People892"/>
    <s v="department"/>
    <s v="REGION8"/>
    <s v="STORE291"/>
    <s v="MANAGER106"/>
    <s v="NEGATIVO"/>
    <d v="1900-01-07T12:16:00"/>
    <d v="1900-01-07T12:16:00"/>
    <m/>
    <s v="POSITION3"/>
    <x v="7"/>
    <x v="290"/>
  </r>
  <r>
    <n v="231115"/>
    <s v="People893"/>
    <s v="department"/>
    <s v="REGION8"/>
    <s v="STORE292"/>
    <s v="MANAGER106"/>
    <s v="NEGATIVO"/>
    <d v="1900-01-03T08:23:00"/>
    <d v="1900-01-03T08:23:00"/>
    <m/>
    <s v="POSITION1"/>
    <x v="7"/>
    <x v="291"/>
  </r>
  <r>
    <n v="231116"/>
    <s v="People894"/>
    <s v="department"/>
    <s v="REGION8"/>
    <s v="STORE292"/>
    <s v="MANAGER106"/>
    <s v="POSITIVO"/>
    <d v="1900-01-03T12:51:00"/>
    <m/>
    <d v="1900-01-03T12:51:00"/>
    <s v="POSITION1"/>
    <x v="7"/>
    <x v="291"/>
  </r>
  <r>
    <n v="225392"/>
    <s v="People895"/>
    <s v="department"/>
    <s v="REGION8"/>
    <s v="STORE292"/>
    <s v="MANAGER106"/>
    <s v="POSITIVO"/>
    <d v="1900-01-03T05:52:00"/>
    <m/>
    <d v="1900-01-03T05:52:00"/>
    <s v="POSITION1"/>
    <x v="7"/>
    <x v="291"/>
  </r>
  <r>
    <n v="234533"/>
    <s v="People896"/>
    <s v="department"/>
    <s v="REGION8"/>
    <s v="STORE292"/>
    <s v="MANAGER106"/>
    <s v="POSITIVO"/>
    <d v="1900-01-02T16:30:00"/>
    <m/>
    <d v="1900-01-02T16:30:00"/>
    <s v="POSITION1"/>
    <x v="7"/>
    <x v="291"/>
  </r>
  <r>
    <n v="229447"/>
    <s v="People897"/>
    <s v="department"/>
    <s v="REGION8"/>
    <s v="STORE292"/>
    <s v="MANAGER106"/>
    <s v="POSITIVO"/>
    <d v="1900-01-02T15:32:00"/>
    <m/>
    <d v="1900-01-02T15:32:00"/>
    <s v="POSITION1"/>
    <x v="7"/>
    <x v="291"/>
  </r>
  <r>
    <n v="234938"/>
    <s v="People898"/>
    <s v="department"/>
    <s v="REGION8"/>
    <s v="STORE293"/>
    <s v="MANAGER98"/>
    <s v="POSITIVO"/>
    <d v="1899-12-31T00:07:00"/>
    <m/>
    <d v="1899-12-31T00:07:00"/>
    <s v="POSITION2"/>
    <x v="7"/>
    <x v="292"/>
  </r>
  <r>
    <n v="238220"/>
    <s v="People899"/>
    <s v="department"/>
    <s v="REGION8"/>
    <s v="STORE294"/>
    <s v="MANAGER107"/>
    <s v="NEGATIVO"/>
    <d v="1899-12-30T08:48:00"/>
    <d v="1899-12-30T08:48:00"/>
    <m/>
    <s v="POSITION1"/>
    <x v="7"/>
    <x v="293"/>
  </r>
  <r>
    <n v="237209"/>
    <s v="People900"/>
    <s v="department"/>
    <s v="REGION8"/>
    <s v="STORE294"/>
    <s v="MANAGER107"/>
    <s v="NEGATIVO"/>
    <d v="1899-12-31T09:32:00"/>
    <d v="1899-12-31T09:32:00"/>
    <m/>
    <s v="POSITION1"/>
    <x v="7"/>
    <x v="293"/>
  </r>
  <r>
    <n v="235804"/>
    <s v="People901"/>
    <s v="department"/>
    <s v="REGION8"/>
    <s v="STORE295"/>
    <s v="MANAGER107"/>
    <s v="NEGATIVO"/>
    <d v="1900-01-08T21:17:00"/>
    <d v="1900-01-08T21:17:00"/>
    <m/>
    <s v="POSITION4"/>
    <x v="7"/>
    <x v="294"/>
  </r>
  <r>
    <n v="235432"/>
    <s v="People902"/>
    <s v="department"/>
    <s v="REGION8"/>
    <s v="STORE294"/>
    <s v="MANAGER107"/>
    <s v="POSITIVO"/>
    <d v="1899-12-31T08:21:00"/>
    <m/>
    <d v="1899-12-31T08:21:00"/>
    <s v="POSITION1"/>
    <x v="7"/>
    <x v="293"/>
  </r>
  <r>
    <n v="238218"/>
    <s v="People903"/>
    <s v="department"/>
    <s v="REGION8"/>
    <s v="STORE295"/>
    <s v="MANAGER107"/>
    <s v="POSITIVO"/>
    <d v="1899-12-30T06:35:00"/>
    <m/>
    <d v="1899-12-30T06:35:00"/>
    <s v="POSITION3"/>
    <x v="7"/>
    <x v="294"/>
  </r>
  <r>
    <n v="225462"/>
    <s v="People904"/>
    <s v="department"/>
    <s v="REGION8"/>
    <s v="STORE296"/>
    <s v="MANAGER108"/>
    <s v="NEGATIVO"/>
    <d v="1899-12-30T01:52:00"/>
    <d v="1899-12-30T01:52:00"/>
    <m/>
    <s v="POSITION3"/>
    <x v="7"/>
    <x v="295"/>
  </r>
  <r>
    <n v="223055"/>
    <s v="People905"/>
    <s v="department"/>
    <s v="REGION8"/>
    <s v="STORE297"/>
    <s v="MANAGER108"/>
    <s v="NEGATIVO"/>
    <d v="1899-12-30T18:13:00"/>
    <d v="1899-12-30T18:13:00"/>
    <m/>
    <s v="POSITION1"/>
    <x v="7"/>
    <x v="296"/>
  </r>
  <r>
    <n v="223287"/>
    <s v="People906"/>
    <s v="department"/>
    <s v="REGION8"/>
    <s v="STORE296"/>
    <s v="MANAGER108"/>
    <s v="NEGATIVO"/>
    <d v="1900-01-07T22:01:00"/>
    <d v="1900-01-07T22:01:00"/>
    <m/>
    <s v="POSITION4"/>
    <x v="7"/>
    <x v="295"/>
  </r>
  <r>
    <n v="236032"/>
    <s v="People907"/>
    <s v="department"/>
    <s v="REGION8"/>
    <s v="STORE297"/>
    <s v="MANAGER108"/>
    <s v="NEGATIVO"/>
    <d v="1899-12-30T02:15:00"/>
    <d v="1899-12-30T02:15:00"/>
    <m/>
    <s v="POSITION1"/>
    <x v="7"/>
    <x v="296"/>
  </r>
  <r>
    <n v="229770"/>
    <s v="People908"/>
    <s v="department"/>
    <s v="REGION8"/>
    <s v="STORE298"/>
    <s v="MANAGER98"/>
    <s v="POSITIVO"/>
    <d v="1899-12-31T08:14:00"/>
    <m/>
    <d v="1899-12-31T08:14:00"/>
    <s v="POSITION2"/>
    <x v="7"/>
    <x v="297"/>
  </r>
  <r>
    <n v="230261"/>
    <s v="People909"/>
    <s v="department"/>
    <s v="REGION8"/>
    <s v="STORE297"/>
    <s v="MANAGER108"/>
    <s v="POSITIVO"/>
    <d v="1899-12-30T06:56:00"/>
    <m/>
    <d v="1899-12-30T06:56:00"/>
    <s v="POSITION1"/>
    <x v="7"/>
    <x v="296"/>
  </r>
  <r>
    <n v="230277"/>
    <s v="People910"/>
    <s v="department"/>
    <s v="REGION8"/>
    <s v="STORE297"/>
    <s v="MANAGER108"/>
    <s v="POSITIVO"/>
    <d v="1899-12-30T04:04:00"/>
    <m/>
    <d v="1899-12-30T04:04:00"/>
    <s v="POSITION1"/>
    <x v="7"/>
    <x v="296"/>
  </r>
  <r>
    <n v="225539"/>
    <s v="People911"/>
    <s v="department"/>
    <s v="REGION8"/>
    <s v="STORE299"/>
    <s v="MANAGER109"/>
    <s v="NEGATIVO"/>
    <d v="1899-12-30T07:13:00"/>
    <d v="1899-12-30T07:13:00"/>
    <m/>
    <s v="POSITION1"/>
    <x v="7"/>
    <x v="298"/>
  </r>
  <r>
    <n v="235710"/>
    <s v="People912"/>
    <s v="department"/>
    <s v="REGION8"/>
    <s v="STORE299"/>
    <s v="MANAGER109"/>
    <s v="NEGATIVO"/>
    <d v="1899-12-30T11:03:00"/>
    <d v="1899-12-30T11:03:00"/>
    <m/>
    <s v="POSITION1"/>
    <x v="7"/>
    <x v="298"/>
  </r>
  <r>
    <n v="231230"/>
    <s v="People913"/>
    <s v="department"/>
    <s v="REGION8"/>
    <s v="STORE300"/>
    <s v="MANAGER109"/>
    <s v="POSITIVO"/>
    <d v="1900-01-02T03:07:00"/>
    <m/>
    <d v="1900-01-02T03:07:00"/>
    <s v="POSITION3"/>
    <x v="7"/>
    <x v="299"/>
  </r>
  <r>
    <n v="237791"/>
    <s v="People914"/>
    <s v="department"/>
    <s v="REGION8"/>
    <s v="STORE299"/>
    <s v="MANAGER109"/>
    <s v="POSITIVO"/>
    <d v="1900-01-01T04:04:00"/>
    <m/>
    <d v="1900-01-01T04:04:00"/>
    <s v="POSITION1"/>
    <x v="7"/>
    <x v="298"/>
  </r>
  <r>
    <n v="234626"/>
    <s v="People915"/>
    <s v="department"/>
    <s v="REGION8"/>
    <s v="STORE299"/>
    <s v="MANAGER109"/>
    <s v="POSITIVO"/>
    <d v="1900-01-01T03:46:00"/>
    <m/>
    <d v="1900-01-01T03:46:00"/>
    <s v="POSITION1"/>
    <x v="7"/>
    <x v="298"/>
  </r>
  <r>
    <n v="216552"/>
    <s v="People916"/>
    <s v="department"/>
    <s v="REGION8"/>
    <s v="STORE301"/>
    <s v="MANAGER98"/>
    <s v="POSITIVO"/>
    <d v="1899-12-31T05:40:00"/>
    <m/>
    <d v="1899-12-31T05:40:00"/>
    <s v="POSITION9"/>
    <x v="7"/>
    <x v="300"/>
  </r>
  <r>
    <n v="238036"/>
    <s v="People917"/>
    <s v="department"/>
    <s v="REGION8"/>
    <s v="STORE299"/>
    <s v="MANAGER109"/>
    <s v="POSITIVO"/>
    <d v="1899-12-30T08:48:00"/>
    <m/>
    <d v="1899-12-30T08:48:00"/>
    <s v="POSITION1"/>
    <x v="7"/>
    <x v="298"/>
  </r>
  <r>
    <n v="218097"/>
    <s v="People918"/>
    <s v="department"/>
    <s v="REGION8"/>
    <s v="STORE300"/>
    <s v="MANAGER109"/>
    <s v="POSITIVO"/>
    <d v="1899-12-30T08:06:00"/>
    <m/>
    <d v="1899-12-30T08:06:00"/>
    <s v="POSITION3"/>
    <x v="7"/>
    <x v="299"/>
  </r>
  <r>
    <n v="224508"/>
    <s v="People919"/>
    <s v="department"/>
    <s v="REGION8"/>
    <s v="STORE300"/>
    <s v="MANAGER109"/>
    <s v="POSITIVO"/>
    <d v="1899-12-30T05:20:00"/>
    <m/>
    <d v="1899-12-30T05:20:00"/>
    <s v="POSITION4"/>
    <x v="7"/>
    <x v="299"/>
  </r>
  <r>
    <n v="229847"/>
    <s v="People920"/>
    <s v="department"/>
    <s v="REGION8"/>
    <s v="STORE299"/>
    <s v="MANAGER109"/>
    <s v="POSITIVO"/>
    <d v="1899-12-30T04:24:00"/>
    <m/>
    <d v="1899-12-30T04:24:00"/>
    <s v="POSITION1"/>
    <x v="7"/>
    <x v="298"/>
  </r>
  <r>
    <n v="235376"/>
    <s v="People921"/>
    <s v="department"/>
    <s v="REGION8"/>
    <s v="STORE302"/>
    <s v="MANAGER110"/>
    <s v="NEGATIVO"/>
    <d v="1899-12-30T11:42:00"/>
    <d v="1899-12-30T11:42:00"/>
    <m/>
    <s v="POSITION1"/>
    <x v="7"/>
    <x v="301"/>
  </r>
  <r>
    <n v="237697"/>
    <s v="People922"/>
    <s v="department"/>
    <s v="REGION8"/>
    <s v="STORE302"/>
    <s v="MANAGER110"/>
    <s v="NEGATIVO"/>
    <d v="1899-12-30T11:28:00"/>
    <d v="1899-12-30T11:28:00"/>
    <m/>
    <s v="POSITION1"/>
    <x v="7"/>
    <x v="301"/>
  </r>
  <r>
    <n v="234143"/>
    <s v="People923"/>
    <s v="department"/>
    <s v="REGION8"/>
    <s v="STORE302"/>
    <s v="MANAGER110"/>
    <s v="NEGATIVO"/>
    <d v="1899-12-30T15:54:00"/>
    <d v="1899-12-30T15:54:00"/>
    <m/>
    <s v="POSITION1"/>
    <x v="7"/>
    <x v="301"/>
  </r>
  <r>
    <n v="234141"/>
    <s v="People924"/>
    <s v="department"/>
    <s v="REGION8"/>
    <s v="STORE302"/>
    <s v="MANAGER110"/>
    <s v="NEGATIVO"/>
    <d v="1899-12-31T22:49:00"/>
    <d v="1899-12-31T22:49:00"/>
    <m/>
    <s v="POSITION1"/>
    <x v="7"/>
    <x v="301"/>
  </r>
  <r>
    <n v="237707"/>
    <s v="People925"/>
    <s v="department"/>
    <s v="REGION8"/>
    <s v="STORE302"/>
    <s v="MANAGER110"/>
    <s v="NEGATIVO"/>
    <d v="1899-12-31T07:03:00"/>
    <d v="1899-12-31T07:03:00"/>
    <m/>
    <s v="POSITION1"/>
    <x v="7"/>
    <x v="301"/>
  </r>
  <r>
    <n v="234142"/>
    <s v="People926"/>
    <s v="department"/>
    <s v="REGION8"/>
    <s v="STORE303"/>
    <s v="MANAGER110"/>
    <s v="NEGATIVO"/>
    <d v="1899-12-30T03:47:00"/>
    <d v="1899-12-30T03:47:00"/>
    <m/>
    <s v="POSITION3"/>
    <x v="7"/>
    <x v="302"/>
  </r>
  <r>
    <n v="236401"/>
    <s v="People927"/>
    <s v="department"/>
    <s v="REGION8"/>
    <s v="STORE303"/>
    <s v="MANAGER110"/>
    <s v="NEGATIVO"/>
    <d v="1899-12-30T22:09:00"/>
    <d v="1899-12-30T22:09:00"/>
    <m/>
    <s v="POSITION3"/>
    <x v="7"/>
    <x v="302"/>
  </r>
  <r>
    <n v="234144"/>
    <s v="People928"/>
    <s v="department"/>
    <s v="REGION8"/>
    <s v="STORE304"/>
    <s v="MANAGER98"/>
    <s v="POSITIVO"/>
    <d v="1899-12-30T16:44:00"/>
    <m/>
    <d v="1899-12-30T16:44:00"/>
    <s v="POSITION2"/>
    <x v="7"/>
    <x v="303"/>
  </r>
  <r>
    <n v="236130"/>
    <s v="People929"/>
    <s v="department"/>
    <s v="REGION8"/>
    <s v="STORE303"/>
    <s v="MANAGER110"/>
    <s v="POSITIVO"/>
    <d v="1899-12-30T07:26:00"/>
    <m/>
    <d v="1899-12-30T07:26:00"/>
    <s v="POSITION4"/>
    <x v="7"/>
    <x v="302"/>
  </r>
  <r>
    <n v="237232"/>
    <s v="People930"/>
    <s v="department"/>
    <s v="REGION8"/>
    <s v="STORE305"/>
    <s v="MANAGER111"/>
    <s v="NEGATIVO"/>
    <d v="1899-12-30T01:48:00"/>
    <d v="1899-12-30T01:48:00"/>
    <m/>
    <s v="POSITION3"/>
    <x v="7"/>
    <x v="304"/>
  </r>
  <r>
    <n v="237318"/>
    <s v="People931"/>
    <s v="department"/>
    <s v="REGION8"/>
    <s v="STORE306"/>
    <s v="MANAGER111"/>
    <s v="POSITIVO"/>
    <d v="1899-12-31T20:00:00"/>
    <m/>
    <d v="1899-12-31T20:00:00"/>
    <s v="POSITION1"/>
    <x v="7"/>
    <x v="305"/>
  </r>
  <r>
    <n v="237563"/>
    <s v="People932"/>
    <s v="department"/>
    <s v="REGION8"/>
    <s v="STORE306"/>
    <s v="MANAGER111"/>
    <s v="POSITIVO"/>
    <d v="1899-12-30T11:00:00"/>
    <m/>
    <d v="1899-12-30T11:00:00"/>
    <s v="POSITION1"/>
    <x v="7"/>
    <x v="305"/>
  </r>
  <r>
    <n v="237564"/>
    <s v="People933"/>
    <s v="department"/>
    <s v="REGION8"/>
    <s v="STORE305"/>
    <s v="MANAGER111"/>
    <s v="POSITIVO"/>
    <d v="1899-12-30T04:00:00"/>
    <m/>
    <d v="1899-12-30T04:00:00"/>
    <s v="POSITION4"/>
    <x v="7"/>
    <x v="304"/>
  </r>
  <r>
    <n v="234668"/>
    <s v="People934"/>
    <s v="department"/>
    <s v="REGION8"/>
    <s v="STORE307"/>
    <s v="MANAGER112"/>
    <s v="NEGATIVO"/>
    <d v="1899-12-31T05:42:00"/>
    <d v="1899-12-31T05:42:00"/>
    <m/>
    <s v="POSITION4"/>
    <x v="7"/>
    <x v="306"/>
  </r>
  <r>
    <n v="234161"/>
    <s v="People935"/>
    <s v="department"/>
    <s v="REGION8"/>
    <s v="STORE308"/>
    <s v="MANAGER112"/>
    <s v="NEGATIVO"/>
    <d v="1899-12-31T08:31:00"/>
    <d v="1899-12-31T08:31:00"/>
    <m/>
    <s v="POSITION1"/>
    <x v="7"/>
    <x v="307"/>
  </r>
  <r>
    <n v="235725"/>
    <s v="People936"/>
    <s v="department"/>
    <s v="REGION8"/>
    <s v="STORE308"/>
    <s v="MANAGER112"/>
    <s v="NEGATIVO"/>
    <d v="1899-12-30T20:08:00"/>
    <d v="1899-12-30T20:08:00"/>
    <m/>
    <s v="POSITION1"/>
    <x v="7"/>
    <x v="307"/>
  </r>
  <r>
    <n v="234146"/>
    <s v="People937"/>
    <s v="department"/>
    <s v="REGION8"/>
    <s v="STORE308"/>
    <s v="MANAGER112"/>
    <s v="POSITIVO"/>
    <d v="1900-01-05T06:26:00"/>
    <m/>
    <d v="1900-01-05T06:26:00"/>
    <s v="POSITION1"/>
    <x v="7"/>
    <x v="307"/>
  </r>
  <r>
    <n v="235711"/>
    <s v="People938"/>
    <s v="department"/>
    <s v="REGION8"/>
    <s v="STORE308"/>
    <s v="MANAGER112"/>
    <s v="POSITIVO"/>
    <d v="1900-01-02T08:26:00"/>
    <m/>
    <d v="1900-01-02T08:26:00"/>
    <s v="POSITION1"/>
    <x v="7"/>
    <x v="307"/>
  </r>
  <r>
    <n v="234165"/>
    <s v="People939"/>
    <s v="department"/>
    <s v="REGION8"/>
    <s v="STORE307"/>
    <s v="MANAGER112"/>
    <s v="POSITIVO"/>
    <d v="1899-12-31T21:46:00"/>
    <m/>
    <d v="1899-12-31T21:46:00"/>
    <s v="POSITION3"/>
    <x v="7"/>
    <x v="306"/>
  </r>
  <r>
    <n v="235375"/>
    <s v="People940"/>
    <s v="department"/>
    <s v="REGION8"/>
    <s v="STORE309"/>
    <s v="MANAGER98"/>
    <s v="POSITIVO"/>
    <d v="1899-12-31T00:40:00"/>
    <m/>
    <d v="1899-12-31T00:40:00"/>
    <s v="POSITION2"/>
    <x v="7"/>
    <x v="308"/>
  </r>
  <r>
    <n v="236084"/>
    <s v="People941"/>
    <s v="department"/>
    <s v="REGION8"/>
    <s v="STORE308"/>
    <s v="MANAGER112"/>
    <s v="POSITIVO"/>
    <d v="1899-12-30T09:24:00"/>
    <m/>
    <d v="1899-12-30T09:24:00"/>
    <s v="POSITION1"/>
    <x v="7"/>
    <x v="307"/>
  </r>
  <r>
    <n v="230276"/>
    <s v="People942"/>
    <s v="department"/>
    <s v="REGION8"/>
    <s v="STORE310"/>
    <s v="MANAGER98"/>
    <s v="POSITIVO"/>
    <d v="1899-12-30T14:09:00"/>
    <m/>
    <d v="1899-12-30T14:09:00"/>
    <s v="POSITION2"/>
    <x v="7"/>
    <x v="309"/>
  </r>
  <r>
    <n v="235023"/>
    <s v="People943"/>
    <s v="department"/>
    <s v="REGION8"/>
    <s v="STORE311"/>
    <s v="MANAGER113"/>
    <s v="NEGATIVO"/>
    <d v="1899-12-30T11:34:00"/>
    <d v="1899-12-30T11:34:00"/>
    <m/>
    <s v="POSITION1"/>
    <x v="7"/>
    <x v="310"/>
  </r>
  <r>
    <n v="235819"/>
    <s v="People944"/>
    <s v="department"/>
    <s v="REGION8"/>
    <s v="STORE312"/>
    <s v="MANAGER113"/>
    <s v="NEGATIVO"/>
    <d v="1899-12-30T02:44:00"/>
    <d v="1899-12-30T02:44:00"/>
    <m/>
    <s v="POSITION5"/>
    <x v="7"/>
    <x v="311"/>
  </r>
  <r>
    <n v="232716"/>
    <s v="People945"/>
    <s v="department"/>
    <s v="REGION8"/>
    <s v="STORE311"/>
    <s v="MANAGER113"/>
    <s v="POSITIVO"/>
    <d v="1899-12-31T02:49:00"/>
    <m/>
    <d v="1899-12-31T02:49:00"/>
    <s v="POSITION1"/>
    <x v="7"/>
    <x v="310"/>
  </r>
  <r>
    <n v="231776"/>
    <s v="People946"/>
    <s v="department"/>
    <s v="REGION8"/>
    <s v="STORE311"/>
    <s v="MANAGER113"/>
    <s v="POSITIVO"/>
    <d v="1899-12-30T22:58:00"/>
    <m/>
    <d v="1899-12-30T22:58:00"/>
    <s v="POSITION1"/>
    <x v="7"/>
    <x v="310"/>
  </r>
  <r>
    <n v="232842"/>
    <s v="People947"/>
    <s v="department"/>
    <s v="REGION8"/>
    <s v="STORE311"/>
    <s v="MANAGER113"/>
    <s v="POSITIVO"/>
    <d v="1899-12-30T20:54:00"/>
    <m/>
    <d v="1899-12-30T20:54:00"/>
    <s v="POSITION1"/>
    <x v="7"/>
    <x v="310"/>
  </r>
  <r>
    <n v="234739"/>
    <s v="People948"/>
    <s v="department"/>
    <s v="REGION8"/>
    <s v="STORE311"/>
    <s v="MANAGER113"/>
    <s v="POSITIVO"/>
    <d v="1899-12-30T17:03:00"/>
    <m/>
    <d v="1899-12-30T17:03:00"/>
    <s v="POSITION1"/>
    <x v="7"/>
    <x v="310"/>
  </r>
  <r>
    <n v="231223"/>
    <s v="People949"/>
    <s v="department"/>
    <s v="REGION8"/>
    <s v="STORE311"/>
    <s v="MANAGER113"/>
    <s v="POSITIVO"/>
    <d v="1899-12-30T16:36:00"/>
    <m/>
    <d v="1899-12-30T16:36:00"/>
    <s v="POSITION1"/>
    <x v="7"/>
    <x v="310"/>
  </r>
  <r>
    <n v="219894"/>
    <s v="People950"/>
    <s v="department"/>
    <s v="REGION8"/>
    <s v="STORE313"/>
    <s v="MANAGER98"/>
    <s v="POSITIVO"/>
    <d v="1899-12-30T14:17:00"/>
    <m/>
    <d v="1899-12-30T14:17:00"/>
    <s v="POSITION2"/>
    <x v="7"/>
    <x v="312"/>
  </r>
  <r>
    <n v="229385"/>
    <s v="People951"/>
    <s v="department"/>
    <s v="REGION8"/>
    <s v="STORE312"/>
    <s v="MANAGER113"/>
    <s v="POSITIVO"/>
    <d v="1899-12-30T12:26:00"/>
    <m/>
    <d v="1899-12-30T12:26:00"/>
    <s v="POSITION3"/>
    <x v="7"/>
    <x v="311"/>
  </r>
  <r>
    <n v="229584"/>
    <s v="People952"/>
    <s v="department"/>
    <s v="REGION8"/>
    <s v="STORE312"/>
    <s v="MANAGER113"/>
    <s v="POSITIVO"/>
    <d v="1899-12-30T10:09:00"/>
    <m/>
    <d v="1899-12-30T10:09:00"/>
    <s v="POSITION3"/>
    <x v="7"/>
    <x v="311"/>
  </r>
  <r>
    <n v="235844"/>
    <s v="People953"/>
    <s v="department"/>
    <s v="REGION8"/>
    <s v="STORE311"/>
    <s v="MANAGER113"/>
    <s v="POSITIVO"/>
    <d v="1899-12-30T08:22:00"/>
    <m/>
    <d v="1899-12-30T08:22:00"/>
    <s v="POSITION1"/>
    <x v="7"/>
    <x v="310"/>
  </r>
  <r>
    <n v="217966"/>
    <s v="People954"/>
    <s v="department"/>
    <s v="REGION8"/>
    <s v="STORE312"/>
    <s v="MANAGER113"/>
    <s v="POSITIVO"/>
    <d v="1899-12-30T06:42:00"/>
    <m/>
    <d v="1899-12-30T06:42:00"/>
    <s v="POSITION4"/>
    <x v="7"/>
    <x v="311"/>
  </r>
  <r>
    <n v="203594"/>
    <s v="People955"/>
    <s v="department"/>
    <s v="REGION9"/>
    <s v="STORE314"/>
    <s v="MANAGER114"/>
    <s v="NEGATIVO"/>
    <d v="1899-12-31T09:14:00"/>
    <d v="1899-12-31T09:14:00"/>
    <m/>
    <s v="POSITION1"/>
    <x v="8"/>
    <x v="313"/>
  </r>
  <r>
    <n v="235756"/>
    <s v="People956"/>
    <s v="department"/>
    <s v="REGION9"/>
    <s v="STORE315"/>
    <s v="MANAGER115"/>
    <s v="NEGATIVO"/>
    <d v="1899-12-31T10:09:00"/>
    <d v="1899-12-31T10:09:00"/>
    <m/>
    <s v="POSITION1"/>
    <x v="8"/>
    <x v="314"/>
  </r>
  <r>
    <n v="221016"/>
    <s v="People957"/>
    <s v="department"/>
    <s v="REGION9"/>
    <s v="STORE316"/>
    <s v="MANAGER116"/>
    <s v="NEGATIVO"/>
    <d v="1900-01-02T08:12:00"/>
    <d v="1900-01-02T08:12:00"/>
    <m/>
    <s v="POSITION4"/>
    <x v="8"/>
    <x v="315"/>
  </r>
  <r>
    <n v="224468"/>
    <s v="People958"/>
    <s v="department"/>
    <s v="REGION9"/>
    <s v="STORE317"/>
    <s v="MANAGER117"/>
    <s v="NEGATIVO"/>
    <d v="1899-12-31T03:14:00"/>
    <d v="1899-12-31T03:14:00"/>
    <m/>
    <s v="POSITION3"/>
    <x v="8"/>
    <x v="316"/>
  </r>
  <r>
    <n v="230583"/>
    <s v="People959"/>
    <s v="department"/>
    <s v="REGION9"/>
    <s v="STORE318"/>
    <s v="MANAGER116"/>
    <s v="NEGATIVO"/>
    <d v="1900-01-03T18:52:00"/>
    <d v="1900-01-03T18:52:00"/>
    <m/>
    <s v="POSITION1"/>
    <x v="8"/>
    <x v="317"/>
  </r>
  <r>
    <n v="223539"/>
    <s v="People960"/>
    <s v="department"/>
    <s v="REGION9"/>
    <s v="STORE319"/>
    <s v="MANAGER118"/>
    <s v="NEGATIVO"/>
    <d v="1900-01-11T09:37:00"/>
    <d v="1900-01-11T09:37:00"/>
    <m/>
    <s v="POSITION4"/>
    <x v="8"/>
    <x v="318"/>
  </r>
  <r>
    <n v="218444"/>
    <s v="People961"/>
    <s v="department"/>
    <s v="REGION8"/>
    <s v="STORE320"/>
    <s v="MANAGER119"/>
    <s v="NEGATIVO"/>
    <d v="1899-12-31T00:25:00"/>
    <d v="1899-12-31T00:25:00"/>
    <m/>
    <s v="POSITION3"/>
    <x v="7"/>
    <x v="319"/>
  </r>
  <r>
    <n v="229828"/>
    <s v="People962"/>
    <s v="department"/>
    <s v="REGION9"/>
    <s v="STORE315"/>
    <s v="MANAGER115"/>
    <s v="NEGATIVO"/>
    <d v="1899-12-30T23:34:00"/>
    <d v="1899-12-30T23:34:00"/>
    <m/>
    <s v="POSITION1"/>
    <x v="8"/>
    <x v="314"/>
  </r>
  <r>
    <n v="235499"/>
    <s v="People963"/>
    <s v="department"/>
    <s v="REGION9"/>
    <s v="STORE321"/>
    <s v="MANAGER117"/>
    <s v="NEGATIVO"/>
    <d v="1899-12-30T18:15:00"/>
    <d v="1899-12-30T18:15:00"/>
    <m/>
    <s v="POSITION1"/>
    <x v="8"/>
    <x v="320"/>
  </r>
  <r>
    <n v="237491"/>
    <s v="People964"/>
    <s v="department"/>
    <s v="REGION9"/>
    <s v="STORE314"/>
    <s v="MANAGER114"/>
    <s v="NEGATIVO"/>
    <d v="1899-12-30T05:50:00"/>
    <d v="1899-12-30T05:50:00"/>
    <m/>
    <s v="POSITION1"/>
    <x v="8"/>
    <x v="313"/>
  </r>
  <r>
    <n v="233434"/>
    <s v="People965"/>
    <s v="department"/>
    <s v="REGION9"/>
    <s v="STORE315"/>
    <s v="MANAGER115"/>
    <s v="NEGATIVO"/>
    <d v="1899-12-31T20:01:00"/>
    <d v="1899-12-31T20:01:00"/>
    <m/>
    <s v="POSITION1"/>
    <x v="8"/>
    <x v="314"/>
  </r>
  <r>
    <n v="203339"/>
    <s v="People966"/>
    <s v="department"/>
    <s v="REGION9"/>
    <s v="STORE322"/>
    <s v="MANAGER120"/>
    <s v="NEGATIVO"/>
    <d v="1899-12-31T09:10:00"/>
    <d v="1899-12-31T09:10:00"/>
    <m/>
    <s v="POSITION2"/>
    <x v="8"/>
    <x v="321"/>
  </r>
  <r>
    <n v="235957"/>
    <s v="People967"/>
    <s v="department"/>
    <s v="REGION9"/>
    <s v="STORE323"/>
    <s v="MANAGER121"/>
    <s v="NEGATIVO"/>
    <d v="1900-01-19T04:18:00"/>
    <d v="1900-01-19T04:18:00"/>
    <m/>
    <s v="POSITION3"/>
    <x v="8"/>
    <x v="322"/>
  </r>
  <r>
    <n v="233380"/>
    <s v="People968"/>
    <s v="department"/>
    <s v="REGION9"/>
    <s v="STORE324"/>
    <s v="MANAGER122"/>
    <s v="NEGATIVO"/>
    <d v="1899-12-30T10:36:00"/>
    <d v="1899-12-30T10:36:00"/>
    <m/>
    <s v="POSITION1"/>
    <x v="8"/>
    <x v="323"/>
  </r>
  <r>
    <n v="238191"/>
    <s v="People969"/>
    <s v="department"/>
    <s v="REGION8"/>
    <s v="STORE325"/>
    <s v="MANAGER119"/>
    <s v="NEGATIVO"/>
    <d v="1899-12-30T09:04:00"/>
    <d v="1899-12-30T09:04:00"/>
    <m/>
    <s v="POSITION1"/>
    <x v="7"/>
    <x v="324"/>
  </r>
  <r>
    <n v="235966"/>
    <s v="People970"/>
    <s v="department"/>
    <s v="REGION9"/>
    <s v="STORE323"/>
    <s v="MANAGER121"/>
    <s v="NEGATIVO"/>
    <d v="1899-12-31T23:31:00"/>
    <d v="1899-12-31T23:31:00"/>
    <m/>
    <s v="POSITION4"/>
    <x v="8"/>
    <x v="322"/>
  </r>
  <r>
    <n v="202925"/>
    <s v="People971"/>
    <s v="department"/>
    <s v="REGION9"/>
    <s v="STORE326"/>
    <s v="MANAGER122"/>
    <s v="NEGATIVO"/>
    <d v="1900-01-31T06:24:00"/>
    <d v="1900-01-31T06:24:00"/>
    <m/>
    <s v="POSITION3"/>
    <x v="8"/>
    <x v="325"/>
  </r>
  <r>
    <n v="230518"/>
    <s v="People972"/>
    <s v="department"/>
    <s v="REGION9"/>
    <s v="STORE314"/>
    <s v="MANAGER114"/>
    <s v="NEGATIVO"/>
    <d v="1900-01-01T21:01:00"/>
    <d v="1900-01-01T21:01:00"/>
    <m/>
    <s v="POSITION1"/>
    <x v="8"/>
    <x v="313"/>
  </r>
  <r>
    <n v="232506"/>
    <s v="People973"/>
    <s v="department"/>
    <s v="REGION9"/>
    <s v="STORE321"/>
    <s v="MANAGER117"/>
    <s v="NEGATIVO"/>
    <d v="1899-12-30T11:19:00"/>
    <d v="1899-12-30T11:19:00"/>
    <m/>
    <s v="POSITION1"/>
    <x v="8"/>
    <x v="320"/>
  </r>
  <r>
    <n v="230559"/>
    <s v="People974"/>
    <s v="department"/>
    <s v="REGION9"/>
    <s v="STORE321"/>
    <s v="MANAGER117"/>
    <s v="NEGATIVO"/>
    <d v="1900-01-01T19:22:00"/>
    <d v="1900-01-01T19:22:00"/>
    <m/>
    <s v="POSITION1"/>
    <x v="8"/>
    <x v="320"/>
  </r>
  <r>
    <n v="232249"/>
    <s v="People975"/>
    <s v="department"/>
    <s v="REGION9"/>
    <s v="STORE326"/>
    <s v="MANAGER122"/>
    <s v="NEGATIVO"/>
    <d v="1899-12-30T00:11:00"/>
    <d v="1899-12-30T00:11:00"/>
    <m/>
    <s v="POSITION3"/>
    <x v="8"/>
    <x v="325"/>
  </r>
  <r>
    <n v="235963"/>
    <s v="People976"/>
    <s v="department"/>
    <s v="REGION9"/>
    <s v="STORE327"/>
    <s v="MANAGER121"/>
    <s v="NEGATIVO"/>
    <d v="1900-01-21T15:09:00"/>
    <d v="1900-01-21T15:09:00"/>
    <m/>
    <s v="POSITION1"/>
    <x v="8"/>
    <x v="326"/>
  </r>
  <r>
    <n v="236870"/>
    <s v="People977"/>
    <s v="department"/>
    <s v="REGION9"/>
    <s v="STORE315"/>
    <s v="MANAGER115"/>
    <s v="NEGATIVO"/>
    <d v="1900-01-04T23:03:00"/>
    <d v="1900-01-04T23:03:00"/>
    <m/>
    <s v="POSITION1"/>
    <x v="8"/>
    <x v="314"/>
  </r>
  <r>
    <n v="230403"/>
    <s v="People978"/>
    <s v="department"/>
    <s v="REGION9"/>
    <s v="STORE321"/>
    <s v="MANAGER117"/>
    <s v="NEGATIVO"/>
    <d v="1899-12-30T13:24:00"/>
    <d v="1899-12-30T13:24:00"/>
    <m/>
    <s v="POSITION1"/>
    <x v="8"/>
    <x v="320"/>
  </r>
  <r>
    <n v="233457"/>
    <s v="People979"/>
    <s v="department"/>
    <s v="REGION9"/>
    <s v="STORE315"/>
    <s v="MANAGER115"/>
    <s v="NEGATIVO"/>
    <d v="1900-01-02T16:28:00"/>
    <d v="1900-01-02T16:28:00"/>
    <m/>
    <s v="POSITION1"/>
    <x v="8"/>
    <x v="314"/>
  </r>
  <r>
    <n v="231739"/>
    <s v="People980"/>
    <s v="department"/>
    <s v="REGION8"/>
    <s v="STORE328"/>
    <s v="MANAGER123"/>
    <s v="NEGATIVO"/>
    <d v="1899-12-30T09:50:00"/>
    <d v="1899-12-30T09:50:00"/>
    <m/>
    <s v="POSITION3"/>
    <x v="7"/>
    <x v="327"/>
  </r>
  <r>
    <n v="236617"/>
    <s v="People981"/>
    <s v="department"/>
    <s v="REGION9"/>
    <s v="STORE316"/>
    <s v="MANAGER116"/>
    <s v="NEGATIVO"/>
    <d v="1900-01-10T19:20:00"/>
    <d v="1900-01-10T19:20:00"/>
    <m/>
    <s v="POSITION3"/>
    <x v="8"/>
    <x v="315"/>
  </r>
  <r>
    <n v="234608"/>
    <s v="People982"/>
    <s v="department"/>
    <s v="REGION8"/>
    <s v="STORE329"/>
    <s v="MANAGER123"/>
    <s v="NEGATIVO"/>
    <d v="1899-12-30T01:38:00"/>
    <d v="1899-12-30T01:38:00"/>
    <m/>
    <s v="POSITION1"/>
    <x v="7"/>
    <x v="328"/>
  </r>
  <r>
    <n v="217928"/>
    <s v="People983"/>
    <s v="department"/>
    <s v="REGION8"/>
    <s v="STORE320"/>
    <s v="MANAGER119"/>
    <s v="NEGATIVO"/>
    <d v="1900-01-01T11:36:00"/>
    <d v="1900-01-01T11:36:00"/>
    <m/>
    <s v="POSITION4"/>
    <x v="7"/>
    <x v="319"/>
  </r>
  <r>
    <n v="201004"/>
    <s v="People984"/>
    <s v="department"/>
    <s v="REGION9"/>
    <s v="STORE317"/>
    <s v="MANAGER117"/>
    <s v="NEGATIVO"/>
    <d v="1899-12-30T06:50:00"/>
    <d v="1899-12-30T06:50:00"/>
    <m/>
    <s v="POSITION4"/>
    <x v="8"/>
    <x v="316"/>
  </r>
  <r>
    <n v="234530"/>
    <s v="People985"/>
    <s v="department"/>
    <s v="REGION9"/>
    <s v="STORE324"/>
    <s v="MANAGER122"/>
    <s v="NEGATIVO"/>
    <d v="1899-12-30T09:58:00"/>
    <d v="1899-12-30T09:58:00"/>
    <m/>
    <s v="POSITION1"/>
    <x v="8"/>
    <x v="323"/>
  </r>
  <r>
    <n v="218005"/>
    <s v="People986"/>
    <s v="department"/>
    <s v="REGION9"/>
    <s v="STORE317"/>
    <s v="MANAGER117"/>
    <s v="NEGATIVO"/>
    <d v="1900-01-01T09:32:00"/>
    <d v="1900-01-01T09:32:00"/>
    <m/>
    <s v="POSITION3"/>
    <x v="8"/>
    <x v="316"/>
  </r>
  <r>
    <n v="236042"/>
    <s v="People987"/>
    <s v="department"/>
    <s v="REGION9"/>
    <s v="STORE324"/>
    <s v="MANAGER122"/>
    <s v="NEGATIVO"/>
    <d v="1899-12-30T11:41:00"/>
    <d v="1899-12-30T11:41:00"/>
    <m/>
    <s v="POSITION1"/>
    <x v="8"/>
    <x v="323"/>
  </r>
  <r>
    <n v="219308"/>
    <s v="People988"/>
    <s v="department"/>
    <s v="REGION9"/>
    <s v="STORE319"/>
    <s v="MANAGER118"/>
    <s v="NEGATIVO"/>
    <d v="1899-12-30T01:32:00"/>
    <d v="1899-12-30T01:32:00"/>
    <m/>
    <s v="POSITION3"/>
    <x v="8"/>
    <x v="318"/>
  </r>
  <r>
    <n v="230388"/>
    <s v="People989"/>
    <s v="department"/>
    <s v="REGION9"/>
    <s v="STORE321"/>
    <s v="MANAGER117"/>
    <s v="NEGATIVO"/>
    <d v="1900-01-01T11:59:00"/>
    <d v="1900-01-01T11:59:00"/>
    <m/>
    <s v="POSITION1"/>
    <x v="8"/>
    <x v="320"/>
  </r>
  <r>
    <n v="203583"/>
    <s v="People990"/>
    <s v="department"/>
    <s v="REGION9"/>
    <s v="STORE315"/>
    <s v="MANAGER115"/>
    <s v="NEGATIVO"/>
    <d v="1900-01-02T20:04:00"/>
    <d v="1900-01-02T20:04:00"/>
    <m/>
    <s v="POSITION1"/>
    <x v="8"/>
    <x v="314"/>
  </r>
  <r>
    <n v="220228"/>
    <s v="People991"/>
    <s v="department"/>
    <s v="REGION8"/>
    <s v="STORE330"/>
    <s v="MANAGER98"/>
    <s v="NEGATIVO"/>
    <d v="1900-01-03T11:05:00"/>
    <d v="1900-01-03T11:05:00"/>
    <m/>
    <s v="POSITION9"/>
    <x v="7"/>
    <x v="329"/>
  </r>
  <r>
    <n v="221057"/>
    <s v="People992"/>
    <s v="department"/>
    <s v="REGION8"/>
    <s v="STORE320"/>
    <s v="MANAGER119"/>
    <s v="NEGATIVO"/>
    <d v="1900-01-02T12:21:00"/>
    <d v="1900-01-02T12:21:00"/>
    <m/>
    <s v="POSITION3"/>
    <x v="7"/>
    <x v="319"/>
  </r>
  <r>
    <n v="236411"/>
    <s v="People993"/>
    <s v="department"/>
    <s v="REGION8"/>
    <s v="STORE329"/>
    <s v="MANAGER123"/>
    <s v="POSITIVO"/>
    <d v="1899-12-31T21:34:00"/>
    <m/>
    <d v="1899-12-31T21:34:00"/>
    <s v="POSITION1"/>
    <x v="7"/>
    <x v="328"/>
  </r>
  <r>
    <n v="237670"/>
    <s v="People994"/>
    <s v="department"/>
    <s v="REGION8"/>
    <s v="STORE329"/>
    <s v="MANAGER123"/>
    <s v="POSITIVO"/>
    <d v="1899-12-31T17:10:00"/>
    <m/>
    <d v="1899-12-31T17:10:00"/>
    <s v="POSITION1"/>
    <x v="7"/>
    <x v="328"/>
  </r>
  <r>
    <n v="225547"/>
    <s v="People995"/>
    <s v="department"/>
    <s v="REGION9"/>
    <s v="STORE331"/>
    <s v="MANAGER118"/>
    <s v="POSITIVO"/>
    <d v="1899-12-31T15:38:00"/>
    <m/>
    <d v="1899-12-31T15:38:00"/>
    <s v="POSITION1"/>
    <x v="8"/>
    <x v="330"/>
  </r>
  <r>
    <n v="237666"/>
    <s v="People996"/>
    <s v="department"/>
    <s v="REGION8"/>
    <s v="STORE329"/>
    <s v="MANAGER123"/>
    <s v="POSITIVO"/>
    <d v="1899-12-31T14:35:00"/>
    <m/>
    <d v="1899-12-31T14:35:00"/>
    <s v="POSITION1"/>
    <x v="7"/>
    <x v="328"/>
  </r>
  <r>
    <n v="203231"/>
    <s v="People997"/>
    <s v="department"/>
    <s v="REGION9"/>
    <s v="STORE331"/>
    <s v="MANAGER118"/>
    <s v="POSITIVO"/>
    <d v="1899-12-31T05:49:00"/>
    <m/>
    <d v="1899-12-31T05:49:00"/>
    <s v="POSITION1"/>
    <x v="8"/>
    <x v="330"/>
  </r>
  <r>
    <n v="231271"/>
    <s v="People998"/>
    <s v="department"/>
    <s v="REGION8"/>
    <s v="STORE329"/>
    <s v="MANAGER123"/>
    <s v="POSITIVO"/>
    <d v="1899-12-31T03:06:00"/>
    <m/>
    <d v="1899-12-31T03:06:00"/>
    <s v="POSITION1"/>
    <x v="7"/>
    <x v="328"/>
  </r>
  <r>
    <n v="220205"/>
    <s v="People999"/>
    <s v="department"/>
    <s v="REGION8"/>
    <s v="STORE332"/>
    <s v="MANAGER98"/>
    <s v="POSITIVO"/>
    <d v="1899-12-31T01:50:00"/>
    <m/>
    <d v="1899-12-31T01:50:00"/>
    <s v="POSITION9"/>
    <x v="7"/>
    <x v="331"/>
  </r>
  <r>
    <n v="216570"/>
    <s v="People1000"/>
    <s v="department"/>
    <s v="REGION9"/>
    <s v="STORE333"/>
    <s v="MANAGER120"/>
    <s v="POSITIVO"/>
    <d v="1899-12-31T00:19:00"/>
    <m/>
    <d v="1899-12-31T00:19:00"/>
    <s v="POSITION9"/>
    <x v="8"/>
    <x v="332"/>
  </r>
  <r>
    <n v="219156"/>
    <s v="People1001"/>
    <s v="department"/>
    <s v="REGION8"/>
    <s v="STORE328"/>
    <s v="MANAGER123"/>
    <s v="POSITIVO"/>
    <d v="1899-12-30T23:44:00"/>
    <m/>
    <d v="1899-12-30T23:44:00"/>
    <s v="POSITION3"/>
    <x v="7"/>
    <x v="327"/>
  </r>
  <r>
    <n v="238053"/>
    <s v="People1002"/>
    <s v="department"/>
    <s v="REGION9"/>
    <s v="STORE327"/>
    <s v="MANAGER121"/>
    <s v="POSITIVO"/>
    <d v="1899-12-30T23:22:00"/>
    <m/>
    <d v="1899-12-30T23:22:00"/>
    <s v="POSITION1"/>
    <x v="8"/>
    <x v="326"/>
  </r>
  <r>
    <n v="237937"/>
    <s v="People1003"/>
    <s v="department"/>
    <s v="REGION9"/>
    <s v="STORE334"/>
    <s v="MANAGER114"/>
    <s v="POSITIVO"/>
    <d v="1899-12-30T20:42:00"/>
    <m/>
    <d v="1899-12-30T20:42:00"/>
    <s v="POSITION3"/>
    <x v="8"/>
    <x v="333"/>
  </r>
  <r>
    <n v="237901"/>
    <s v="People1004"/>
    <s v="department"/>
    <s v="REGION8"/>
    <s v="STORE335"/>
    <s v="MANAGER124"/>
    <s v="POSITIVO"/>
    <d v="1899-12-30T19:24:00"/>
    <m/>
    <d v="1899-12-30T19:24:00"/>
    <s v="POSITION1"/>
    <x v="7"/>
    <x v="334"/>
  </r>
  <r>
    <n v="203638"/>
    <s v="People1005"/>
    <s v="department"/>
    <s v="REGION9"/>
    <s v="STORE318"/>
    <s v="MANAGER116"/>
    <s v="POSITIVO"/>
    <d v="1899-12-30T19:09:00"/>
    <m/>
    <d v="1899-12-30T19:09:00"/>
    <s v="POSITION1"/>
    <x v="8"/>
    <x v="317"/>
  </r>
  <r>
    <n v="237715"/>
    <s v="People1006"/>
    <s v="department"/>
    <s v="REGION8"/>
    <s v="STORE329"/>
    <s v="MANAGER123"/>
    <s v="POSITIVO"/>
    <d v="1899-12-30T18:46:00"/>
    <m/>
    <d v="1899-12-30T18:46:00"/>
    <s v="POSITION1"/>
    <x v="7"/>
    <x v="328"/>
  </r>
  <r>
    <n v="237754"/>
    <s v="People1007"/>
    <s v="department"/>
    <s v="REGION8"/>
    <s v="STORE335"/>
    <s v="MANAGER124"/>
    <s v="POSITIVO"/>
    <d v="1899-12-30T16:48:00"/>
    <m/>
    <d v="1899-12-30T16:48:00"/>
    <s v="POSITION1"/>
    <x v="7"/>
    <x v="334"/>
  </r>
  <r>
    <n v="223959"/>
    <s v="People1008"/>
    <s v="department"/>
    <s v="REGION9"/>
    <s v="STORE321"/>
    <s v="MANAGER117"/>
    <s v="POSITIVO"/>
    <d v="1899-12-30T15:32:00"/>
    <m/>
    <d v="1899-12-30T15:32:00"/>
    <s v="POSITION1"/>
    <x v="8"/>
    <x v="320"/>
  </r>
  <r>
    <n v="237900"/>
    <s v="People1009"/>
    <s v="department"/>
    <s v="REGION8"/>
    <s v="STORE335"/>
    <s v="MANAGER124"/>
    <s v="POSITIVO"/>
    <d v="1899-12-30T15:24:00"/>
    <m/>
    <d v="1899-12-30T15:24:00"/>
    <s v="POSITION1"/>
    <x v="7"/>
    <x v="334"/>
  </r>
  <r>
    <n v="232004"/>
    <s v="People1010"/>
    <s v="department"/>
    <s v="REGION8"/>
    <s v="STORE325"/>
    <s v="MANAGER119"/>
    <s v="POSITIVO"/>
    <d v="1899-12-30T15:19:00"/>
    <m/>
    <d v="1899-12-30T15:19:00"/>
    <s v="POSITION1"/>
    <x v="7"/>
    <x v="324"/>
  </r>
  <r>
    <n v="235178"/>
    <s v="People1011"/>
    <s v="department"/>
    <s v="REGION9"/>
    <s v="STORE331"/>
    <s v="MANAGER118"/>
    <s v="POSITIVO"/>
    <d v="1899-12-30T13:43:00"/>
    <m/>
    <d v="1899-12-30T13:43:00"/>
    <s v="POSITION1"/>
    <x v="8"/>
    <x v="330"/>
  </r>
  <r>
    <n v="225892"/>
    <s v="People1012"/>
    <s v="department"/>
    <s v="REGION9"/>
    <s v="STORE336"/>
    <s v="MANAGER115"/>
    <s v="POSITIVO"/>
    <d v="1899-12-30T13:15:00"/>
    <m/>
    <d v="1899-12-30T13:15:00"/>
    <s v="POSITION3"/>
    <x v="8"/>
    <x v="335"/>
  </r>
  <r>
    <n v="203488"/>
    <s v="People1013"/>
    <s v="department"/>
    <s v="REGION9"/>
    <s v="STORE318"/>
    <s v="MANAGER116"/>
    <s v="POSITIVO"/>
    <d v="1899-12-30T12:24:00"/>
    <m/>
    <d v="1899-12-30T12:24:00"/>
    <s v="POSITION1"/>
    <x v="8"/>
    <x v="317"/>
  </r>
  <r>
    <n v="229919"/>
    <s v="People1014"/>
    <s v="department"/>
    <s v="REGION9"/>
    <s v="STORE324"/>
    <s v="MANAGER122"/>
    <s v="POSITIVO"/>
    <d v="1899-12-30T11:11:00"/>
    <m/>
    <d v="1899-12-30T11:11:00"/>
    <s v="POSITION1"/>
    <x v="8"/>
    <x v="323"/>
  </r>
  <r>
    <n v="203407"/>
    <s v="People1015"/>
    <s v="department"/>
    <s v="REGION8"/>
    <s v="STORE325"/>
    <s v="MANAGER119"/>
    <s v="POSITIVO"/>
    <d v="1899-12-30T11:05:00"/>
    <m/>
    <d v="1899-12-30T11:05:00"/>
    <s v="POSITION1"/>
    <x v="7"/>
    <x v="324"/>
  </r>
  <r>
    <n v="237157"/>
    <s v="People1016"/>
    <s v="department"/>
    <s v="REGION9"/>
    <s v="STORE336"/>
    <s v="MANAGER115"/>
    <s v="POSITIVO"/>
    <d v="1899-12-30T10:46:00"/>
    <m/>
    <d v="1899-12-30T10:46:00"/>
    <s v="POSITION3"/>
    <x v="8"/>
    <x v="335"/>
  </r>
  <r>
    <n v="238046"/>
    <s v="People1017"/>
    <s v="department"/>
    <s v="REGION9"/>
    <s v="STORE327"/>
    <s v="MANAGER121"/>
    <s v="POSITIVO"/>
    <d v="1899-12-30T10:44:00"/>
    <m/>
    <d v="1899-12-30T10:44:00"/>
    <s v="POSITION1"/>
    <x v="8"/>
    <x v="326"/>
  </r>
  <r>
    <n v="232279"/>
    <s v="People1018"/>
    <s v="department"/>
    <s v="REGION9"/>
    <s v="STORE337"/>
    <s v="MANAGER120"/>
    <s v="POSITIVO"/>
    <d v="1899-12-30T10:00:00"/>
    <m/>
    <d v="1899-12-30T10:00:00"/>
    <s v="POSITION2"/>
    <x v="8"/>
    <x v="336"/>
  </r>
  <r>
    <n v="230461"/>
    <s v="People1019"/>
    <s v="department"/>
    <s v="REGION8"/>
    <s v="STORE325"/>
    <s v="MANAGER119"/>
    <s v="POSITIVO"/>
    <d v="1899-12-30T08:04:00"/>
    <m/>
    <d v="1899-12-30T08:04:00"/>
    <s v="POSITION1"/>
    <x v="7"/>
    <x v="324"/>
  </r>
  <r>
    <n v="229410"/>
    <s v="People1020"/>
    <s v="department"/>
    <s v="REGION8"/>
    <s v="STORE325"/>
    <s v="MANAGER119"/>
    <s v="POSITIVO"/>
    <d v="1899-12-30T06:43:00"/>
    <m/>
    <d v="1899-12-30T06:43:00"/>
    <s v="POSITION1"/>
    <x v="7"/>
    <x v="324"/>
  </r>
  <r>
    <n v="237161"/>
    <s v="People1021"/>
    <s v="department"/>
    <s v="REGION9"/>
    <s v="STORE336"/>
    <s v="MANAGER115"/>
    <s v="POSITIVO"/>
    <d v="1899-12-30T06:29:00"/>
    <m/>
    <d v="1899-12-30T06:29:00"/>
    <s v="POSITION4"/>
    <x v="8"/>
    <x v="335"/>
  </r>
  <r>
    <n v="236378"/>
    <s v="People1022"/>
    <s v="department"/>
    <s v="REGION9"/>
    <s v="STORE338"/>
    <s v="MANAGER120"/>
    <s v="POSITIVO"/>
    <d v="1899-12-30T05:49:00"/>
    <m/>
    <d v="1899-12-30T05:49:00"/>
    <s v="POSITION2"/>
    <x v="8"/>
    <x v="337"/>
  </r>
  <r>
    <n v="202825"/>
    <s v="People1023"/>
    <s v="department"/>
    <s v="REGION8"/>
    <s v="STORE328"/>
    <s v="MANAGER123"/>
    <s v="POSITIVO"/>
    <d v="1899-12-30T05:22:00"/>
    <m/>
    <d v="1899-12-30T05:22:00"/>
    <s v="POSITION4"/>
    <x v="7"/>
    <x v="327"/>
  </r>
  <r>
    <n v="220933"/>
    <s v="People1024"/>
    <s v="department"/>
    <s v="REGION9"/>
    <s v="STORE339"/>
    <s v="MANAGER120"/>
    <s v="POSITIVO"/>
    <d v="1899-12-30T05:14:00"/>
    <m/>
    <d v="1899-12-30T05:14:00"/>
    <s v="POSITION2"/>
    <x v="8"/>
    <x v="338"/>
  </r>
  <r>
    <n v="221161"/>
    <s v="People1025"/>
    <s v="department"/>
    <s v="REGION9"/>
    <s v="STORE340"/>
    <s v="MANAGER120"/>
    <s v="POSITIVO"/>
    <d v="1899-12-30T04:21:00"/>
    <m/>
    <d v="1899-12-30T04:21:00"/>
    <s v="POSITION7"/>
    <x v="8"/>
    <x v="339"/>
  </r>
  <r>
    <n v="225196"/>
    <s v="People1026"/>
    <s v="department"/>
    <s v="REGION9"/>
    <s v="STORE318"/>
    <s v="MANAGER116"/>
    <s v="POSITIVO"/>
    <d v="1899-12-30T04:06:00"/>
    <m/>
    <d v="1899-12-30T04:06:00"/>
    <s v="POSITION1"/>
    <x v="8"/>
    <x v="317"/>
  </r>
  <r>
    <n v="237635"/>
    <s v="People1027"/>
    <s v="department"/>
    <s v="REGION9"/>
    <s v="STORE314"/>
    <s v="MANAGER114"/>
    <s v="POSITIVO"/>
    <d v="1899-12-30T03:06:00"/>
    <m/>
    <d v="1899-12-30T03:06:00"/>
    <s v="POSITION1"/>
    <x v="8"/>
    <x v="313"/>
  </r>
  <r>
    <n v="237730"/>
    <s v="People1028"/>
    <s v="department"/>
    <s v="REGION8"/>
    <s v="STORE325"/>
    <s v="MANAGER119"/>
    <s v="POSITIVO"/>
    <d v="1899-12-30T03:06:00"/>
    <m/>
    <d v="1899-12-30T03:06:00"/>
    <s v="POSITION1"/>
    <x v="7"/>
    <x v="324"/>
  </r>
  <r>
    <n v="225764"/>
    <s v="People1029"/>
    <s v="department"/>
    <s v="REGION9"/>
    <s v="STORE324"/>
    <s v="MANAGER122"/>
    <s v="POSITIVO"/>
    <d v="1899-12-30T02:36:00"/>
    <m/>
    <d v="1899-12-30T02:36:00"/>
    <s v="POSITION1"/>
    <x v="8"/>
    <x v="323"/>
  </r>
  <r>
    <n v="237629"/>
    <s v="People1030"/>
    <s v="department"/>
    <s v="REGION9"/>
    <s v="STORE334"/>
    <s v="MANAGER114"/>
    <s v="POSITIVO"/>
    <d v="1899-12-30T01:41:00"/>
    <m/>
    <d v="1899-12-30T01:41:00"/>
    <s v="POSITION3"/>
    <x v="8"/>
    <x v="333"/>
  </r>
  <r>
    <n v="237899"/>
    <s v="People1031"/>
    <s v="department"/>
    <s v="REGION8"/>
    <s v="STORE341"/>
    <s v="MANAGER124"/>
    <s v="POSITIVO"/>
    <d v="1899-12-30T01:36:00"/>
    <m/>
    <d v="1899-12-30T01:36:00"/>
    <s v="POSITION3"/>
    <x v="7"/>
    <x v="340"/>
  </r>
  <r>
    <n v="237897"/>
    <s v="People1032"/>
    <s v="department"/>
    <s v="REGION8"/>
    <s v="STORE341"/>
    <s v="MANAGER124"/>
    <s v="POSITIVO"/>
    <d v="1899-12-30T01:24:00"/>
    <m/>
    <d v="1899-12-30T01:24:00"/>
    <s v="POSITION4"/>
    <x v="7"/>
    <x v="340"/>
  </r>
  <r>
    <n v="232036"/>
    <s v="People1033"/>
    <s v="department"/>
    <s v="REGION9"/>
    <s v="STORE326"/>
    <s v="MANAGER122"/>
    <s v="POSITIVO"/>
    <d v="1899-12-30T00:53:00"/>
    <m/>
    <d v="1899-12-30T00:53:00"/>
    <s v="POSITION4"/>
    <x v="8"/>
    <x v="325"/>
  </r>
  <r>
    <n v="237330"/>
    <s v="People1034"/>
    <s v="department"/>
    <s v="REGION9"/>
    <s v="STORE342"/>
    <s v="MANAGER120"/>
    <s v="POSITIVO"/>
    <d v="1899-12-30T00:25:00"/>
    <m/>
    <d v="1899-12-30T00:25:00"/>
    <s v="POSITION2"/>
    <x v="8"/>
    <x v="341"/>
  </r>
  <r>
    <n v="237329"/>
    <s v="People1035"/>
    <s v="department"/>
    <s v="REGION9"/>
    <s v="STORE334"/>
    <s v="MANAGER114"/>
    <s v="POSITIVO"/>
    <d v="1899-12-30T00:03:00"/>
    <m/>
    <d v="1899-12-30T00:03:00"/>
    <s v="POSITION4"/>
    <x v="8"/>
    <x v="333"/>
  </r>
  <r>
    <n v="236974"/>
    <s v="People1036"/>
    <s v="department"/>
    <s v="REGION9"/>
    <s v="STORE343"/>
    <s v="MANAGER121"/>
    <s v="NEGATIVO"/>
    <d v="1899-12-30T21:34:00"/>
    <d v="1899-12-30T21:34:00"/>
    <m/>
    <s v="POSITION1"/>
    <x v="8"/>
    <x v="342"/>
  </r>
  <r>
    <n v="233635"/>
    <s v="People1037"/>
    <s v="department"/>
    <s v="REGION9"/>
    <s v="STORE344"/>
    <s v="MANAGER125"/>
    <s v="NEGATIVO"/>
    <d v="1899-12-30T06:24:00"/>
    <d v="1899-12-30T06:24:00"/>
    <m/>
    <s v="POSITION1"/>
    <x v="8"/>
    <x v="343"/>
  </r>
  <r>
    <n v="231649"/>
    <s v="People1038"/>
    <s v="department"/>
    <s v="REGION9"/>
    <s v="STORE345"/>
    <s v="MANAGER126"/>
    <s v="NEGATIVO"/>
    <d v="1899-12-30T01:06:00"/>
    <d v="1899-12-30T01:06:00"/>
    <m/>
    <s v="POSITION4"/>
    <x v="8"/>
    <x v="344"/>
  </r>
  <r>
    <n v="237566"/>
    <s v="People1039"/>
    <s v="department"/>
    <s v="REGION9"/>
    <s v="STORE346"/>
    <s v="MANAGER114"/>
    <s v="NEGATIVO"/>
    <d v="1899-12-31T10:40:00"/>
    <d v="1899-12-31T10:40:00"/>
    <m/>
    <s v="POSITION1"/>
    <x v="8"/>
    <x v="345"/>
  </r>
  <r>
    <n v="229924"/>
    <s v="People1040"/>
    <s v="department"/>
    <s v="REGION9"/>
    <s v="STORE347"/>
    <s v="MANAGER127"/>
    <s v="NEGATIVO"/>
    <d v="1899-12-30T12:36:00"/>
    <d v="1899-12-30T12:36:00"/>
    <m/>
    <s v="POSITION4"/>
    <x v="8"/>
    <x v="346"/>
  </r>
  <r>
    <n v="231877"/>
    <s v="People1041"/>
    <s v="department"/>
    <s v="REGION9"/>
    <s v="STORE348"/>
    <s v="MANAGER120"/>
    <s v="NEGATIVO"/>
    <d v="1899-12-30T03:15:00"/>
    <d v="1899-12-30T03:15:00"/>
    <m/>
    <s v="POSITION2"/>
    <x v="8"/>
    <x v="347"/>
  </r>
  <r>
    <n v="237011"/>
    <s v="People1042"/>
    <s v="department"/>
    <s v="REGION9"/>
    <s v="STORE343"/>
    <s v="MANAGER121"/>
    <s v="NEGATIVO"/>
    <d v="1900-01-07T16:25:00"/>
    <d v="1900-01-07T16:25:00"/>
    <m/>
    <s v="POSITION1"/>
    <x v="8"/>
    <x v="342"/>
  </r>
  <r>
    <n v="229745"/>
    <s v="People1043"/>
    <s v="department"/>
    <s v="REGION9"/>
    <s v="STORE349"/>
    <s v="MANAGER127"/>
    <s v="NEGATIVO"/>
    <d v="1899-12-30T00:12:00"/>
    <d v="1899-12-30T00:12:00"/>
    <m/>
    <s v="POSITION1"/>
    <x v="8"/>
    <x v="348"/>
  </r>
  <r>
    <n v="230386"/>
    <s v="People1044"/>
    <s v="department"/>
    <s v="REGION9"/>
    <s v="STORE350"/>
    <s v="MANAGER128"/>
    <s v="NEGATIVO"/>
    <d v="1900-01-04T19:42:00"/>
    <d v="1900-01-04T19:42:00"/>
    <m/>
    <s v="POSITION1"/>
    <x v="8"/>
    <x v="349"/>
  </r>
  <r>
    <n v="225270"/>
    <s v="People1045"/>
    <s v="department"/>
    <s v="REGION9"/>
    <s v="STORE351"/>
    <s v="MANAGER129"/>
    <s v="NEGATIVO"/>
    <d v="1899-12-30T04:12:00"/>
    <d v="1899-12-30T04:12:00"/>
    <m/>
    <s v="POSITION4"/>
    <x v="8"/>
    <x v="350"/>
  </r>
  <r>
    <n v="224085"/>
    <s v="People1046"/>
    <s v="department"/>
    <s v="REGION9"/>
    <s v="STORE352"/>
    <s v="MANAGER125"/>
    <s v="NEGATIVO"/>
    <d v="1900-01-01T00:48:00"/>
    <d v="1900-01-01T00:48:00"/>
    <m/>
    <s v="POSITION4"/>
    <x v="8"/>
    <x v="351"/>
  </r>
  <r>
    <n v="235552"/>
    <s v="People1047"/>
    <s v="department"/>
    <s v="REGION9"/>
    <s v="STORE353"/>
    <s v="MANAGER130"/>
    <s v="NEGATIVO"/>
    <d v="1900-01-01T01:21:00"/>
    <d v="1900-01-01T01:21:00"/>
    <m/>
    <s v="POSITION3"/>
    <x v="8"/>
    <x v="352"/>
  </r>
  <r>
    <n v="236881"/>
    <s v="People1048"/>
    <s v="department"/>
    <s v="REGION9"/>
    <s v="STORE352"/>
    <s v="MANAGER125"/>
    <s v="NEGATIVO"/>
    <d v="1899-12-30T08:27:00"/>
    <d v="1899-12-30T08:27:00"/>
    <m/>
    <s v="POSITION3"/>
    <x v="8"/>
    <x v="351"/>
  </r>
  <r>
    <n v="222289"/>
    <s v="People1049"/>
    <s v="department"/>
    <s v="REGION9"/>
    <s v="STORE354"/>
    <s v="MANAGER131"/>
    <s v="NEGATIVO"/>
    <d v="1900-01-11T10:41:00"/>
    <d v="1900-01-11T10:41:00"/>
    <m/>
    <s v="POSITION3"/>
    <x v="8"/>
    <x v="353"/>
  </r>
  <r>
    <n v="229864"/>
    <s v="People1050"/>
    <s v="department"/>
    <s v="REGION9"/>
    <s v="STORE350"/>
    <s v="MANAGER128"/>
    <s v="NEGATIVO"/>
    <d v="1899-12-30T18:31:00"/>
    <d v="1899-12-30T18:31:00"/>
    <m/>
    <s v="POSITION1"/>
    <x v="8"/>
    <x v="349"/>
  </r>
  <r>
    <n v="234743"/>
    <s v="People1051"/>
    <s v="department"/>
    <s v="REGION9"/>
    <s v="STORE355"/>
    <s v="MANAGER121"/>
    <s v="NEGATIVO"/>
    <d v="1899-12-30T19:12:00"/>
    <d v="1899-12-30T19:12:00"/>
    <m/>
    <s v="POSITION1"/>
    <x v="8"/>
    <x v="354"/>
  </r>
  <r>
    <n v="225122"/>
    <s v="People1052"/>
    <s v="department"/>
    <s v="REGION9"/>
    <s v="STORE356"/>
    <s v="MANAGER132"/>
    <s v="NEGATIVO"/>
    <d v="1900-01-15T04:44:00"/>
    <d v="1900-01-15T04:44:00"/>
    <m/>
    <s v="POSITION11"/>
    <x v="8"/>
    <x v="355"/>
  </r>
  <r>
    <n v="232479"/>
    <s v="People1053"/>
    <s v="department"/>
    <s v="REGION9"/>
    <s v="STORE357"/>
    <s v="MANAGER133"/>
    <s v="NEGATIVO"/>
    <d v="1900-01-08T17:36:00"/>
    <d v="1900-01-08T17:36:00"/>
    <m/>
    <s v="POSITION4"/>
    <x v="8"/>
    <x v="356"/>
  </r>
  <r>
    <n v="236253"/>
    <s v="People1054"/>
    <s v="department"/>
    <s v="REGION9"/>
    <s v="STORE358"/>
    <s v="MANAGER114"/>
    <s v="NEGATIVO"/>
    <d v="1899-12-30T12:40:00"/>
    <d v="1899-12-30T12:40:00"/>
    <m/>
    <s v="POSITION3"/>
    <x v="8"/>
    <x v="357"/>
  </r>
  <r>
    <n v="229844"/>
    <s v="People1055"/>
    <s v="department"/>
    <s v="REGION9"/>
    <s v="STORE359"/>
    <s v="MANAGER121"/>
    <s v="NEGATIVO"/>
    <d v="1899-12-30T06:51:00"/>
    <d v="1899-12-30T06:51:00"/>
    <m/>
    <s v="POSITION4"/>
    <x v="8"/>
    <x v="358"/>
  </r>
  <r>
    <n v="223219"/>
    <s v="People1056"/>
    <s v="department"/>
    <s v="REGION9"/>
    <s v="STORE360"/>
    <s v="MANAGER133"/>
    <s v="NEGATIVO"/>
    <d v="1900-01-11T23:57:00"/>
    <d v="1900-01-11T23:57:00"/>
    <m/>
    <s v="POSITION1"/>
    <x v="8"/>
    <x v="359"/>
  </r>
  <r>
    <n v="201292"/>
    <s v="People1057"/>
    <s v="department"/>
    <s v="REGION9"/>
    <s v="STORE361"/>
    <s v="MANAGER129"/>
    <s v="NEGATIVO"/>
    <d v="1899-12-30T06:39:00"/>
    <d v="1899-12-30T06:39:00"/>
    <m/>
    <s v="POSITION1"/>
    <x v="8"/>
    <x v="360"/>
  </r>
  <r>
    <n v="230848"/>
    <s v="People1058"/>
    <s v="department"/>
    <s v="REGION9"/>
    <s v="STORE362"/>
    <s v="MANAGER131"/>
    <s v="NEGATIVO"/>
    <d v="1899-12-30T04:59:00"/>
    <d v="1899-12-30T04:59:00"/>
    <m/>
    <s v="POSITION1"/>
    <x v="8"/>
    <x v="361"/>
  </r>
  <r>
    <n v="201416"/>
    <s v="People1059"/>
    <s v="department"/>
    <s v="REGION9"/>
    <s v="STORE354"/>
    <s v="MANAGER131"/>
    <s v="NEGATIVO"/>
    <d v="1900-01-03T00:45:00"/>
    <d v="1900-01-03T00:45:00"/>
    <m/>
    <s v="POSITION4"/>
    <x v="8"/>
    <x v="353"/>
  </r>
  <r>
    <n v="224469"/>
    <s v="People1060"/>
    <s v="department"/>
    <s v="REGION9"/>
    <s v="STORE363"/>
    <s v="MANAGER120"/>
    <s v="NEGATIVO"/>
    <d v="1899-12-31T09:19:00"/>
    <d v="1899-12-31T09:19:00"/>
    <m/>
    <s v="POSITION9"/>
    <x v="8"/>
    <x v="362"/>
  </r>
  <r>
    <n v="237008"/>
    <s v="People1061"/>
    <s v="department"/>
    <s v="REGION9"/>
    <s v="STORE343"/>
    <s v="MANAGER121"/>
    <s v="NEGATIVO"/>
    <d v="1899-12-30T01:46:00"/>
    <d v="1899-12-30T01:46:00"/>
    <m/>
    <s v="POSITION1"/>
    <x v="8"/>
    <x v="342"/>
  </r>
  <r>
    <n v="237138"/>
    <s v="People1062"/>
    <s v="department"/>
    <s v="REGION9"/>
    <s v="STORE364"/>
    <s v="MANAGER121"/>
    <s v="NEGATIVO"/>
    <d v="1899-12-30T01:10:00"/>
    <d v="1899-12-30T01:10:00"/>
    <m/>
    <s v="POSITION3"/>
    <x v="8"/>
    <x v="363"/>
  </r>
  <r>
    <n v="232028"/>
    <s v="People1063"/>
    <s v="department"/>
    <s v="REGION9"/>
    <s v="STORE345"/>
    <s v="MANAGER126"/>
    <s v="NEGATIVO"/>
    <d v="1899-12-31T10:05:00"/>
    <d v="1899-12-31T10:05:00"/>
    <m/>
    <s v="POSITION3"/>
    <x v="8"/>
    <x v="344"/>
  </r>
  <r>
    <n v="236239"/>
    <s v="People1064"/>
    <s v="department"/>
    <s v="REGION9"/>
    <s v="STORE353"/>
    <s v="MANAGER130"/>
    <s v="NEGATIVO"/>
    <d v="1900-01-15T10:07:00"/>
    <d v="1900-01-15T10:07:00"/>
    <m/>
    <s v="POSITION11"/>
    <x v="8"/>
    <x v="352"/>
  </r>
  <r>
    <n v="238038"/>
    <s v="People1065"/>
    <s v="department"/>
    <s v="REGION9"/>
    <s v="STORE355"/>
    <s v="MANAGER121"/>
    <s v="NEGATIVO"/>
    <d v="1899-12-30T04:22:00"/>
    <d v="1899-12-30T04:22:00"/>
    <m/>
    <s v="POSITION1"/>
    <x v="8"/>
    <x v="354"/>
  </r>
  <r>
    <n v="230648"/>
    <s v="People1066"/>
    <s v="department"/>
    <s v="REGION9"/>
    <s v="STORE365"/>
    <s v="MANAGER121"/>
    <s v="NEGATIVO"/>
    <d v="1899-12-30T18:56:00"/>
    <d v="1899-12-30T18:56:00"/>
    <m/>
    <s v="POSITION3"/>
    <x v="8"/>
    <x v="364"/>
  </r>
  <r>
    <n v="223356"/>
    <s v="People1067"/>
    <s v="department"/>
    <s v="REGION9"/>
    <s v="STORE362"/>
    <s v="MANAGER131"/>
    <s v="NEGATIVO"/>
    <d v="1899-12-31T04:12:00"/>
    <d v="1899-12-31T04:12:00"/>
    <m/>
    <s v="POSITION1"/>
    <x v="8"/>
    <x v="361"/>
  </r>
  <r>
    <n v="232547"/>
    <s v="People1068"/>
    <s v="department"/>
    <s v="REGION9"/>
    <s v="STORE366"/>
    <s v="MANAGER120"/>
    <s v="NEGATIVO"/>
    <d v="1899-12-30T11:06:00"/>
    <d v="1899-12-30T11:06:00"/>
    <m/>
    <s v="POSITION2"/>
    <x v="8"/>
    <x v="365"/>
  </r>
  <r>
    <n v="231093"/>
    <s v="People1069"/>
    <s v="department"/>
    <s v="REGION9"/>
    <s v="STORE367"/>
    <s v="MANAGER121"/>
    <s v="NEGATIVO"/>
    <d v="1899-12-30T21:31:00"/>
    <d v="1899-12-30T21:31:00"/>
    <m/>
    <s v="POSITION1"/>
    <x v="8"/>
    <x v="366"/>
  </r>
  <r>
    <n v="222991"/>
    <s v="People1070"/>
    <s v="department"/>
    <s v="REGION9"/>
    <s v="STORE354"/>
    <s v="MANAGER131"/>
    <s v="NEGATIVO"/>
    <d v="1900-01-04T09:46:00"/>
    <d v="1900-01-04T09:46:00"/>
    <m/>
    <s v="POSITION3"/>
    <x v="8"/>
    <x v="353"/>
  </r>
  <r>
    <n v="220368"/>
    <s v="People1071"/>
    <s v="department"/>
    <s v="REGION9"/>
    <s v="STORE345"/>
    <s v="MANAGER126"/>
    <s v="NEGATIVO"/>
    <d v="1899-12-30T07:44:00"/>
    <d v="1899-12-30T07:44:00"/>
    <m/>
    <s v="POSITION3"/>
    <x v="8"/>
    <x v="344"/>
  </r>
  <r>
    <n v="225266"/>
    <s v="People1072"/>
    <s v="department"/>
    <s v="REGION9"/>
    <s v="STORE351"/>
    <s v="MANAGER129"/>
    <s v="NEGATIVO"/>
    <d v="1899-12-30T05:38:00"/>
    <d v="1899-12-30T05:38:00"/>
    <m/>
    <s v="POSITION3"/>
    <x v="8"/>
    <x v="350"/>
  </r>
  <r>
    <n v="232411"/>
    <s v="People1073"/>
    <s v="department"/>
    <s v="REGION9"/>
    <s v="STORE360"/>
    <s v="MANAGER133"/>
    <s v="NEGATIVO"/>
    <d v="1900-01-11T08:06:00"/>
    <d v="1900-01-11T08:06:00"/>
    <m/>
    <s v="POSITION1"/>
    <x v="8"/>
    <x v="359"/>
  </r>
  <r>
    <n v="233355"/>
    <s v="People1074"/>
    <s v="department"/>
    <s v="REGION9"/>
    <s v="STORE368"/>
    <s v="MANAGER132"/>
    <s v="NEGATIVO"/>
    <d v="1899-12-31T04:57:00"/>
    <d v="1899-12-31T04:57:00"/>
    <m/>
    <s v="POSITION1"/>
    <x v="8"/>
    <x v="367"/>
  </r>
  <r>
    <n v="224556"/>
    <s v="People1075"/>
    <s v="department"/>
    <s v="REGION9"/>
    <s v="STORE362"/>
    <s v="MANAGER131"/>
    <s v="NEGATIVO"/>
    <d v="1899-12-30T07:09:00"/>
    <d v="1899-12-30T07:09:00"/>
    <m/>
    <s v="POSITION1"/>
    <x v="8"/>
    <x v="361"/>
  </r>
  <r>
    <n v="236352"/>
    <s v="People1076"/>
    <s v="department"/>
    <s v="REGION9"/>
    <s v="STORE368"/>
    <s v="MANAGER132"/>
    <s v="NEGATIVO"/>
    <d v="1899-12-30T13:05:00"/>
    <d v="1899-12-30T13:05:00"/>
    <m/>
    <s v="POSITION1"/>
    <x v="8"/>
    <x v="367"/>
  </r>
  <r>
    <n v="236246"/>
    <s v="People1077"/>
    <s v="department"/>
    <s v="REGION9"/>
    <s v="STORE350"/>
    <s v="MANAGER128"/>
    <s v="POSITIVO"/>
    <d v="1900-01-01T20:48:00"/>
    <m/>
    <d v="1900-01-01T20:48:00"/>
    <s v="POSITION1"/>
    <x v="8"/>
    <x v="349"/>
  </r>
  <r>
    <n v="236512"/>
    <s v="People1078"/>
    <s v="department"/>
    <s v="REGION9"/>
    <s v="STORE350"/>
    <s v="MANAGER128"/>
    <s v="POSITIVO"/>
    <d v="1900-01-01T12:01:00"/>
    <m/>
    <d v="1900-01-01T12:01:00"/>
    <s v="POSITION1"/>
    <x v="8"/>
    <x v="349"/>
  </r>
  <r>
    <n v="236158"/>
    <s v="People1079"/>
    <s v="department"/>
    <s v="REGION9"/>
    <s v="STORE363"/>
    <s v="MANAGER120"/>
    <s v="POSITIVO"/>
    <d v="1900-01-01T01:44:00"/>
    <m/>
    <d v="1900-01-01T01:44:00"/>
    <s v="POSITION9"/>
    <x v="8"/>
    <x v="362"/>
  </r>
  <r>
    <n v="236518"/>
    <s v="People1080"/>
    <s v="department"/>
    <s v="REGION9"/>
    <s v="STORE350"/>
    <s v="MANAGER128"/>
    <s v="POSITIVO"/>
    <d v="1899-12-31T11:35:00"/>
    <m/>
    <d v="1899-12-31T11:35:00"/>
    <s v="POSITION1"/>
    <x v="8"/>
    <x v="349"/>
  </r>
  <r>
    <n v="223207"/>
    <s v="People1081"/>
    <s v="department"/>
    <s v="REGION9"/>
    <s v="STORE360"/>
    <s v="MANAGER133"/>
    <s v="POSITIVO"/>
    <d v="1899-12-31T09:26:00"/>
    <m/>
    <d v="1899-12-31T09:26:00"/>
    <s v="POSITION1"/>
    <x v="8"/>
    <x v="359"/>
  </r>
  <r>
    <n v="235747"/>
    <s v="People1082"/>
    <s v="department"/>
    <s v="REGION9"/>
    <s v="STORE362"/>
    <s v="MANAGER131"/>
    <s v="POSITIVO"/>
    <d v="1899-12-31T08:28:00"/>
    <m/>
    <d v="1899-12-31T08:28:00"/>
    <s v="POSITION1"/>
    <x v="8"/>
    <x v="361"/>
  </r>
  <r>
    <n v="235367"/>
    <s v="People1083"/>
    <s v="department"/>
    <s v="REGION9"/>
    <s v="STORE369"/>
    <s v="MANAGER130"/>
    <s v="POSITIVO"/>
    <d v="1899-12-31T06:12:00"/>
    <m/>
    <d v="1899-12-31T06:12:00"/>
    <s v="POSITION1"/>
    <x v="8"/>
    <x v="368"/>
  </r>
  <r>
    <n v="235490"/>
    <s v="People1084"/>
    <s v="department"/>
    <s v="REGION9"/>
    <s v="STORE350"/>
    <s v="MANAGER128"/>
    <s v="POSITIVO"/>
    <d v="1899-12-31T03:43:00"/>
    <m/>
    <d v="1899-12-31T03:43:00"/>
    <s v="POSITION1"/>
    <x v="8"/>
    <x v="349"/>
  </r>
  <r>
    <n v="235366"/>
    <s v="People1085"/>
    <s v="department"/>
    <s v="REGION9"/>
    <s v="STORE370"/>
    <s v="MANAGER126"/>
    <s v="POSITIVO"/>
    <d v="1899-12-30T23:49:00"/>
    <m/>
    <d v="1899-12-30T23:49:00"/>
    <s v="POSITION1"/>
    <x v="8"/>
    <x v="369"/>
  </r>
  <r>
    <n v="231420"/>
    <s v="People1086"/>
    <s v="department"/>
    <s v="REGION9"/>
    <s v="STORE370"/>
    <s v="MANAGER126"/>
    <s v="POSITIVO"/>
    <d v="1899-12-30T21:59:00"/>
    <m/>
    <d v="1899-12-30T21:59:00"/>
    <s v="POSITION1"/>
    <x v="8"/>
    <x v="369"/>
  </r>
  <r>
    <n v="224602"/>
    <s v="People1087"/>
    <s v="department"/>
    <s v="REGION9"/>
    <s v="STORE350"/>
    <s v="MANAGER128"/>
    <s v="POSITIVO"/>
    <d v="1899-12-30T21:22:00"/>
    <m/>
    <d v="1899-12-30T21:22:00"/>
    <s v="POSITION1"/>
    <x v="8"/>
    <x v="349"/>
  </r>
  <r>
    <n v="232184"/>
    <s v="People1088"/>
    <s v="department"/>
    <s v="REGION9"/>
    <s v="STORE368"/>
    <s v="MANAGER132"/>
    <s v="POSITIVO"/>
    <d v="1899-12-30T21:01:00"/>
    <m/>
    <d v="1899-12-30T21:01:00"/>
    <s v="POSITION1"/>
    <x v="8"/>
    <x v="367"/>
  </r>
  <r>
    <n v="224321"/>
    <s v="People1089"/>
    <s v="department"/>
    <s v="REGION9"/>
    <s v="STORE347"/>
    <s v="MANAGER127"/>
    <s v="POSITIVO"/>
    <d v="1899-12-30T20:53:00"/>
    <m/>
    <d v="1899-12-30T20:53:00"/>
    <s v="POSITION3"/>
    <x v="8"/>
    <x v="346"/>
  </r>
  <r>
    <n v="200763"/>
    <s v="People1090"/>
    <s v="department"/>
    <s v="REGION9"/>
    <s v="STORE371"/>
    <s v="MANAGER120"/>
    <s v="POSITIVO"/>
    <d v="1899-12-30T19:45:00"/>
    <m/>
    <d v="1899-12-30T19:45:00"/>
    <s v="POSITION7"/>
    <x v="8"/>
    <x v="370"/>
  </r>
  <r>
    <n v="235697"/>
    <s v="People1091"/>
    <s v="department"/>
    <s v="REGION9"/>
    <s v="STORE372"/>
    <s v="MANAGER120"/>
    <s v="POSITIVO"/>
    <d v="1899-12-30T19:17:00"/>
    <m/>
    <d v="1899-12-30T19:17:00"/>
    <s v="POSITION2"/>
    <x v="8"/>
    <x v="371"/>
  </r>
  <r>
    <n v="236484"/>
    <s v="People1092"/>
    <s v="department"/>
    <s v="REGION9"/>
    <s v="STORE355"/>
    <s v="MANAGER121"/>
    <s v="POSITIVO"/>
    <d v="1899-12-30T19:14:00"/>
    <m/>
    <d v="1899-12-30T19:14:00"/>
    <s v="POSITION1"/>
    <x v="8"/>
    <x v="354"/>
  </r>
  <r>
    <n v="235528"/>
    <s v="People1093"/>
    <s v="department"/>
    <s v="REGION9"/>
    <s v="STORE361"/>
    <s v="MANAGER129"/>
    <s v="POSITIVO"/>
    <d v="1899-12-30T17:35:00"/>
    <m/>
    <d v="1899-12-30T17:35:00"/>
    <s v="POSITION1"/>
    <x v="8"/>
    <x v="360"/>
  </r>
  <r>
    <n v="201809"/>
    <s v="People1094"/>
    <s v="department"/>
    <s v="REGION9"/>
    <s v="STORE349"/>
    <s v="MANAGER127"/>
    <s v="POSITIVO"/>
    <d v="1899-12-30T17:22:00"/>
    <m/>
    <d v="1899-12-30T17:22:00"/>
    <s v="POSITION1"/>
    <x v="8"/>
    <x v="348"/>
  </r>
  <r>
    <n v="235529"/>
    <s v="People1095"/>
    <s v="department"/>
    <s v="REGION9"/>
    <s v="STORE369"/>
    <s v="MANAGER130"/>
    <s v="POSITIVO"/>
    <d v="1899-12-30T17:05:00"/>
    <m/>
    <d v="1899-12-30T17:05:00"/>
    <s v="POSITION1"/>
    <x v="8"/>
    <x v="368"/>
  </r>
  <r>
    <n v="233584"/>
    <s v="People1096"/>
    <s v="department"/>
    <s v="REGION9"/>
    <s v="STORE361"/>
    <s v="MANAGER129"/>
    <s v="POSITIVO"/>
    <d v="1899-12-30T16:43:00"/>
    <m/>
    <d v="1899-12-30T16:43:00"/>
    <s v="POSITION1"/>
    <x v="8"/>
    <x v="360"/>
  </r>
  <r>
    <n v="238051"/>
    <s v="People1097"/>
    <s v="department"/>
    <s v="REGION9"/>
    <s v="STORE367"/>
    <s v="MANAGER121"/>
    <s v="POSITIVO"/>
    <d v="1899-12-30T16:21:00"/>
    <m/>
    <d v="1899-12-30T16:21:00"/>
    <s v="POSITION1"/>
    <x v="8"/>
    <x v="366"/>
  </r>
  <r>
    <n v="233799"/>
    <s v="People1098"/>
    <s v="department"/>
    <s v="REGION9"/>
    <s v="STORE373"/>
    <s v="MANAGER120"/>
    <s v="POSITIVO"/>
    <d v="1899-12-30T15:54:00"/>
    <m/>
    <d v="1899-12-30T15:54:00"/>
    <s v="POSITION2"/>
    <x v="8"/>
    <x v="372"/>
  </r>
  <r>
    <n v="233600"/>
    <s v="People1099"/>
    <s v="department"/>
    <s v="REGION9"/>
    <s v="STORE352"/>
    <s v="MANAGER125"/>
    <s v="POSITIVO"/>
    <d v="1899-12-30T14:50:00"/>
    <m/>
    <d v="1899-12-30T14:50:00"/>
    <s v="POSITION3"/>
    <x v="8"/>
    <x v="351"/>
  </r>
  <r>
    <n v="235471"/>
    <s v="People1100"/>
    <s v="department"/>
    <s v="REGION9"/>
    <s v="STORE358"/>
    <s v="MANAGER114"/>
    <s v="POSITIVO"/>
    <d v="1899-12-30T13:46:00"/>
    <m/>
    <d v="1899-12-30T13:46:00"/>
    <s v="POSITION4"/>
    <x v="8"/>
    <x v="357"/>
  </r>
  <r>
    <n v="225154"/>
    <s v="People1101"/>
    <s v="department"/>
    <s v="REGION9"/>
    <s v="STORE361"/>
    <s v="MANAGER129"/>
    <s v="POSITIVO"/>
    <d v="1899-12-30T13:14:00"/>
    <m/>
    <d v="1899-12-30T13:14:00"/>
    <s v="POSITION1"/>
    <x v="8"/>
    <x v="360"/>
  </r>
  <r>
    <n v="218087"/>
    <s v="People1102"/>
    <s v="department"/>
    <s v="REGION9"/>
    <s v="STORE374"/>
    <s v="MANAGER120"/>
    <s v="POSITIVO"/>
    <d v="1899-12-30T12:24:00"/>
    <m/>
    <d v="1899-12-30T12:24:00"/>
    <s v="POSITION7"/>
    <x v="8"/>
    <x v="373"/>
  </r>
  <r>
    <n v="229850"/>
    <s v="People1103"/>
    <s v="department"/>
    <s v="REGION9"/>
    <s v="STORE375"/>
    <s v="MANAGER120"/>
    <s v="POSITIVO"/>
    <d v="1899-12-30T12:12:00"/>
    <m/>
    <d v="1899-12-30T12:12:00"/>
    <s v="POSITION2"/>
    <x v="8"/>
    <x v="374"/>
  </r>
  <r>
    <n v="224461"/>
    <s v="People1104"/>
    <s v="department"/>
    <s v="REGION9"/>
    <s v="STORE376"/>
    <s v="MANAGER120"/>
    <s v="POSITIVO"/>
    <d v="1899-12-30T12:02:00"/>
    <m/>
    <d v="1899-12-30T12:02:00"/>
    <s v="POSITION9"/>
    <x v="8"/>
    <x v="375"/>
  </r>
  <r>
    <n v="233199"/>
    <s v="People1105"/>
    <s v="department"/>
    <s v="REGION9"/>
    <s v="STORE346"/>
    <s v="MANAGER114"/>
    <s v="POSITIVO"/>
    <d v="1899-12-30T11:42:00"/>
    <m/>
    <d v="1899-12-30T11:42:00"/>
    <s v="POSITION1"/>
    <x v="8"/>
    <x v="345"/>
  </r>
  <r>
    <n v="235651"/>
    <s v="People1106"/>
    <s v="department"/>
    <s v="REGION9"/>
    <s v="STORE361"/>
    <s v="MANAGER129"/>
    <s v="POSITIVO"/>
    <d v="1899-12-30T10:54:00"/>
    <m/>
    <d v="1899-12-30T10:54:00"/>
    <s v="POSITION1"/>
    <x v="8"/>
    <x v="360"/>
  </r>
  <r>
    <n v="236003"/>
    <s v="People1107"/>
    <s v="department"/>
    <s v="REGION9"/>
    <s v="STORE377"/>
    <s v="MANAGER120"/>
    <s v="POSITIVO"/>
    <d v="1899-12-30T10:52:00"/>
    <m/>
    <d v="1899-12-30T10:52:00"/>
    <s v="POSITION2"/>
    <x v="8"/>
    <x v="376"/>
  </r>
  <r>
    <n v="235491"/>
    <s v="People1108"/>
    <s v="department"/>
    <s v="REGION9"/>
    <s v="STORE346"/>
    <s v="MANAGER114"/>
    <s v="POSITIVO"/>
    <d v="1899-12-30T10:25:00"/>
    <m/>
    <d v="1899-12-30T10:25:00"/>
    <s v="POSITION1"/>
    <x v="8"/>
    <x v="345"/>
  </r>
  <r>
    <n v="234591"/>
    <s v="People1109"/>
    <s v="department"/>
    <s v="REGION9"/>
    <s v="STORE367"/>
    <s v="MANAGER121"/>
    <s v="POSITIVO"/>
    <d v="1899-12-30T09:45:00"/>
    <m/>
    <d v="1899-12-30T09:45:00"/>
    <s v="POSITION1"/>
    <x v="8"/>
    <x v="366"/>
  </r>
  <r>
    <n v="230636"/>
    <s v="People1110"/>
    <s v="department"/>
    <s v="REGION9"/>
    <s v="STORE367"/>
    <s v="MANAGER121"/>
    <s v="POSITIVO"/>
    <d v="1899-12-30T09:37:00"/>
    <m/>
    <d v="1899-12-30T09:37:00"/>
    <s v="POSITION1"/>
    <x v="8"/>
    <x v="366"/>
  </r>
  <r>
    <n v="234270"/>
    <s v="People1111"/>
    <s v="department"/>
    <s v="REGION9"/>
    <s v="STORE365"/>
    <s v="MANAGER121"/>
    <s v="POSITIVO"/>
    <d v="1899-12-30T09:12:00"/>
    <m/>
    <d v="1899-12-30T09:12:00"/>
    <s v="POSITION4"/>
    <x v="8"/>
    <x v="364"/>
  </r>
  <r>
    <n v="236248"/>
    <s v="People1112"/>
    <s v="department"/>
    <s v="REGION9"/>
    <s v="STORE369"/>
    <s v="MANAGER130"/>
    <s v="POSITIVO"/>
    <d v="1899-12-30T09:05:00"/>
    <m/>
    <d v="1899-12-30T09:05:00"/>
    <s v="POSITION1"/>
    <x v="8"/>
    <x v="368"/>
  </r>
  <r>
    <n v="234328"/>
    <s v="People1113"/>
    <s v="department"/>
    <s v="REGION9"/>
    <s v="STORE344"/>
    <s v="MANAGER125"/>
    <s v="POSITIVO"/>
    <d v="1899-12-30T08:58:00"/>
    <m/>
    <d v="1899-12-30T08:58:00"/>
    <s v="POSITION1"/>
    <x v="8"/>
    <x v="343"/>
  </r>
  <r>
    <n v="237191"/>
    <s v="People1114"/>
    <s v="department"/>
    <s v="REGION9"/>
    <s v="STORE364"/>
    <s v="MANAGER121"/>
    <s v="POSITIVO"/>
    <d v="1899-12-30T08:54:00"/>
    <m/>
    <d v="1899-12-30T08:54:00"/>
    <s v="POSITION4"/>
    <x v="8"/>
    <x v="363"/>
  </r>
  <r>
    <n v="236207"/>
    <s v="People1115"/>
    <s v="department"/>
    <s v="REGION9"/>
    <s v="STORE360"/>
    <s v="MANAGER133"/>
    <s v="POSITIVO"/>
    <d v="1899-12-30T08:26:00"/>
    <m/>
    <d v="1899-12-30T08:26:00"/>
    <s v="POSITION1"/>
    <x v="8"/>
    <x v="359"/>
  </r>
  <r>
    <n v="235474"/>
    <s v="People1116"/>
    <s v="department"/>
    <s v="REGION9"/>
    <s v="STORE349"/>
    <s v="MANAGER127"/>
    <s v="POSITIVO"/>
    <d v="1899-12-30T08:25:00"/>
    <m/>
    <d v="1899-12-30T08:25:00"/>
    <s v="POSITION1"/>
    <x v="8"/>
    <x v="348"/>
  </r>
  <r>
    <n v="234860"/>
    <s v="People1117"/>
    <s v="department"/>
    <s v="REGION9"/>
    <s v="STORE349"/>
    <s v="MANAGER127"/>
    <s v="POSITIVO"/>
    <d v="1899-12-30T08:00:00"/>
    <m/>
    <d v="1899-12-30T08:00:00"/>
    <s v="POSITION1"/>
    <x v="8"/>
    <x v="348"/>
  </r>
  <r>
    <n v="237381"/>
    <s v="People1118"/>
    <s v="department"/>
    <s v="REGION9"/>
    <s v="STORE378"/>
    <s v="MANAGER120"/>
    <s v="POSITIVO"/>
    <d v="1899-12-30T07:50:00"/>
    <m/>
    <d v="1899-12-30T07:50:00"/>
    <s v="POSITION2"/>
    <x v="8"/>
    <x v="377"/>
  </r>
  <r>
    <n v="225791"/>
    <s v="People1119"/>
    <s v="department"/>
    <s v="REGION9"/>
    <s v="STORE379"/>
    <s v="MANAGER128"/>
    <s v="POSITIVO"/>
    <d v="1899-12-30T07:17:00"/>
    <m/>
    <d v="1899-12-30T07:17:00"/>
    <s v="POSITION3"/>
    <x v="8"/>
    <x v="378"/>
  </r>
  <r>
    <n v="231888"/>
    <s v="People1120"/>
    <s v="department"/>
    <s v="REGION9"/>
    <s v="STORE344"/>
    <s v="MANAGER125"/>
    <s v="POSITIVO"/>
    <d v="1899-12-30T06:49:00"/>
    <m/>
    <d v="1899-12-30T06:49:00"/>
    <s v="POSITION1"/>
    <x v="8"/>
    <x v="343"/>
  </r>
  <r>
    <n v="231545"/>
    <s v="People1121"/>
    <s v="department"/>
    <s v="REGION9"/>
    <s v="STORE359"/>
    <s v="MANAGER121"/>
    <s v="POSITIVO"/>
    <d v="1899-12-30T05:34:00"/>
    <m/>
    <d v="1899-12-30T05:34:00"/>
    <s v="POSITION3"/>
    <x v="8"/>
    <x v="358"/>
  </r>
  <r>
    <n v="237163"/>
    <s v="People1122"/>
    <s v="department"/>
    <s v="REGION9"/>
    <s v="STORE356"/>
    <s v="MANAGER132"/>
    <s v="POSITIVO"/>
    <d v="1899-12-30T05:16:00"/>
    <m/>
    <d v="1899-12-30T05:16:00"/>
    <s v="POSITION3"/>
    <x v="8"/>
    <x v="355"/>
  </r>
  <r>
    <n v="223364"/>
    <s v="People1123"/>
    <s v="department"/>
    <s v="REGION9"/>
    <s v="STORE357"/>
    <s v="MANAGER133"/>
    <s v="POSITIVO"/>
    <d v="1899-12-30T05:05:00"/>
    <m/>
    <d v="1899-12-30T05:05:00"/>
    <s v="POSITION3"/>
    <x v="8"/>
    <x v="356"/>
  </r>
  <r>
    <n v="231797"/>
    <s v="People1124"/>
    <s v="department"/>
    <s v="REGION9"/>
    <s v="STORE355"/>
    <s v="MANAGER121"/>
    <s v="POSITIVO"/>
    <d v="1899-12-30T05:03:00"/>
    <m/>
    <d v="1899-12-30T05:03:00"/>
    <s v="POSITION1"/>
    <x v="8"/>
    <x v="354"/>
  </r>
  <r>
    <n v="236316"/>
    <s v="People1125"/>
    <s v="department"/>
    <s v="REGION9"/>
    <s v="STORE367"/>
    <s v="MANAGER121"/>
    <s v="POSITIVO"/>
    <d v="1899-12-30T05:00:00"/>
    <m/>
    <d v="1899-12-30T05:00:00"/>
    <s v="POSITION1"/>
    <x v="8"/>
    <x v="366"/>
  </r>
  <r>
    <n v="233306"/>
    <s v="People1126"/>
    <s v="department"/>
    <s v="REGION9"/>
    <s v="STORE349"/>
    <s v="MANAGER127"/>
    <s v="POSITIVO"/>
    <d v="1899-12-30T04:57:00"/>
    <m/>
    <d v="1899-12-30T04:57:00"/>
    <s v="POSITION1"/>
    <x v="8"/>
    <x v="348"/>
  </r>
  <r>
    <n v="225852"/>
    <s v="People1127"/>
    <s v="department"/>
    <s v="REGION9"/>
    <s v="STORE370"/>
    <s v="MANAGER126"/>
    <s v="POSITIVO"/>
    <d v="1899-12-30T03:49:00"/>
    <m/>
    <d v="1899-12-30T03:49:00"/>
    <s v="POSITION1"/>
    <x v="8"/>
    <x v="369"/>
  </r>
  <r>
    <n v="231591"/>
    <s v="People1128"/>
    <s v="department"/>
    <s v="REGION9"/>
    <s v="STORE349"/>
    <s v="MANAGER127"/>
    <s v="POSITIVO"/>
    <d v="1899-12-30T03:20:00"/>
    <m/>
    <d v="1899-12-30T03:20:00"/>
    <s v="POSITION1"/>
    <x v="8"/>
    <x v="348"/>
  </r>
  <r>
    <n v="221647"/>
    <s v="People1129"/>
    <s v="department"/>
    <s v="REGION9"/>
    <s v="STORE379"/>
    <s v="MANAGER128"/>
    <s v="POSITIVO"/>
    <d v="1899-12-30T03:18:00"/>
    <m/>
    <d v="1899-12-30T03:18:00"/>
    <s v="POSITION4"/>
    <x v="8"/>
    <x v="378"/>
  </r>
  <r>
    <n v="233436"/>
    <s v="People1130"/>
    <s v="department"/>
    <s v="REGION9"/>
    <s v="STORE360"/>
    <s v="MANAGER133"/>
    <s v="POSITIVO"/>
    <d v="1899-12-30T03:04:00"/>
    <m/>
    <d v="1899-12-30T03:04:00"/>
    <s v="POSITION1"/>
    <x v="8"/>
    <x v="359"/>
  </r>
  <r>
    <n v="200805"/>
    <s v="People1131"/>
    <s v="department"/>
    <s v="REGION9"/>
    <s v="STORE379"/>
    <s v="MANAGER128"/>
    <s v="POSITIVO"/>
    <d v="1899-12-30T03:01:00"/>
    <m/>
    <d v="1899-12-30T03:01:00"/>
    <s v="POSITION3"/>
    <x v="8"/>
    <x v="378"/>
  </r>
  <r>
    <n v="234208"/>
    <s v="People1132"/>
    <s v="department"/>
    <s v="REGION9"/>
    <s v="STORE361"/>
    <s v="MANAGER129"/>
    <s v="POSITIVO"/>
    <d v="1899-12-30T02:33:00"/>
    <m/>
    <d v="1899-12-30T02:33:00"/>
    <s v="POSITION1"/>
    <x v="8"/>
    <x v="360"/>
  </r>
  <r>
    <n v="233956"/>
    <s v="People1133"/>
    <s v="department"/>
    <s v="REGION9"/>
    <s v="STORE362"/>
    <s v="MANAGER131"/>
    <s v="POSITIVO"/>
    <d v="1899-12-30T02:29:00"/>
    <m/>
    <d v="1899-12-30T02:29:00"/>
    <s v="POSITION1"/>
    <x v="8"/>
    <x v="361"/>
  </r>
  <r>
    <n v="238241"/>
    <s v="People1134"/>
    <s v="department"/>
    <s v="REGION9"/>
    <s v="STORE343"/>
    <s v="MANAGER121"/>
    <s v="POSITIVO"/>
    <d v="1899-12-30T02:25:00"/>
    <m/>
    <d v="1899-12-30T02:25:00"/>
    <s v="POSITION1"/>
    <x v="8"/>
    <x v="342"/>
  </r>
  <r>
    <n v="233576"/>
    <s v="People1135"/>
    <s v="department"/>
    <s v="REGION9"/>
    <s v="STORE351"/>
    <s v="MANAGER129"/>
    <s v="POSITIVO"/>
    <d v="1899-12-30T01:57:00"/>
    <m/>
    <d v="1899-12-30T01:57:00"/>
    <s v="POSITION3"/>
    <x v="8"/>
    <x v="350"/>
  </r>
  <r>
    <n v="224226"/>
    <s v="People1136"/>
    <s v="department"/>
    <s v="REGION9"/>
    <s v="STORE380"/>
    <s v="MANAGER120"/>
    <s v="POSITIVO"/>
    <d v="1899-12-30T01:44:00"/>
    <m/>
    <d v="1899-12-30T01:44:00"/>
    <s v="POSITION2"/>
    <x v="8"/>
    <x v="379"/>
  </r>
  <r>
    <n v="233698"/>
    <s v="People1137"/>
    <s v="department"/>
    <s v="REGION9"/>
    <s v="STORE344"/>
    <s v="MANAGER125"/>
    <s v="POSITIVO"/>
    <d v="1899-12-30T01:21:00"/>
    <m/>
    <d v="1899-12-30T01:21:00"/>
    <s v="POSITION1"/>
    <x v="8"/>
    <x v="343"/>
  </r>
  <r>
    <n v="232718"/>
    <s v="People1138"/>
    <s v="department"/>
    <s v="REGION9"/>
    <s v="STORE344"/>
    <s v="MANAGER125"/>
    <s v="POSITIVO"/>
    <d v="1899-12-30T00:33:00"/>
    <m/>
    <d v="1899-12-30T00:33:00"/>
    <s v="POSITION1"/>
    <x v="8"/>
    <x v="343"/>
  </r>
  <r>
    <n v="223688"/>
    <s v="People1139"/>
    <s v="department"/>
    <s v="REGION9"/>
    <s v="STORE349"/>
    <s v="MANAGER127"/>
    <s v="POSITIVO"/>
    <d v="1899-12-30T00:31:00"/>
    <m/>
    <d v="1899-12-30T00:31:00"/>
    <s v="POSITION1"/>
    <x v="8"/>
    <x v="348"/>
  </r>
  <r>
    <n v="237031"/>
    <s v="People1140"/>
    <s v="department"/>
    <s v="REGION9"/>
    <s v="STORE359"/>
    <s v="MANAGER121"/>
    <s v="POSITIVO"/>
    <d v="1899-12-30T00:18:00"/>
    <m/>
    <d v="1899-12-30T00:18:00"/>
    <s v="POSITION4"/>
    <x v="8"/>
    <x v="358"/>
  </r>
  <r>
    <n v="225494"/>
    <s v="People1141"/>
    <s v="department"/>
    <s v="REGION9"/>
    <s v="STORE362"/>
    <s v="MANAGER131"/>
    <s v="POSITIVO"/>
    <d v="1899-12-30T00:06:00"/>
    <m/>
    <d v="1899-12-30T00:06:00"/>
    <s v="POSITION1"/>
    <x v="8"/>
    <x v="361"/>
  </r>
  <r>
    <n v="233302"/>
    <s v="People1142"/>
    <s v="department"/>
    <s v="REGION9"/>
    <s v="STORE347"/>
    <s v="MANAGER127"/>
    <s v="POSITIVO"/>
    <d v="1899-12-30T00:04:00"/>
    <m/>
    <d v="1899-12-30T00:04:00"/>
    <s v="POSITION3"/>
    <x v="8"/>
    <x v="346"/>
  </r>
  <r>
    <m/>
    <m/>
    <m/>
    <m/>
    <m/>
    <m/>
    <m/>
    <m/>
    <m/>
    <m/>
    <m/>
    <x v="9"/>
    <x v="3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Regionais" cacheId="43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compact="0" compactData="0" multipleFieldFilters="0" chartFormat="35">
  <location ref="C13:F46" firstHeaderRow="0" firstDataRow="1" firstDataCol="2"/>
  <pivotFields count="13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h="1" m="1" x="11"/>
        <item h="1" m="1" x="14"/>
        <item h="1" m="1" x="16"/>
        <item h="1" m="1" x="13"/>
        <item h="1" m="1" x="10"/>
        <item h="1" m="1" x="25"/>
        <item h="1" m="1" x="17"/>
        <item h="1" m="1" x="18"/>
        <item h="1" m="1" x="23"/>
        <item h="1" m="1" x="21"/>
        <item h="1" m="1" x="24"/>
        <item h="1" m="1" x="20"/>
        <item h="1" m="1" x="12"/>
        <item h="1" m="1" x="15"/>
        <item h="1" x="9"/>
        <item h="1" m="1" x="22"/>
        <item h="1" m="1" x="19"/>
        <item x="0"/>
        <item h="1" x="1"/>
        <item h="1" x="2"/>
        <item h="1" x="3"/>
        <item h="1" x="4"/>
        <item h="1" x="5"/>
        <item h="1" x="6"/>
        <item h="1" x="7"/>
        <item h="1"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>
      <items count="524">
        <item m="1" x="425"/>
        <item m="1" x="519"/>
        <item m="1" x="470"/>
        <item m="1" x="454"/>
        <item m="1" x="434"/>
        <item m="1" x="498"/>
        <item m="1" x="513"/>
        <item m="1" x="504"/>
        <item m="1" x="424"/>
        <item m="1" x="486"/>
        <item m="1" x="385"/>
        <item m="1" x="514"/>
        <item m="1" x="443"/>
        <item m="1" x="521"/>
        <item m="1" x="482"/>
        <item m="1" x="457"/>
        <item m="1" x="495"/>
        <item m="1" x="487"/>
        <item m="1" x="414"/>
        <item m="1" x="407"/>
        <item m="1" x="450"/>
        <item m="1" x="449"/>
        <item m="1" x="512"/>
        <item m="1" x="431"/>
        <item m="1" x="382"/>
        <item m="1" x="393"/>
        <item m="1" x="483"/>
        <item m="1" x="446"/>
        <item m="1" x="505"/>
        <item m="1" x="439"/>
        <item m="1" x="467"/>
        <item m="1" x="410"/>
        <item m="1" x="481"/>
        <item m="1" x="415"/>
        <item m="1" x="406"/>
        <item m="1" x="488"/>
        <item m="1" x="413"/>
        <item m="1" x="394"/>
        <item m="1" x="455"/>
        <item m="1" x="417"/>
        <item m="1" x="428"/>
        <item m="1" x="502"/>
        <item m="1" x="429"/>
        <item m="1" x="475"/>
        <item m="1" x="433"/>
        <item m="1" x="388"/>
        <item m="1" x="442"/>
        <item m="1" x="473"/>
        <item m="1" x="461"/>
        <item m="1" x="479"/>
        <item m="1" x="408"/>
        <item m="1" x="472"/>
        <item m="1" x="451"/>
        <item m="1" x="480"/>
        <item m="1" x="430"/>
        <item m="1" x="462"/>
        <item m="1" x="492"/>
        <item m="1" x="471"/>
        <item m="1" x="381"/>
        <item m="1" x="391"/>
        <item m="1" x="499"/>
        <item m="1" x="419"/>
        <item m="1" x="465"/>
        <item m="1" x="456"/>
        <item m="1" x="435"/>
        <item m="1" x="411"/>
        <item m="1" x="469"/>
        <item m="1" x="452"/>
        <item m="1" x="396"/>
        <item m="1" x="437"/>
        <item m="1" x="515"/>
        <item m="1" x="440"/>
        <item m="1" x="494"/>
        <item m="1" x="438"/>
        <item m="1" x="432"/>
        <item m="1" x="477"/>
        <item m="1" x="400"/>
        <item m="1" x="497"/>
        <item m="1" x="386"/>
        <item m="1" x="441"/>
        <item m="1" x="501"/>
        <item m="1" x="491"/>
        <item m="1" x="416"/>
        <item m="1" x="445"/>
        <item m="1" x="507"/>
        <item m="1" x="500"/>
        <item m="1" x="401"/>
        <item m="1" x="395"/>
        <item m="1" x="518"/>
        <item m="1" x="463"/>
        <item m="1" x="474"/>
        <item m="1" x="422"/>
        <item m="1" x="397"/>
        <item m="1" x="387"/>
        <item m="1" x="420"/>
        <item m="1" x="508"/>
        <item m="1" x="506"/>
        <item m="1" x="409"/>
        <item m="1" x="421"/>
        <item m="1" x="476"/>
        <item m="1" x="392"/>
        <item m="1" x="466"/>
        <item m="1" x="399"/>
        <item m="1" x="464"/>
        <item m="1" x="459"/>
        <item m="1" x="511"/>
        <item m="1" x="493"/>
        <item m="1" x="423"/>
        <item m="1" x="485"/>
        <item m="1" x="390"/>
        <item m="1" x="447"/>
        <item m="1" x="444"/>
        <item m="1" x="489"/>
        <item m="1" x="468"/>
        <item m="1" x="522"/>
        <item m="1" x="517"/>
        <item m="1" x="448"/>
        <item m="1" x="403"/>
        <item m="1" x="427"/>
        <item m="1" x="490"/>
        <item m="1" x="404"/>
        <item m="1" x="458"/>
        <item m="1" x="520"/>
        <item m="1" x="503"/>
        <item m="1" x="398"/>
        <item m="1" x="412"/>
        <item m="1" x="453"/>
        <item m="1" x="402"/>
        <item m="1" x="460"/>
        <item m="1" x="384"/>
        <item m="1" x="418"/>
        <item m="1" x="478"/>
        <item m="1" x="405"/>
        <item m="1" x="509"/>
        <item m="1" x="516"/>
        <item x="380"/>
        <item m="1" x="383"/>
        <item m="1" x="426"/>
        <item m="1" x="496"/>
        <item m="1" x="389"/>
        <item m="1" x="436"/>
        <item m="1" x="484"/>
        <item m="1" x="51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1"/>
    <field x="12"/>
  </rowFields>
  <rowItems count="33">
    <i>
      <x v="17"/>
      <x v="148"/>
    </i>
    <i r="1">
      <x v="159"/>
    </i>
    <i r="1">
      <x v="157"/>
    </i>
    <i r="1">
      <x v="156"/>
    </i>
    <i r="1">
      <x v="146"/>
    </i>
    <i r="1">
      <x v="170"/>
    </i>
    <i r="1">
      <x v="160"/>
    </i>
    <i r="1">
      <x v="147"/>
    </i>
    <i r="1">
      <x v="171"/>
    </i>
    <i r="1">
      <x v="169"/>
    </i>
    <i r="1">
      <x v="149"/>
    </i>
    <i r="1">
      <x v="145"/>
    </i>
    <i r="1">
      <x v="167"/>
    </i>
    <i r="1">
      <x v="143"/>
    </i>
    <i r="1">
      <x v="163"/>
    </i>
    <i r="1">
      <x v="152"/>
    </i>
    <i r="1">
      <x v="165"/>
    </i>
    <i r="1">
      <x v="172"/>
    </i>
    <i r="1">
      <x v="151"/>
    </i>
    <i r="1">
      <x v="173"/>
    </i>
    <i r="1">
      <x v="174"/>
    </i>
    <i r="1">
      <x v="144"/>
    </i>
    <i r="1">
      <x v="154"/>
    </i>
    <i r="1">
      <x v="164"/>
    </i>
    <i r="1">
      <x v="150"/>
    </i>
    <i r="1">
      <x v="155"/>
    </i>
    <i r="1">
      <x v="162"/>
    </i>
    <i r="1">
      <x v="161"/>
    </i>
    <i r="1">
      <x v="153"/>
    </i>
    <i r="1">
      <x v="168"/>
    </i>
    <i r="1">
      <x v="166"/>
    </i>
    <i r="1">
      <x v="158"/>
    </i>
    <i t="default">
      <x v="17"/>
    </i>
  </rowItems>
  <colFields count="1">
    <field x="-2"/>
  </colFields>
  <colItems count="2">
    <i>
      <x/>
    </i>
    <i i="1">
      <x v="1"/>
    </i>
  </colItems>
  <dataFields count="2">
    <dataField name="POSITIVO" fld="9" baseField="0" baseItem="0"/>
    <dataField name="NEGATIVO" fld="8" baseField="0" baseItem="0"/>
  </dataFields>
  <formats count="76">
    <format dxfId="126">
      <pivotArea outline="0" collapsedLevelsAreSubtotals="1" fieldPosition="0"/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2">
      <pivotArea dataOnly="0" labelOnly="1" outline="0" fieldPosition="0">
        <references count="1">
          <reference field="11" count="0"/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11" type="button" dataOnly="0" labelOnly="1" outline="0" axis="axisRow" fieldPosition="0"/>
    </format>
    <format dxfId="118">
      <pivotArea field="12" type="button" dataOnly="0" labelOnly="1" outline="0" axis="axisRow" fieldPosition="1"/>
    </format>
    <format dxfId="117">
      <pivotArea dataOnly="0" labelOnly="1" outline="0" fieldPosition="0">
        <references count="1">
          <reference field="11" count="0"/>
        </references>
      </pivotArea>
    </format>
    <format dxfId="116">
      <pivotArea dataOnly="0" labelOnly="1" outline="0" fieldPosition="0">
        <references count="1">
          <reference field="11" count="0" defaultSubtotal="1"/>
        </references>
      </pivotArea>
    </format>
    <format dxfId="115">
      <pivotArea dataOnly="0" labelOnly="1" outline="0" fieldPosition="0">
        <references count="2">
          <reference field="11" count="1" selected="0">
            <x v="0"/>
          </reference>
          <reference field="12" count="1">
            <x v="6"/>
          </reference>
        </references>
      </pivotArea>
    </format>
    <format dxfId="114">
      <pivotArea dataOnly="0" labelOnly="1" outline="0" fieldPosition="0">
        <references count="2">
          <reference field="11" count="1" selected="0">
            <x v="1"/>
          </reference>
          <reference field="12" count="1">
            <x v="7"/>
          </reference>
        </references>
      </pivotArea>
    </format>
    <format dxfId="113">
      <pivotArea dataOnly="0" labelOnly="1" outline="0" fieldPosition="0">
        <references count="2">
          <reference field="11" count="1" selected="0">
            <x v="2"/>
          </reference>
          <reference field="12" count="1">
            <x v="42"/>
          </reference>
        </references>
      </pivotArea>
    </format>
    <format dxfId="112">
      <pivotArea dataOnly="0" labelOnly="1" outline="0" fieldPosition="0">
        <references count="2">
          <reference field="11" count="1" selected="0">
            <x v="3"/>
          </reference>
          <reference field="12" count="1">
            <x v="113"/>
          </reference>
        </references>
      </pivotArea>
    </format>
    <format dxfId="111">
      <pivotArea dataOnly="0" labelOnly="1" outline="0" fieldPosition="0">
        <references count="2">
          <reference field="11" count="1" selected="0">
            <x v="4"/>
          </reference>
          <reference field="12" count="1">
            <x v="2"/>
          </reference>
        </references>
      </pivotArea>
    </format>
    <format dxfId="110">
      <pivotArea dataOnly="0" labelOnly="1" outline="0" fieldPosition="0">
        <references count="2">
          <reference field="11" count="1" selected="0">
            <x v="5"/>
          </reference>
          <reference field="12" count="12">
            <x v="3"/>
            <x v="11"/>
            <x v="12"/>
            <x v="14"/>
            <x v="24"/>
            <x v="26"/>
            <x v="53"/>
            <x v="77"/>
            <x v="88"/>
            <x v="129"/>
            <x v="132"/>
            <x v="134"/>
          </reference>
        </references>
      </pivotArea>
    </format>
    <format dxfId="109">
      <pivotArea dataOnly="0" labelOnly="1" outline="0" fieldPosition="0">
        <references count="2">
          <reference field="11" count="1" selected="0">
            <x v="6"/>
          </reference>
          <reference field="12" count="12">
            <x v="4"/>
            <x v="15"/>
            <x v="20"/>
            <x v="23"/>
            <x v="40"/>
            <x v="45"/>
            <x v="81"/>
            <x v="122"/>
            <x v="125"/>
            <x v="126"/>
            <x v="130"/>
            <x v="131"/>
          </reference>
        </references>
      </pivotArea>
    </format>
    <format dxfId="108">
      <pivotArea dataOnly="0" labelOnly="1" outline="0" fieldPosition="0">
        <references count="2">
          <reference field="11" count="1" selected="0">
            <x v="7"/>
          </reference>
          <reference field="12" count="14">
            <x v="43"/>
            <x v="48"/>
            <x v="69"/>
            <x v="76"/>
            <x v="79"/>
            <x v="97"/>
            <x v="99"/>
            <x v="101"/>
            <x v="103"/>
            <x v="109"/>
            <x v="112"/>
            <x v="118"/>
            <x v="120"/>
            <x v="121"/>
          </reference>
        </references>
      </pivotArea>
    </format>
    <format dxfId="107">
      <pivotArea dataOnly="0" labelOnly="1" outline="0" fieldPosition="0">
        <references count="2">
          <reference field="11" count="1" selected="0">
            <x v="8"/>
          </reference>
          <reference field="12" count="15">
            <x v="0"/>
            <x v="17"/>
            <x v="18"/>
            <x v="22"/>
            <x v="37"/>
            <x v="52"/>
            <x v="55"/>
            <x v="65"/>
            <x v="66"/>
            <x v="73"/>
            <x v="82"/>
            <x v="90"/>
            <x v="117"/>
            <x v="128"/>
            <x v="134"/>
          </reference>
        </references>
      </pivotArea>
    </format>
    <format dxfId="106">
      <pivotArea dataOnly="0" labelOnly="1" outline="0" fieldPosition="0">
        <references count="2">
          <reference field="11" count="1" selected="0">
            <x v="9"/>
          </reference>
          <reference field="12" count="16">
            <x v="10"/>
            <x v="16"/>
            <x v="38"/>
            <x v="39"/>
            <x v="46"/>
            <x v="57"/>
            <x v="63"/>
            <x v="68"/>
            <x v="70"/>
            <x v="71"/>
            <x v="87"/>
            <x v="102"/>
            <x v="106"/>
            <x v="108"/>
            <x v="124"/>
            <x v="134"/>
          </reference>
        </references>
      </pivotArea>
    </format>
    <format dxfId="105">
      <pivotArea dataOnly="0" labelOnly="1" outline="0" fieldPosition="0">
        <references count="2">
          <reference field="11" count="1" selected="0">
            <x v="10"/>
          </reference>
          <reference field="12" count="13">
            <x v="8"/>
            <x v="21"/>
            <x v="33"/>
            <x v="49"/>
            <x v="50"/>
            <x v="74"/>
            <x v="75"/>
            <x v="86"/>
            <x v="91"/>
            <x v="92"/>
            <x v="94"/>
            <x v="127"/>
            <x v="133"/>
          </reference>
        </references>
      </pivotArea>
    </format>
    <format dxfId="104">
      <pivotArea dataOnly="0" labelOnly="1" outline="0" fieldPosition="0">
        <references count="2">
          <reference field="11" count="1" selected="0">
            <x v="11"/>
          </reference>
          <reference field="12" count="15">
            <x v="30"/>
            <x v="34"/>
            <x v="59"/>
            <x v="62"/>
            <x v="72"/>
            <x v="85"/>
            <x v="93"/>
            <x v="95"/>
            <x v="96"/>
            <x v="98"/>
            <x v="111"/>
            <x v="114"/>
            <x v="115"/>
            <x v="116"/>
            <x v="134"/>
          </reference>
        </references>
      </pivotArea>
    </format>
    <format dxfId="103">
      <pivotArea dataOnly="0" labelOnly="1" outline="0" fieldPosition="0">
        <references count="2">
          <reference field="11" count="1" selected="0">
            <x v="12"/>
          </reference>
          <reference field="12" count="17">
            <x v="1"/>
            <x v="5"/>
            <x v="9"/>
            <x v="27"/>
            <x v="28"/>
            <x v="29"/>
            <x v="47"/>
            <x v="56"/>
            <x v="58"/>
            <x v="61"/>
            <x v="64"/>
            <x v="67"/>
            <x v="84"/>
            <x v="89"/>
            <x v="105"/>
            <x v="119"/>
            <x v="123"/>
          </reference>
        </references>
      </pivotArea>
    </format>
    <format dxfId="102">
      <pivotArea dataOnly="0" labelOnly="1" outline="0" fieldPosition="0">
        <references count="2">
          <reference field="11" count="1" selected="0">
            <x v="13"/>
          </reference>
          <reference field="12" count="20">
            <x v="13"/>
            <x v="19"/>
            <x v="25"/>
            <x v="31"/>
            <x v="32"/>
            <x v="35"/>
            <x v="36"/>
            <x v="41"/>
            <x v="44"/>
            <x v="51"/>
            <x v="54"/>
            <x v="60"/>
            <x v="78"/>
            <x v="80"/>
            <x v="83"/>
            <x v="100"/>
            <x v="104"/>
            <x v="107"/>
            <x v="110"/>
            <x v="134"/>
          </reference>
        </references>
      </pivotArea>
    </format>
    <format dxfId="101">
      <pivotArea dataOnly="0" labelOnly="1" outline="0" fieldPosition="0">
        <references count="2">
          <reference field="11" count="1" selected="0">
            <x v="14"/>
          </reference>
          <reference field="12" count="1">
            <x v="135"/>
          </reference>
        </references>
      </pivotArea>
    </format>
    <format dxfId="1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11" type="button" dataOnly="0" labelOnly="1" outline="0" axis="axisRow" fieldPosition="0"/>
    </format>
    <format dxfId="96">
      <pivotArea field="12" type="button" dataOnly="0" labelOnly="1" outline="0" axis="axisRow" fieldPosition="1"/>
    </format>
    <format dxfId="95">
      <pivotArea dataOnly="0" labelOnly="1" outline="0" fieldPosition="0">
        <references count="1">
          <reference field="11" count="0"/>
        </references>
      </pivotArea>
    </format>
    <format dxfId="94">
      <pivotArea dataOnly="0" labelOnly="1" outline="0" fieldPosition="0">
        <references count="1">
          <reference field="11" count="0" defaultSubtotal="1"/>
        </references>
      </pivotArea>
    </format>
    <format dxfId="93">
      <pivotArea dataOnly="0" labelOnly="1" outline="0" fieldPosition="0">
        <references count="2">
          <reference field="11" count="1" selected="0">
            <x v="0"/>
          </reference>
          <reference field="12" count="1">
            <x v="6"/>
          </reference>
        </references>
      </pivotArea>
    </format>
    <format dxfId="92">
      <pivotArea dataOnly="0" labelOnly="1" outline="0" fieldPosition="0">
        <references count="2">
          <reference field="11" count="1" selected="0">
            <x v="1"/>
          </reference>
          <reference field="12" count="1">
            <x v="7"/>
          </reference>
        </references>
      </pivotArea>
    </format>
    <format dxfId="91">
      <pivotArea dataOnly="0" labelOnly="1" outline="0" fieldPosition="0">
        <references count="2">
          <reference field="11" count="1" selected="0">
            <x v="2"/>
          </reference>
          <reference field="12" count="1">
            <x v="42"/>
          </reference>
        </references>
      </pivotArea>
    </format>
    <format dxfId="90">
      <pivotArea dataOnly="0" labelOnly="1" outline="0" fieldPosition="0">
        <references count="2">
          <reference field="11" count="1" selected="0">
            <x v="3"/>
          </reference>
          <reference field="12" count="1">
            <x v="113"/>
          </reference>
        </references>
      </pivotArea>
    </format>
    <format dxfId="89">
      <pivotArea dataOnly="0" labelOnly="1" outline="0" fieldPosition="0">
        <references count="2">
          <reference field="11" count="1" selected="0">
            <x v="4"/>
          </reference>
          <reference field="12" count="1">
            <x v="2"/>
          </reference>
        </references>
      </pivotArea>
    </format>
    <format dxfId="88">
      <pivotArea dataOnly="0" labelOnly="1" outline="0" fieldPosition="0">
        <references count="2">
          <reference field="11" count="1" selected="0">
            <x v="5"/>
          </reference>
          <reference field="12" count="12">
            <x v="3"/>
            <x v="11"/>
            <x v="12"/>
            <x v="14"/>
            <x v="24"/>
            <x v="26"/>
            <x v="53"/>
            <x v="77"/>
            <x v="88"/>
            <x v="129"/>
            <x v="132"/>
            <x v="134"/>
          </reference>
        </references>
      </pivotArea>
    </format>
    <format dxfId="87">
      <pivotArea dataOnly="0" labelOnly="1" outline="0" fieldPosition="0">
        <references count="2">
          <reference field="11" count="1" selected="0">
            <x v="6"/>
          </reference>
          <reference field="12" count="12">
            <x v="4"/>
            <x v="15"/>
            <x v="20"/>
            <x v="23"/>
            <x v="40"/>
            <x v="45"/>
            <x v="81"/>
            <x v="122"/>
            <x v="125"/>
            <x v="126"/>
            <x v="130"/>
            <x v="131"/>
          </reference>
        </references>
      </pivotArea>
    </format>
    <format dxfId="86">
      <pivotArea dataOnly="0" labelOnly="1" outline="0" fieldPosition="0">
        <references count="2">
          <reference field="11" count="1" selected="0">
            <x v="7"/>
          </reference>
          <reference field="12" count="14">
            <x v="43"/>
            <x v="48"/>
            <x v="69"/>
            <x v="76"/>
            <x v="79"/>
            <x v="97"/>
            <x v="99"/>
            <x v="101"/>
            <x v="103"/>
            <x v="109"/>
            <x v="112"/>
            <x v="118"/>
            <x v="120"/>
            <x v="121"/>
          </reference>
        </references>
      </pivotArea>
    </format>
    <format dxfId="85">
      <pivotArea dataOnly="0" labelOnly="1" outline="0" fieldPosition="0">
        <references count="2">
          <reference field="11" count="1" selected="0">
            <x v="8"/>
          </reference>
          <reference field="12" count="15">
            <x v="0"/>
            <x v="17"/>
            <x v="18"/>
            <x v="22"/>
            <x v="37"/>
            <x v="52"/>
            <x v="55"/>
            <x v="65"/>
            <x v="66"/>
            <x v="73"/>
            <x v="82"/>
            <x v="90"/>
            <x v="117"/>
            <x v="128"/>
            <x v="134"/>
          </reference>
        </references>
      </pivotArea>
    </format>
    <format dxfId="84">
      <pivotArea dataOnly="0" labelOnly="1" outline="0" fieldPosition="0">
        <references count="2">
          <reference field="11" count="1" selected="0">
            <x v="9"/>
          </reference>
          <reference field="12" count="16">
            <x v="10"/>
            <x v="16"/>
            <x v="38"/>
            <x v="39"/>
            <x v="46"/>
            <x v="57"/>
            <x v="63"/>
            <x v="68"/>
            <x v="70"/>
            <x v="71"/>
            <x v="87"/>
            <x v="102"/>
            <x v="106"/>
            <x v="108"/>
            <x v="124"/>
            <x v="134"/>
          </reference>
        </references>
      </pivotArea>
    </format>
    <format dxfId="83">
      <pivotArea dataOnly="0" labelOnly="1" outline="0" fieldPosition="0">
        <references count="2">
          <reference field="11" count="1" selected="0">
            <x v="10"/>
          </reference>
          <reference field="12" count="13">
            <x v="8"/>
            <x v="21"/>
            <x v="33"/>
            <x v="49"/>
            <x v="50"/>
            <x v="74"/>
            <x v="75"/>
            <x v="86"/>
            <x v="91"/>
            <x v="92"/>
            <x v="94"/>
            <x v="127"/>
            <x v="133"/>
          </reference>
        </references>
      </pivotArea>
    </format>
    <format dxfId="82">
      <pivotArea dataOnly="0" labelOnly="1" outline="0" fieldPosition="0">
        <references count="2">
          <reference field="11" count="1" selected="0">
            <x v="11"/>
          </reference>
          <reference field="12" count="15">
            <x v="30"/>
            <x v="34"/>
            <x v="59"/>
            <x v="62"/>
            <x v="72"/>
            <x v="85"/>
            <x v="93"/>
            <x v="95"/>
            <x v="96"/>
            <x v="98"/>
            <x v="111"/>
            <x v="114"/>
            <x v="115"/>
            <x v="116"/>
            <x v="134"/>
          </reference>
        </references>
      </pivotArea>
    </format>
    <format dxfId="81">
      <pivotArea dataOnly="0" labelOnly="1" outline="0" fieldPosition="0">
        <references count="2">
          <reference field="11" count="1" selected="0">
            <x v="12"/>
          </reference>
          <reference field="12" count="17">
            <x v="1"/>
            <x v="5"/>
            <x v="9"/>
            <x v="27"/>
            <x v="28"/>
            <x v="29"/>
            <x v="47"/>
            <x v="56"/>
            <x v="58"/>
            <x v="61"/>
            <x v="64"/>
            <x v="67"/>
            <x v="84"/>
            <x v="89"/>
            <x v="105"/>
            <x v="119"/>
            <x v="123"/>
          </reference>
        </references>
      </pivotArea>
    </format>
    <format dxfId="80">
      <pivotArea dataOnly="0" labelOnly="1" outline="0" fieldPosition="0">
        <references count="2">
          <reference field="11" count="1" selected="0">
            <x v="13"/>
          </reference>
          <reference field="12" count="20">
            <x v="13"/>
            <x v="19"/>
            <x v="25"/>
            <x v="31"/>
            <x v="32"/>
            <x v="35"/>
            <x v="36"/>
            <x v="41"/>
            <x v="44"/>
            <x v="51"/>
            <x v="54"/>
            <x v="60"/>
            <x v="78"/>
            <x v="80"/>
            <x v="83"/>
            <x v="100"/>
            <x v="104"/>
            <x v="107"/>
            <x v="110"/>
            <x v="134"/>
          </reference>
        </references>
      </pivotArea>
    </format>
    <format dxfId="79">
      <pivotArea dataOnly="0" labelOnly="1" outline="0" fieldPosition="0">
        <references count="2">
          <reference field="11" count="1" selected="0">
            <x v="14"/>
          </reference>
          <reference field="12" count="1">
            <x v="135"/>
          </reference>
        </references>
      </pivotArea>
    </format>
    <format dxfId="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field="11" type="button" dataOnly="0" labelOnly="1" outline="0" axis="axisRow" fieldPosition="0"/>
    </format>
    <format dxfId="76">
      <pivotArea field="12" type="button" dataOnly="0" labelOnly="1" outline="0" axis="axisRow" fieldPosition="1"/>
    </format>
    <format dxfId="7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4">
      <pivotArea field="11" type="button" dataOnly="0" labelOnly="1" outline="0" axis="axisRow" fieldPosition="0"/>
    </format>
    <format dxfId="73">
      <pivotArea field="12" type="button" dataOnly="0" labelOnly="1" outline="0" axis="axisRow" fieldPosition="1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outline="0" collapsedLevelsAreSubtotals="1" fieldPosition="0"/>
    </format>
    <format dxfId="70">
      <pivotArea dataOnly="0" labelOnly="1" outline="0" fieldPosition="0">
        <references count="1">
          <reference field="11" count="0"/>
        </references>
      </pivotArea>
    </format>
    <format dxfId="69">
      <pivotArea dataOnly="0" labelOnly="1" outline="0" fieldPosition="0">
        <references count="1">
          <reference field="11" count="0" defaultSubtotal="1"/>
        </references>
      </pivotArea>
    </format>
    <format dxfId="68">
      <pivotArea dataOnly="0" labelOnly="1" outline="0" fieldPosition="0">
        <references count="2">
          <reference field="11" count="1" selected="0">
            <x v="0"/>
          </reference>
          <reference field="12" count="1">
            <x v="6"/>
          </reference>
        </references>
      </pivotArea>
    </format>
    <format dxfId="67">
      <pivotArea dataOnly="0" labelOnly="1" outline="0" fieldPosition="0">
        <references count="2">
          <reference field="11" count="1" selected="0">
            <x v="1"/>
          </reference>
          <reference field="12" count="1">
            <x v="7"/>
          </reference>
        </references>
      </pivotArea>
    </format>
    <format dxfId="66">
      <pivotArea dataOnly="0" labelOnly="1" outline="0" fieldPosition="0">
        <references count="2">
          <reference field="11" count="1" selected="0">
            <x v="2"/>
          </reference>
          <reference field="12" count="1">
            <x v="42"/>
          </reference>
        </references>
      </pivotArea>
    </format>
    <format dxfId="65">
      <pivotArea dataOnly="0" labelOnly="1" outline="0" fieldPosition="0">
        <references count="2">
          <reference field="11" count="1" selected="0">
            <x v="3"/>
          </reference>
          <reference field="12" count="1">
            <x v="113"/>
          </reference>
        </references>
      </pivotArea>
    </format>
    <format dxfId="64">
      <pivotArea dataOnly="0" labelOnly="1" outline="0" fieldPosition="0">
        <references count="2">
          <reference field="11" count="1" selected="0">
            <x v="4"/>
          </reference>
          <reference field="12" count="1">
            <x v="2"/>
          </reference>
        </references>
      </pivotArea>
    </format>
    <format dxfId="63">
      <pivotArea dataOnly="0" labelOnly="1" outline="0" fieldPosition="0">
        <references count="2">
          <reference field="11" count="1" selected="0">
            <x v="5"/>
          </reference>
          <reference field="12" count="12">
            <x v="3"/>
            <x v="11"/>
            <x v="12"/>
            <x v="14"/>
            <x v="24"/>
            <x v="26"/>
            <x v="53"/>
            <x v="77"/>
            <x v="88"/>
            <x v="129"/>
            <x v="132"/>
            <x v="134"/>
          </reference>
        </references>
      </pivotArea>
    </format>
    <format dxfId="62">
      <pivotArea dataOnly="0" labelOnly="1" outline="0" fieldPosition="0">
        <references count="2">
          <reference field="11" count="1" selected="0">
            <x v="6"/>
          </reference>
          <reference field="12" count="12">
            <x v="4"/>
            <x v="15"/>
            <x v="20"/>
            <x v="23"/>
            <x v="40"/>
            <x v="45"/>
            <x v="81"/>
            <x v="122"/>
            <x v="125"/>
            <x v="126"/>
            <x v="130"/>
            <x v="131"/>
          </reference>
        </references>
      </pivotArea>
    </format>
    <format dxfId="61">
      <pivotArea dataOnly="0" labelOnly="1" outline="0" fieldPosition="0">
        <references count="2">
          <reference field="11" count="1" selected="0">
            <x v="7"/>
          </reference>
          <reference field="12" count="14">
            <x v="43"/>
            <x v="48"/>
            <x v="69"/>
            <x v="76"/>
            <x v="79"/>
            <x v="97"/>
            <x v="99"/>
            <x v="101"/>
            <x v="103"/>
            <x v="109"/>
            <x v="112"/>
            <x v="118"/>
            <x v="120"/>
            <x v="121"/>
          </reference>
        </references>
      </pivotArea>
    </format>
    <format dxfId="60">
      <pivotArea dataOnly="0" labelOnly="1" outline="0" fieldPosition="0">
        <references count="2">
          <reference field="11" count="1" selected="0">
            <x v="8"/>
          </reference>
          <reference field="12" count="15">
            <x v="0"/>
            <x v="17"/>
            <x v="18"/>
            <x v="22"/>
            <x v="37"/>
            <x v="52"/>
            <x v="55"/>
            <x v="65"/>
            <x v="66"/>
            <x v="73"/>
            <x v="82"/>
            <x v="90"/>
            <x v="117"/>
            <x v="128"/>
            <x v="134"/>
          </reference>
        </references>
      </pivotArea>
    </format>
    <format dxfId="59">
      <pivotArea dataOnly="0" labelOnly="1" outline="0" fieldPosition="0">
        <references count="2">
          <reference field="11" count="1" selected="0">
            <x v="9"/>
          </reference>
          <reference field="12" count="16">
            <x v="10"/>
            <x v="16"/>
            <x v="38"/>
            <x v="39"/>
            <x v="46"/>
            <x v="57"/>
            <x v="63"/>
            <x v="68"/>
            <x v="70"/>
            <x v="71"/>
            <x v="87"/>
            <x v="102"/>
            <x v="106"/>
            <x v="108"/>
            <x v="124"/>
            <x v="134"/>
          </reference>
        </references>
      </pivotArea>
    </format>
    <format dxfId="58">
      <pivotArea dataOnly="0" labelOnly="1" outline="0" fieldPosition="0">
        <references count="2">
          <reference field="11" count="1" selected="0">
            <x v="10"/>
          </reference>
          <reference field="12" count="13">
            <x v="8"/>
            <x v="21"/>
            <x v="33"/>
            <x v="49"/>
            <x v="50"/>
            <x v="74"/>
            <x v="75"/>
            <x v="86"/>
            <x v="91"/>
            <x v="92"/>
            <x v="94"/>
            <x v="127"/>
            <x v="133"/>
          </reference>
        </references>
      </pivotArea>
    </format>
    <format dxfId="57">
      <pivotArea dataOnly="0" labelOnly="1" outline="0" fieldPosition="0">
        <references count="2">
          <reference field="11" count="1" selected="0">
            <x v="11"/>
          </reference>
          <reference field="12" count="15">
            <x v="30"/>
            <x v="34"/>
            <x v="59"/>
            <x v="62"/>
            <x v="72"/>
            <x v="85"/>
            <x v="93"/>
            <x v="95"/>
            <x v="96"/>
            <x v="98"/>
            <x v="111"/>
            <x v="114"/>
            <x v="115"/>
            <x v="116"/>
            <x v="134"/>
          </reference>
        </references>
      </pivotArea>
    </format>
    <format dxfId="56">
      <pivotArea dataOnly="0" labelOnly="1" outline="0" fieldPosition="0">
        <references count="2">
          <reference field="11" count="1" selected="0">
            <x v="12"/>
          </reference>
          <reference field="12" count="17">
            <x v="1"/>
            <x v="5"/>
            <x v="9"/>
            <x v="27"/>
            <x v="28"/>
            <x v="29"/>
            <x v="47"/>
            <x v="56"/>
            <x v="58"/>
            <x v="61"/>
            <x v="64"/>
            <x v="67"/>
            <x v="84"/>
            <x v="89"/>
            <x v="105"/>
            <x v="119"/>
            <x v="123"/>
          </reference>
        </references>
      </pivotArea>
    </format>
    <format dxfId="55">
      <pivotArea dataOnly="0" labelOnly="1" outline="0" fieldPosition="0">
        <references count="2">
          <reference field="11" count="1" selected="0">
            <x v="13"/>
          </reference>
          <reference field="12" count="20">
            <x v="13"/>
            <x v="19"/>
            <x v="25"/>
            <x v="31"/>
            <x v="32"/>
            <x v="35"/>
            <x v="36"/>
            <x v="41"/>
            <x v="44"/>
            <x v="51"/>
            <x v="54"/>
            <x v="60"/>
            <x v="78"/>
            <x v="80"/>
            <x v="83"/>
            <x v="100"/>
            <x v="104"/>
            <x v="107"/>
            <x v="110"/>
            <x v="134"/>
          </reference>
        </references>
      </pivotArea>
    </format>
    <format dxfId="54">
      <pivotArea dataOnly="0" labelOnly="1" outline="0" fieldPosition="0">
        <references count="2">
          <reference field="11" count="1" selected="0">
            <x v="14"/>
          </reference>
          <reference field="12" count="1">
            <x v="135"/>
          </reference>
        </references>
      </pivotArea>
    </format>
    <format dxfId="53">
      <pivotArea field="11" type="button" dataOnly="0" labelOnly="1" outline="0" axis="axisRow" fieldPosition="0"/>
    </format>
    <format dxfId="52">
      <pivotArea field="12" type="button" dataOnly="0" labelOnly="1" outline="0" axis="axisRow" fieldPosition="1"/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2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3" cacheId="29" applyNumberFormats="0" applyBorderFormats="0" applyFontFormats="0" applyPatternFormats="0" applyAlignmentFormats="0" applyWidthHeightFormats="1" dataCaption="Valores" updatedVersion="6" minRefreshableVersion="3" itemPrintTitles="1" createdVersion="6" indent="0" compact="0" compactData="0" multipleFieldFilters="0" chartFormat="3">
  <location ref="A3:E9" firstHeaderRow="0" firstDataRow="1" firstDataCol="3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4">
        <item m="1" x="10"/>
        <item x="2"/>
        <item x="0"/>
        <item x="3"/>
        <item x="1"/>
        <item x="6"/>
        <item x="9"/>
        <item m="1" x="13"/>
        <item m="1" x="11"/>
        <item m="1" x="12"/>
        <item x="5"/>
        <item x="8"/>
        <item x="7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12"/>
        <item x="0"/>
        <item x="1"/>
        <item x="2"/>
        <item x="13"/>
        <item h="1" x="3"/>
        <item h="1" x="4"/>
        <item h="1" x="5"/>
        <item h="1" x="6"/>
        <item h="1" x="7"/>
        <item h="1" x="8"/>
        <item h="1" x="9"/>
        <item h="1" x="10"/>
        <item h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0">
        <item m="1" x="144"/>
        <item m="1" x="145"/>
        <item m="1" x="142"/>
        <item m="1" x="148"/>
        <item m="1" x="139"/>
        <item x="47"/>
        <item x="95"/>
        <item x="126"/>
        <item x="6"/>
        <item x="20"/>
        <item x="103"/>
        <item x="125"/>
        <item x="0"/>
        <item x="69"/>
        <item x="104"/>
        <item x="50"/>
        <item x="8"/>
        <item x="3"/>
        <item x="111"/>
        <item x="127"/>
        <item x="21"/>
        <item x="59"/>
        <item x="49"/>
        <item x="37"/>
        <item x="124"/>
        <item x="23"/>
        <item x="75"/>
        <item x="41"/>
        <item x="14"/>
        <item x="12"/>
        <item x="118"/>
        <item x="11"/>
        <item x="91"/>
        <item x="133"/>
        <item x="97"/>
        <item x="83"/>
        <item x="110"/>
        <item x="134"/>
        <item x="70"/>
        <item x="79"/>
        <item x="112"/>
        <item x="113"/>
        <item x="131"/>
        <item x="55"/>
        <item x="56"/>
        <item x="16"/>
        <item x="123"/>
        <item x="1"/>
        <item x="25"/>
        <item x="120"/>
        <item x="18"/>
        <item x="51"/>
        <item x="98"/>
        <item x="35"/>
        <item x="74"/>
        <item x="76"/>
        <item x="109"/>
        <item x="43"/>
        <item x="13"/>
        <item x="117"/>
        <item x="39"/>
        <item x="101"/>
        <item x="64"/>
        <item x="100"/>
        <item x="82"/>
        <item x="122"/>
        <item x="106"/>
        <item x="86"/>
        <item x="54"/>
        <item x="92"/>
        <item x="45"/>
        <item x="46"/>
        <item x="93"/>
        <item x="62"/>
        <item x="33"/>
        <item x="60"/>
        <item x="63"/>
        <item x="80"/>
        <item x="40"/>
        <item x="66"/>
        <item x="73"/>
        <item x="36"/>
        <item x="10"/>
        <item x="114"/>
        <item x="29"/>
        <item x="119"/>
        <item x="22"/>
        <item x="44"/>
        <item x="107"/>
        <item x="96"/>
        <item x="81"/>
        <item x="72"/>
        <item x="57"/>
        <item x="5"/>
        <item x="105"/>
        <item x="38"/>
        <item x="68"/>
        <item x="65"/>
        <item x="85"/>
        <item x="71"/>
        <item x="84"/>
        <item x="77"/>
        <item x="130"/>
        <item x="88"/>
        <item x="129"/>
        <item x="116"/>
        <item x="27"/>
        <item x="53"/>
        <item x="26"/>
        <item x="108"/>
        <item x="99"/>
        <item x="58"/>
        <item x="121"/>
        <item x="52"/>
        <item x="34"/>
        <item x="115"/>
        <item x="89"/>
        <item x="28"/>
        <item x="2"/>
        <item x="87"/>
        <item x="78"/>
        <item x="90"/>
        <item x="42"/>
        <item x="32"/>
        <item x="94"/>
        <item x="30"/>
        <item x="31"/>
        <item x="128"/>
        <item x="102"/>
        <item x="61"/>
        <item x="24"/>
        <item x="19"/>
        <item x="67"/>
        <item x="48"/>
        <item x="7"/>
        <item x="15"/>
        <item x="17"/>
        <item x="4"/>
        <item x="132"/>
        <item m="1" x="141"/>
        <item m="1" x="149"/>
        <item m="1" x="135"/>
        <item m="1" x="140"/>
        <item m="1" x="147"/>
        <item m="1" x="137"/>
        <item x="9"/>
        <item m="1" x="143"/>
        <item m="1" x="138"/>
        <item m="1" x="136"/>
        <item m="1" x="146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4"/>
    <field x="23"/>
    <field x="25"/>
  </rowFields>
  <rowItems count="6">
    <i>
      <x/>
      <x v="2"/>
      <x v="11"/>
    </i>
    <i>
      <x v="1"/>
      <x v="2"/>
      <x v="12"/>
    </i>
    <i>
      <x v="2"/>
      <x v="4"/>
      <x v="47"/>
    </i>
    <i>
      <x v="3"/>
      <x v="4"/>
      <x v="118"/>
    </i>
    <i>
      <x v="4"/>
      <x v="2"/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OSITIVO" fld="9" baseField="25" baseItem="18"/>
    <dataField name="NEGATIVO" fld="8" baseField="25" baseItem="18"/>
  </dataFields>
  <formats count="8">
    <format dxfId="50">
      <pivotArea outline="0" collapsedLevelsAreSubtotals="1" fieldPosition="0"/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outline="0" collapsedLevelsAreSubtotals="1" fieldPosition="0"/>
    </format>
    <format dxfId="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6">
      <pivotArea field="24" type="button" dataOnly="0" labelOnly="1" outline="0" axis="axisRow" fieldPosition="0"/>
    </format>
    <format dxfId="45">
      <pivotArea field="23" type="button" dataOnly="0" labelOnly="1" outline="0" axis="axisRow" fieldPosition="1"/>
    </format>
    <format dxfId="44">
      <pivotArea field="25" type="button" dataOnly="0" labelOnly="1" outline="0" axis="axisRow" fieldPosition="2"/>
    </format>
    <format dxfId="4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0FFB40-9F68-425C-8AB3-CA2B84A1C684}" name="Tabela dinâmica4" cacheId="3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66">
  <location ref="K4:M14" firstHeaderRow="0" firstDataRow="1" firstDataCol="1"/>
  <pivotFields count="1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outline="0" showAll="0"/>
    <pivotField dataField="1" compact="0" outline="0" showAll="0"/>
    <pivotField compact="0" outline="0" showAll="0"/>
    <pivotField axis="axisRow" compact="0" outline="0" showAll="0" sortType="ascending">
      <items count="21">
        <item x="0"/>
        <item x="1"/>
        <item x="2"/>
        <item x="3"/>
        <item x="4"/>
        <item x="5"/>
        <item x="6"/>
        <item x="7"/>
        <item x="8"/>
        <item m="1" x="19"/>
        <item m="1" x="15"/>
        <item m="1" x="9"/>
        <item m="1" x="11"/>
        <item m="1" x="16"/>
        <item m="1" x="17"/>
        <item m="1" x="12"/>
        <item m="1" x="13"/>
        <item m="1" x="18"/>
        <item m="1" x="14"/>
        <item m="1" x="10"/>
        <item t="default"/>
      </items>
    </pivotField>
    <pivotField compact="0" outline="0" showAll="0"/>
  </pivotFields>
  <rowFields count="1">
    <field x="1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POSITIVO" fld="9" baseField="11" baseItem="7"/>
    <dataField name="NEGATIVO" fld="8" baseField="0" baseItem="0"/>
  </dataFields>
  <formats count="22"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outline="0" collapsedLevelsAreSubtotals="1" fieldPosition="0"/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1" type="button" dataOnly="0" labelOnly="1" outline="0" axis="axisRow" fieldPosition="0"/>
    </format>
    <format dxfId="16">
      <pivotArea dataOnly="0" labelOnly="1" outline="0" fieldPosition="0">
        <references count="1">
          <reference field="11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">
      <pivotArea outline="0" fieldPosition="0">
        <references count="1">
          <reference field="11" count="1" selected="0">
            <x v="19"/>
          </reference>
        </references>
      </pivotArea>
    </format>
    <format dxfId="12">
      <pivotArea grandRow="1" outline="0" collapsedLevelsAreSubtotals="1" fieldPosition="0"/>
    </format>
    <format dxfId="11">
      <pivotArea field="11" type="button" dataOnly="0" labelOnly="1" outline="0" axis="axisRow" fieldPosition="0"/>
    </format>
    <format dxfId="10">
      <pivotArea field="1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11" type="button" dataOnly="0" labelOnly="1" outline="0" axis="axisRow" fieldPosition="0"/>
    </format>
    <format dxfId="5">
      <pivotArea dataOnly="0" labelOnly="1" outline="0" fieldPosition="0">
        <references count="1">
          <reference field="11" count="0"/>
        </references>
      </pivotArea>
    </format>
    <format dxfId="4">
      <pivotArea dataOnly="0" labelOnly="1" grandRow="1" outline="0" fieldPosition="0"/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dataOnly="0" grandRow="1" outline="0" fieldPosition="0"/>
    </format>
  </formats>
  <chartFormats count="16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3" format="4">
      <pivotArea type="data" outline="0" fieldPosition="0">
        <references count="2">
          <reference field="4294967294" count="1" selected="0">
            <x v="1"/>
          </reference>
          <reference field="11" count="1" selected="0">
            <x v="10"/>
          </reference>
        </references>
      </pivotArea>
    </chartFormat>
    <chartFormat chart="53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53" format="6">
      <pivotArea type="data" outline="0" fieldPosition="0">
        <references count="2">
          <reference field="4294967294" count="1" selected="0">
            <x v="1"/>
          </reference>
          <reference field="11" count="1" selected="0">
            <x v="12"/>
          </reference>
        </references>
      </pivotArea>
    </chartFormat>
    <chartFormat chart="53" format="7">
      <pivotArea type="data" outline="0" fieldPosition="0">
        <references count="2">
          <reference field="4294967294" count="1" selected="0">
            <x v="1"/>
          </reference>
          <reference field="11" count="1" selected="0">
            <x v="11"/>
          </reference>
        </references>
      </pivotArea>
    </chartFormat>
    <chartFormat chart="53" format="8">
      <pivotArea type="data" outline="0" fieldPosition="0">
        <references count="2">
          <reference field="4294967294" count="1" selected="0">
            <x v="0"/>
          </reference>
          <reference field="11" count="1" selected="0">
            <x v="10"/>
          </reference>
        </references>
      </pivotArea>
    </chartFormat>
    <chartFormat chart="53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14"/>
          </reference>
        </references>
      </pivotArea>
    </chartFormat>
    <chartFormat chart="53" format="10">
      <pivotArea type="data" outline="0" fieldPosition="0">
        <references count="2">
          <reference field="4294967294" count="1" selected="0">
            <x v="1"/>
          </reference>
          <reference field="11" count="1" selected="0">
            <x v="17"/>
          </reference>
        </references>
      </pivotArea>
    </chartFormat>
    <chartFormat chart="53" format="11">
      <pivotArea type="data" outline="0" fieldPosition="0">
        <references count="2">
          <reference field="4294967294" count="1" selected="0">
            <x v="1"/>
          </reference>
          <reference field="11" count="1" selected="0">
            <x v="15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50CDA0-6CD9-4B5C-A831-6ABCFF8471F0}" name="Tabela dinâmica3" cacheId="3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55">
  <location ref="G4:I14" firstHeaderRow="0" firstDataRow="1" firstDataCol="1"/>
  <pivotFields count="1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outline="0" showAll="0"/>
    <pivotField dataField="1" compact="0" outline="0" showAll="0"/>
    <pivotField compact="0" outline="0" showAll="0"/>
    <pivotField axis="axisRow" compact="0" outline="0" showAll="0" sortType="ascending">
      <items count="21">
        <item x="0"/>
        <item x="1"/>
        <item x="2"/>
        <item x="3"/>
        <item x="4"/>
        <item x="5"/>
        <item x="6"/>
        <item x="7"/>
        <item x="8"/>
        <item m="1" x="19"/>
        <item m="1" x="15"/>
        <item m="1" x="9"/>
        <item m="1" x="11"/>
        <item m="1" x="16"/>
        <item m="1" x="17"/>
        <item m="1" x="12"/>
        <item m="1" x="13"/>
        <item m="1" x="18"/>
        <item m="1" x="14"/>
        <item m="1" x="10"/>
        <item t="default"/>
      </items>
    </pivotField>
    <pivotField compact="0" outline="0" showAll="0"/>
  </pivotFields>
  <rowFields count="1">
    <field x="1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POSITIVO" fld="9" baseField="0" baseItem="0"/>
    <dataField name="NEGATIVO" fld="8" baseField="0" baseItem="0"/>
  </dataFields>
  <formats count="19">
    <format dxfId="42">
      <pivotArea outline="0" collapsedLevelsAreSubtotals="1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11" type="button" dataOnly="0" labelOnly="1" outline="0" axis="axisRow" fieldPosition="0"/>
    </format>
    <format dxfId="35">
      <pivotArea dataOnly="0" labelOnly="1" grandRow="1" outline="0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grandRow="1" outline="0" collapsedLevelsAreSubtotals="1" fieldPosition="0"/>
    </format>
    <format dxfId="32">
      <pivotArea field="11" type="button" dataOnly="0" labelOnly="1" outline="0" axis="axisRow" fieldPosition="0"/>
    </format>
    <format dxfId="31">
      <pivotArea field="11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1" type="button" dataOnly="0" labelOnly="1" outline="0" axis="axisRow" fieldPosition="0"/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dataOnly="0" grandRow="1" outline="0" fieldPosition="0"/>
    </format>
  </formats>
  <chartFormats count="11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11">
      <pivotArea type="data" outline="0" fieldPosition="0">
        <references count="2">
          <reference field="4294967294" count="1" selected="0">
            <x v="1"/>
          </reference>
          <reference field="11" count="1" selected="0">
            <x v="10"/>
          </reference>
        </references>
      </pivotArea>
    </chartFormat>
    <chartFormat chart="48" format="12">
      <pivotArea type="data" outline="0" fieldPosition="0">
        <references count="2">
          <reference field="4294967294" count="1" selected="0">
            <x v="1"/>
          </reference>
          <reference field="11" count="1" selected="0">
            <x v="12"/>
          </reference>
        </references>
      </pivotArea>
    </chartFormat>
    <chartFormat chart="48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48" format="14">
      <pivotArea type="data" outline="0" fieldPosition="0">
        <references count="2">
          <reference field="4294967294" count="1" selected="0">
            <x v="1"/>
          </reference>
          <reference field="11" count="1" selected="0">
            <x v="13"/>
          </reference>
        </references>
      </pivotArea>
    </chartFormat>
    <chartFormat chart="48" format="15">
      <pivotArea type="data" outline="0" fieldPosition="0">
        <references count="2">
          <reference field="4294967294" count="1" selected="0">
            <x v="0"/>
          </reference>
          <reference field="11" count="1" selected="0">
            <x v="15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179AB4-AE8E-49C3-87C1-25DE0257E55C}" name="Tabela dinâmica1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W4:X14" firstHeaderRow="1" firstDataRow="1" firstDataCol="1"/>
  <pivotFields count="26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5">
        <item h="1" x="12"/>
        <item h="1" x="0"/>
        <item h="1" x="1"/>
        <item h="1" x="2"/>
        <item h="1" x="13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24"/>
  </rowFields>
  <rowItems count="10">
    <i>
      <x v="13"/>
    </i>
    <i>
      <x v="11"/>
    </i>
    <i>
      <x v="10"/>
    </i>
    <i>
      <x v="12"/>
    </i>
    <i>
      <x v="9"/>
    </i>
    <i>
      <x v="8"/>
    </i>
    <i>
      <x v="7"/>
    </i>
    <i>
      <x v="5"/>
    </i>
    <i>
      <x v="6"/>
    </i>
    <i t="grand">
      <x/>
    </i>
  </rowItems>
  <colItems count="1">
    <i/>
  </colItems>
  <dataFields count="1">
    <dataField name="Contagem de COLABORADOR" fld="1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K404"/>
  <sheetViews>
    <sheetView showGridLines="0" zoomScaleNormal="100" workbookViewId="0"/>
  </sheetViews>
  <sheetFormatPr defaultColWidth="15.85546875" defaultRowHeight="15" x14ac:dyDescent="0.25"/>
  <cols>
    <col min="1" max="1" width="117.42578125" customWidth="1"/>
    <col min="2" max="2" width="17.85546875" bestFit="1" customWidth="1"/>
    <col min="4" max="4" width="15.85546875" style="2"/>
    <col min="5" max="5" width="15.85546875" style="3"/>
    <col min="6" max="6" width="15.85546875" style="4" customWidth="1"/>
  </cols>
  <sheetData>
    <row r="1" spans="2:11" ht="226.5" customHeight="1" x14ac:dyDescent="0.25"/>
    <row r="2" spans="2:11" x14ac:dyDescent="0.25">
      <c r="B2" s="12" t="s">
        <v>35</v>
      </c>
      <c r="C2" s="13" t="s">
        <v>1730</v>
      </c>
      <c r="D2"/>
    </row>
    <row r="3" spans="2:11" ht="15.75" x14ac:dyDescent="0.25">
      <c r="C3" s="14" t="s">
        <v>36</v>
      </c>
      <c r="D3"/>
    </row>
    <row r="4" spans="2:11" ht="15.75" x14ac:dyDescent="0.25">
      <c r="C4" s="14"/>
      <c r="D4"/>
    </row>
    <row r="5" spans="2:11" ht="15.75" x14ac:dyDescent="0.25">
      <c r="C5" s="71" t="s">
        <v>40</v>
      </c>
      <c r="D5" s="71"/>
      <c r="E5" s="71"/>
      <c r="F5" s="71"/>
      <c r="G5" s="71"/>
      <c r="H5" s="71"/>
      <c r="I5" s="71"/>
      <c r="J5" s="71"/>
      <c r="K5" s="71"/>
    </row>
    <row r="6" spans="2:11" ht="47.25" customHeight="1" x14ac:dyDescent="0.25">
      <c r="C6" s="72" t="s">
        <v>1731</v>
      </c>
      <c r="D6" s="72"/>
      <c r="E6" s="72"/>
      <c r="F6" s="72"/>
      <c r="G6" s="30"/>
      <c r="H6" s="30"/>
      <c r="I6" s="30"/>
      <c r="J6" s="30"/>
      <c r="K6" s="30"/>
    </row>
    <row r="7" spans="2:11" ht="15.75" x14ac:dyDescent="0.25">
      <c r="C7" s="14" t="s">
        <v>41</v>
      </c>
      <c r="D7"/>
    </row>
    <row r="8" spans="2:11" ht="15.75" x14ac:dyDescent="0.25">
      <c r="C8" s="14"/>
      <c r="D8"/>
    </row>
    <row r="9" spans="2:11" s="21" customFormat="1" ht="15.75" x14ac:dyDescent="0.25">
      <c r="C9" s="28" t="s">
        <v>1732</v>
      </c>
      <c r="E9" s="22"/>
      <c r="F9" s="29"/>
    </row>
    <row r="11" spans="2:11" ht="18.75" x14ac:dyDescent="0.25">
      <c r="C11" s="70" t="str">
        <f>"BANCO DE HORAS "&amp;C14</f>
        <v>BANCO DE HORAS REGION1</v>
      </c>
      <c r="D11" s="70"/>
      <c r="E11" s="70"/>
      <c r="F11" s="70"/>
      <c r="G11" s="17"/>
      <c r="H11" s="17"/>
      <c r="I11" s="17"/>
      <c r="J11" s="17"/>
    </row>
    <row r="12" spans="2:11" ht="15.75" thickBot="1" x14ac:dyDescent="0.3">
      <c r="G12" s="17"/>
      <c r="H12" s="17"/>
      <c r="I12" s="17"/>
      <c r="J12" s="17"/>
    </row>
    <row r="13" spans="2:11" ht="15.75" thickBot="1" x14ac:dyDescent="0.3">
      <c r="C13" s="26" t="s">
        <v>31</v>
      </c>
      <c r="D13" s="26" t="s">
        <v>10</v>
      </c>
      <c r="E13" s="27" t="s">
        <v>8</v>
      </c>
      <c r="F13" s="27" t="s">
        <v>7</v>
      </c>
      <c r="G13" s="19"/>
      <c r="H13" s="18"/>
      <c r="I13" s="18"/>
      <c r="J13" s="18"/>
      <c r="K13" s="16"/>
    </row>
    <row r="14" spans="2:11" ht="15.75" thickBot="1" x14ac:dyDescent="0.3">
      <c r="C14" s="23" t="s">
        <v>1197</v>
      </c>
      <c r="D14" s="21" t="s">
        <v>1211</v>
      </c>
      <c r="E14" s="25">
        <v>6.5833333333333339</v>
      </c>
      <c r="F14" s="25">
        <v>0.85138888888888886</v>
      </c>
      <c r="G14" s="19"/>
      <c r="H14" s="18"/>
      <c r="I14" s="18"/>
      <c r="J14" s="18"/>
      <c r="K14" s="16"/>
    </row>
    <row r="15" spans="2:11" ht="15.75" thickBot="1" x14ac:dyDescent="0.3">
      <c r="C15" s="23" t="s">
        <v>1197</v>
      </c>
      <c r="D15" s="21" t="s">
        <v>1222</v>
      </c>
      <c r="E15" s="25">
        <v>3.4854166666666662</v>
      </c>
      <c r="F15" s="25">
        <v>5.9506944444444443</v>
      </c>
      <c r="G15" s="19"/>
      <c r="H15" s="18"/>
      <c r="I15" s="18"/>
      <c r="J15" s="18"/>
      <c r="K15" s="16"/>
    </row>
    <row r="16" spans="2:11" ht="15.75" thickBot="1" x14ac:dyDescent="0.3">
      <c r="C16" s="23" t="s">
        <v>1197</v>
      </c>
      <c r="D16" s="21" t="s">
        <v>1220</v>
      </c>
      <c r="E16" s="25">
        <v>3.4472222222222224</v>
      </c>
      <c r="F16" s="25">
        <v>16.947916666666664</v>
      </c>
      <c r="G16" s="19"/>
      <c r="H16" s="18"/>
      <c r="I16" s="18"/>
      <c r="J16" s="18"/>
      <c r="K16" s="16"/>
    </row>
    <row r="17" spans="3:11" ht="15.75" thickBot="1" x14ac:dyDescent="0.3">
      <c r="C17" s="23" t="s">
        <v>1197</v>
      </c>
      <c r="D17" s="21" t="s">
        <v>1219</v>
      </c>
      <c r="E17" s="25">
        <v>1.2104166666666667</v>
      </c>
      <c r="F17" s="25">
        <v>17.083333333333332</v>
      </c>
      <c r="G17" s="19"/>
      <c r="H17" s="18"/>
      <c r="I17" s="18"/>
      <c r="J17" s="18"/>
      <c r="K17" s="16"/>
    </row>
    <row r="18" spans="3:11" ht="15.75" thickBot="1" x14ac:dyDescent="0.3">
      <c r="C18" s="23" t="s">
        <v>1197</v>
      </c>
      <c r="D18" s="21" t="s">
        <v>1209</v>
      </c>
      <c r="E18" s="25">
        <v>0.9951388888888888</v>
      </c>
      <c r="F18" s="25">
        <v>6.0048611111111114</v>
      </c>
      <c r="G18" s="19"/>
      <c r="H18" s="18"/>
      <c r="I18" s="18"/>
      <c r="J18" s="18"/>
      <c r="K18" s="16"/>
    </row>
    <row r="19" spans="3:11" ht="15.75" thickBot="1" x14ac:dyDescent="0.3">
      <c r="C19" s="23" t="s">
        <v>1197</v>
      </c>
      <c r="D19" s="21" t="s">
        <v>1233</v>
      </c>
      <c r="E19" s="25">
        <v>0.87847222222222221</v>
      </c>
      <c r="F19" s="25"/>
      <c r="G19" s="19"/>
      <c r="H19" s="18"/>
      <c r="I19" s="18"/>
      <c r="J19" s="18"/>
      <c r="K19" s="16"/>
    </row>
    <row r="20" spans="3:11" ht="15.75" thickBot="1" x14ac:dyDescent="0.3">
      <c r="C20" s="23" t="s">
        <v>1197</v>
      </c>
      <c r="D20" s="21" t="s">
        <v>1223</v>
      </c>
      <c r="E20" s="25">
        <v>0.79652777777777783</v>
      </c>
      <c r="F20" s="25">
        <v>12.043055555555554</v>
      </c>
      <c r="G20" s="19"/>
      <c r="H20" s="18"/>
      <c r="I20" s="18"/>
      <c r="J20" s="18"/>
      <c r="K20" s="16"/>
    </row>
    <row r="21" spans="3:11" ht="15.75" thickBot="1" x14ac:dyDescent="0.3">
      <c r="C21" s="23" t="s">
        <v>1197</v>
      </c>
      <c r="D21" s="21" t="s">
        <v>1210</v>
      </c>
      <c r="E21" s="25">
        <v>0.78194444444444444</v>
      </c>
      <c r="F21" s="25">
        <v>0.88124999999999998</v>
      </c>
      <c r="G21" s="19"/>
      <c r="H21" s="18"/>
      <c r="I21" s="18"/>
      <c r="J21" s="18"/>
      <c r="K21" s="16"/>
    </row>
    <row r="22" spans="3:11" ht="15.75" thickBot="1" x14ac:dyDescent="0.3">
      <c r="C22" s="23" t="s">
        <v>1197</v>
      </c>
      <c r="D22" s="21" t="s">
        <v>1234</v>
      </c>
      <c r="E22" s="25">
        <v>0.70277777777777783</v>
      </c>
      <c r="F22" s="25"/>
      <c r="G22" s="19"/>
      <c r="H22" s="18"/>
      <c r="I22" s="18"/>
      <c r="J22" s="18"/>
      <c r="K22" s="16"/>
    </row>
    <row r="23" spans="3:11" ht="15.75" thickBot="1" x14ac:dyDescent="0.3">
      <c r="C23" s="23" t="s">
        <v>1197</v>
      </c>
      <c r="D23" s="21" t="s">
        <v>1232</v>
      </c>
      <c r="E23" s="25">
        <v>0.64513888888888882</v>
      </c>
      <c r="F23" s="25">
        <v>29</v>
      </c>
      <c r="G23" s="19"/>
      <c r="H23" s="18"/>
      <c r="I23" s="18"/>
      <c r="J23" s="18"/>
      <c r="K23" s="16"/>
    </row>
    <row r="24" spans="3:11" ht="15.75" thickBot="1" x14ac:dyDescent="0.3">
      <c r="C24" s="23" t="s">
        <v>1197</v>
      </c>
      <c r="D24" s="21" t="s">
        <v>1212</v>
      </c>
      <c r="E24" s="25">
        <v>0.58194444444444449</v>
      </c>
      <c r="F24" s="25">
        <v>40.737500000000004</v>
      </c>
      <c r="G24" s="19"/>
      <c r="H24" s="18"/>
      <c r="I24" s="18"/>
      <c r="J24" s="18"/>
      <c r="K24" s="16"/>
    </row>
    <row r="25" spans="3:11" ht="15.75" thickBot="1" x14ac:dyDescent="0.3">
      <c r="C25" s="23" t="s">
        <v>1197</v>
      </c>
      <c r="D25" s="21" t="s">
        <v>1208</v>
      </c>
      <c r="E25" s="25">
        <v>0.3041666666666667</v>
      </c>
      <c r="F25" s="25">
        <v>11.165972222222223</v>
      </c>
      <c r="G25" s="19"/>
      <c r="H25" s="18"/>
      <c r="I25" s="18"/>
      <c r="J25" s="18"/>
      <c r="K25" s="16"/>
    </row>
    <row r="26" spans="3:11" ht="15.75" thickBot="1" x14ac:dyDescent="0.3">
      <c r="C26" s="23" t="s">
        <v>1197</v>
      </c>
      <c r="D26" s="21" t="s">
        <v>1230</v>
      </c>
      <c r="E26" s="25">
        <v>0.21527777777777776</v>
      </c>
      <c r="F26" s="25">
        <v>1.963888888888889</v>
      </c>
      <c r="G26" s="19"/>
      <c r="H26" s="18"/>
      <c r="I26" s="18"/>
      <c r="J26" s="18"/>
      <c r="K26" s="16"/>
    </row>
    <row r="27" spans="3:11" ht="15.75" thickBot="1" x14ac:dyDescent="0.3">
      <c r="C27" s="23" t="s">
        <v>1197</v>
      </c>
      <c r="D27" s="21" t="s">
        <v>1206</v>
      </c>
      <c r="E27" s="25">
        <v>0.20138888888888887</v>
      </c>
      <c r="F27" s="25">
        <v>0.18333333333333332</v>
      </c>
      <c r="G27" s="20"/>
      <c r="H27" s="17"/>
      <c r="I27" s="17"/>
      <c r="J27" s="17"/>
    </row>
    <row r="28" spans="3:11" ht="15.75" thickBot="1" x14ac:dyDescent="0.3">
      <c r="C28" s="23" t="s">
        <v>1197</v>
      </c>
      <c r="D28" s="21" t="s">
        <v>1226</v>
      </c>
      <c r="E28" s="25">
        <v>0.18194444444444444</v>
      </c>
      <c r="F28" s="25">
        <v>10.877777777777778</v>
      </c>
      <c r="G28" s="20"/>
      <c r="H28" s="17"/>
      <c r="I28" s="17"/>
      <c r="J28" s="17"/>
    </row>
    <row r="29" spans="3:11" ht="15.75" thickBot="1" x14ac:dyDescent="0.3">
      <c r="C29" s="23" t="s">
        <v>1197</v>
      </c>
      <c r="D29" s="21" t="s">
        <v>1215</v>
      </c>
      <c r="E29" s="25">
        <v>0.17777777777777778</v>
      </c>
      <c r="F29" s="25">
        <v>2.0763888888888888</v>
      </c>
      <c r="G29" s="20"/>
      <c r="H29" s="17"/>
      <c r="I29" s="17"/>
      <c r="J29" s="17"/>
    </row>
    <row r="30" spans="3:11" ht="15.75" thickBot="1" x14ac:dyDescent="0.3">
      <c r="C30" s="23" t="s">
        <v>1197</v>
      </c>
      <c r="D30" s="21" t="s">
        <v>1228</v>
      </c>
      <c r="E30" s="25">
        <v>9.5138888888888884E-2</v>
      </c>
      <c r="F30" s="25">
        <v>0.69236111111111109</v>
      </c>
      <c r="G30" s="20"/>
      <c r="H30" s="17"/>
      <c r="I30" s="17"/>
      <c r="J30" s="17"/>
    </row>
    <row r="31" spans="3:11" ht="15.75" thickBot="1" x14ac:dyDescent="0.3">
      <c r="C31" s="23" t="s">
        <v>1197</v>
      </c>
      <c r="D31" s="21" t="s">
        <v>1235</v>
      </c>
      <c r="E31" s="25">
        <v>8.819444444444445E-2</v>
      </c>
      <c r="F31" s="25"/>
      <c r="G31" s="20"/>
      <c r="H31" s="17"/>
      <c r="I31" s="17"/>
      <c r="J31" s="17"/>
    </row>
    <row r="32" spans="3:11" ht="15.75" thickBot="1" x14ac:dyDescent="0.3">
      <c r="C32" s="23" t="s">
        <v>1197</v>
      </c>
      <c r="D32" s="21" t="s">
        <v>1214</v>
      </c>
      <c r="E32" s="25">
        <v>6.8749999999999992E-2</v>
      </c>
      <c r="F32" s="25">
        <v>15.38125</v>
      </c>
      <c r="G32" s="20"/>
      <c r="H32" s="17"/>
      <c r="I32" s="17"/>
      <c r="J32" s="17"/>
    </row>
    <row r="33" spans="3:10" ht="15.75" thickBot="1" x14ac:dyDescent="0.3">
      <c r="C33" s="23" t="s">
        <v>1197</v>
      </c>
      <c r="D33" s="21" t="s">
        <v>1236</v>
      </c>
      <c r="E33" s="25">
        <v>1.5972222222222224E-2</v>
      </c>
      <c r="F33" s="25"/>
      <c r="G33" s="20"/>
      <c r="H33" s="17"/>
      <c r="I33" s="17"/>
      <c r="J33" s="17"/>
    </row>
    <row r="34" spans="3:10" ht="15.75" thickBot="1" x14ac:dyDescent="0.3">
      <c r="C34" s="23" t="s">
        <v>1197</v>
      </c>
      <c r="D34" s="21" t="s">
        <v>1237</v>
      </c>
      <c r="E34" s="25">
        <v>1.3194444444444444E-2</v>
      </c>
      <c r="F34" s="25"/>
      <c r="G34" s="20"/>
      <c r="H34" s="17"/>
      <c r="I34" s="17"/>
      <c r="J34" s="17"/>
    </row>
    <row r="35" spans="3:10" ht="15.75" thickBot="1" x14ac:dyDescent="0.3">
      <c r="C35" s="23" t="s">
        <v>1197</v>
      </c>
      <c r="D35" s="21" t="s">
        <v>1207</v>
      </c>
      <c r="E35" s="25"/>
      <c r="F35" s="25">
        <v>0.88611111111111107</v>
      </c>
      <c r="G35" s="20"/>
      <c r="H35" s="17"/>
      <c r="I35" s="17"/>
      <c r="J35" s="17"/>
    </row>
    <row r="36" spans="3:10" ht="15.75" thickBot="1" x14ac:dyDescent="0.3">
      <c r="C36" s="23" t="s">
        <v>1197</v>
      </c>
      <c r="D36" s="21" t="s">
        <v>1217</v>
      </c>
      <c r="E36" s="25"/>
      <c r="F36" s="25">
        <v>1.6625000000000001</v>
      </c>
      <c r="G36" s="20"/>
      <c r="H36" s="17"/>
      <c r="I36" s="17"/>
      <c r="J36" s="17"/>
    </row>
    <row r="37" spans="3:10" ht="15.75" thickBot="1" x14ac:dyDescent="0.3">
      <c r="C37" s="23" t="s">
        <v>1197</v>
      </c>
      <c r="D37" s="21" t="s">
        <v>1227</v>
      </c>
      <c r="E37" s="25"/>
      <c r="F37" s="25">
        <v>23.46736111111111</v>
      </c>
      <c r="G37" s="20"/>
      <c r="H37" s="17"/>
      <c r="I37" s="17"/>
      <c r="J37" s="17"/>
    </row>
    <row r="38" spans="3:10" ht="15.75" thickBot="1" x14ac:dyDescent="0.3">
      <c r="C38" s="23" t="s">
        <v>1197</v>
      </c>
      <c r="D38" s="21" t="s">
        <v>1213</v>
      </c>
      <c r="E38" s="25"/>
      <c r="F38" s="25">
        <v>0.23958333333333331</v>
      </c>
      <c r="G38" s="20"/>
      <c r="H38" s="17"/>
      <c r="I38" s="17"/>
      <c r="J38" s="17"/>
    </row>
    <row r="39" spans="3:10" ht="15.75" thickBot="1" x14ac:dyDescent="0.3">
      <c r="C39" s="23" t="s">
        <v>1197</v>
      </c>
      <c r="D39" s="21" t="s">
        <v>1218</v>
      </c>
      <c r="E39" s="25"/>
      <c r="F39" s="25">
        <v>22.151388888888889</v>
      </c>
      <c r="G39" s="20"/>
      <c r="H39" s="17"/>
      <c r="I39" s="17"/>
      <c r="J39" s="17"/>
    </row>
    <row r="40" spans="3:10" ht="15.75" thickBot="1" x14ac:dyDescent="0.3">
      <c r="C40" s="23" t="s">
        <v>1197</v>
      </c>
      <c r="D40" s="21" t="s">
        <v>1225</v>
      </c>
      <c r="E40" s="25"/>
      <c r="F40" s="25">
        <v>2.5902777777777777</v>
      </c>
      <c r="G40" s="20"/>
      <c r="H40" s="17"/>
      <c r="I40" s="17"/>
      <c r="J40" s="17"/>
    </row>
    <row r="41" spans="3:10" ht="15.75" thickBot="1" x14ac:dyDescent="0.3">
      <c r="C41" s="23" t="s">
        <v>1197</v>
      </c>
      <c r="D41" s="21" t="s">
        <v>1224</v>
      </c>
      <c r="E41" s="25"/>
      <c r="F41" s="25">
        <v>24.2</v>
      </c>
      <c r="G41" s="20"/>
      <c r="H41" s="17"/>
      <c r="I41" s="17"/>
      <c r="J41" s="17"/>
    </row>
    <row r="42" spans="3:10" ht="15.75" thickBot="1" x14ac:dyDescent="0.3">
      <c r="C42" s="23" t="s">
        <v>1197</v>
      </c>
      <c r="D42" s="21" t="s">
        <v>1216</v>
      </c>
      <c r="E42" s="25"/>
      <c r="F42" s="25">
        <v>5.5013888888888882</v>
      </c>
      <c r="G42" s="20"/>
      <c r="H42" s="17"/>
      <c r="I42" s="17"/>
      <c r="J42" s="17"/>
    </row>
    <row r="43" spans="3:10" ht="15.75" thickBot="1" x14ac:dyDescent="0.3">
      <c r="C43" s="23" t="s">
        <v>1197</v>
      </c>
      <c r="D43" s="21" t="s">
        <v>1231</v>
      </c>
      <c r="E43" s="25"/>
      <c r="F43" s="25">
        <v>0.3666666666666667</v>
      </c>
      <c r="G43" s="20"/>
      <c r="H43" s="17"/>
      <c r="I43" s="17"/>
      <c r="J43" s="17"/>
    </row>
    <row r="44" spans="3:10" ht="15.75" thickBot="1" x14ac:dyDescent="0.3">
      <c r="C44" s="23" t="s">
        <v>1197</v>
      </c>
      <c r="D44" s="21" t="s">
        <v>1229</v>
      </c>
      <c r="E44" s="25"/>
      <c r="F44" s="25">
        <v>1.2923611111111111</v>
      </c>
      <c r="G44" s="20"/>
      <c r="H44" s="17"/>
      <c r="I44" s="17"/>
      <c r="J44" s="17"/>
    </row>
    <row r="45" spans="3:10" ht="15.75" thickBot="1" x14ac:dyDescent="0.3">
      <c r="C45" s="23" t="s">
        <v>1197</v>
      </c>
      <c r="D45" s="21" t="s">
        <v>1221</v>
      </c>
      <c r="E45" s="25"/>
      <c r="F45" s="25">
        <v>20.680555555555557</v>
      </c>
      <c r="G45" s="20"/>
      <c r="H45" s="17"/>
      <c r="I45" s="17"/>
      <c r="J45" s="17"/>
    </row>
    <row r="46" spans="3:10" ht="15.75" thickBot="1" x14ac:dyDescent="0.3">
      <c r="C46" s="24" t="s">
        <v>1758</v>
      </c>
      <c r="D46" s="24"/>
      <c r="E46" s="25">
        <v>21.470138888888886</v>
      </c>
      <c r="F46" s="25">
        <v>274.87916666666661</v>
      </c>
      <c r="G46" s="20"/>
      <c r="H46" s="17"/>
      <c r="I46" s="17"/>
      <c r="J46" s="17"/>
    </row>
    <row r="47" spans="3:10" x14ac:dyDescent="0.25">
      <c r="D47"/>
      <c r="E47"/>
      <c r="F47"/>
      <c r="G47" s="20"/>
      <c r="H47" s="17"/>
      <c r="I47" s="17"/>
      <c r="J47" s="17"/>
    </row>
    <row r="48" spans="3:10" ht="15.75" thickBot="1" x14ac:dyDescent="0.3">
      <c r="D48"/>
      <c r="E48"/>
      <c r="F48"/>
      <c r="G48" s="20"/>
      <c r="H48" s="17"/>
      <c r="I48" s="17"/>
      <c r="J48" s="17"/>
    </row>
    <row r="49" spans="4:10" ht="15.75" thickBot="1" x14ac:dyDescent="0.3">
      <c r="D49"/>
      <c r="E49"/>
      <c r="F49"/>
      <c r="G49" s="20"/>
      <c r="H49" s="17"/>
      <c r="I49" s="17"/>
      <c r="J49" s="17"/>
    </row>
    <row r="50" spans="4:10" ht="15.75" thickBot="1" x14ac:dyDescent="0.3">
      <c r="D50"/>
      <c r="E50"/>
      <c r="F50"/>
      <c r="G50" s="20"/>
      <c r="H50" s="17"/>
      <c r="I50" s="17"/>
      <c r="J50" s="17"/>
    </row>
    <row r="51" spans="4:10" ht="15.75" thickBot="1" x14ac:dyDescent="0.3">
      <c r="D51"/>
      <c r="E51"/>
      <c r="F51"/>
      <c r="G51" s="20"/>
      <c r="H51" s="17"/>
      <c r="I51" s="17"/>
      <c r="J51" s="17"/>
    </row>
    <row r="52" spans="4:10" ht="15.75" thickBot="1" x14ac:dyDescent="0.3">
      <c r="D52"/>
      <c r="E52"/>
      <c r="F52"/>
      <c r="G52" s="20"/>
      <c r="H52" s="17"/>
      <c r="I52" s="17"/>
      <c r="J52" s="17"/>
    </row>
    <row r="53" spans="4:10" ht="15.75" thickBot="1" x14ac:dyDescent="0.3">
      <c r="D53"/>
      <c r="E53"/>
      <c r="F53"/>
      <c r="G53" s="20"/>
      <c r="H53" s="17"/>
      <c r="I53" s="17"/>
      <c r="J53" s="17"/>
    </row>
    <row r="54" spans="4:10" ht="15.75" thickBot="1" x14ac:dyDescent="0.3">
      <c r="D54"/>
      <c r="E54"/>
      <c r="F54"/>
      <c r="G54" s="20"/>
      <c r="H54" s="17"/>
      <c r="I54" s="17"/>
      <c r="J54" s="17"/>
    </row>
    <row r="55" spans="4:10" ht="15.75" thickBot="1" x14ac:dyDescent="0.3">
      <c r="D55"/>
      <c r="E55"/>
      <c r="F55"/>
      <c r="G55" s="20"/>
      <c r="H55" s="17"/>
      <c r="I55" s="17"/>
      <c r="J55" s="17"/>
    </row>
    <row r="56" spans="4:10" ht="15.75" thickBot="1" x14ac:dyDescent="0.3">
      <c r="D56"/>
      <c r="E56"/>
      <c r="F56"/>
      <c r="G56" s="20"/>
      <c r="H56" s="17"/>
      <c r="I56" s="17"/>
      <c r="J56" s="17"/>
    </row>
    <row r="57" spans="4:10" ht="15.75" thickBot="1" x14ac:dyDescent="0.3">
      <c r="D57"/>
      <c r="E57"/>
      <c r="F57"/>
      <c r="G57" s="20"/>
      <c r="H57" s="17"/>
      <c r="I57" s="17"/>
      <c r="J57" s="17"/>
    </row>
    <row r="58" spans="4:10" ht="15.75" thickBot="1" x14ac:dyDescent="0.3">
      <c r="D58"/>
      <c r="E58"/>
      <c r="F58"/>
      <c r="G58" s="20"/>
      <c r="H58" s="17"/>
      <c r="I58" s="17"/>
      <c r="J58" s="17"/>
    </row>
    <row r="59" spans="4:10" ht="15.75" thickBot="1" x14ac:dyDescent="0.3">
      <c r="D59"/>
      <c r="E59"/>
      <c r="F59"/>
      <c r="G59" s="20"/>
      <c r="H59" s="17"/>
      <c r="I59" s="17"/>
      <c r="J59" s="17"/>
    </row>
    <row r="60" spans="4:10" ht="15.75" thickBot="1" x14ac:dyDescent="0.3">
      <c r="D60"/>
      <c r="E60"/>
      <c r="F60"/>
      <c r="G60" s="20"/>
      <c r="H60" s="17"/>
      <c r="I60" s="17"/>
      <c r="J60" s="17"/>
    </row>
    <row r="61" spans="4:10" ht="15.75" thickBot="1" x14ac:dyDescent="0.3">
      <c r="D61"/>
      <c r="E61"/>
      <c r="F61"/>
      <c r="G61" s="20"/>
      <c r="H61" s="17"/>
      <c r="I61" s="17"/>
      <c r="J61" s="17"/>
    </row>
    <row r="62" spans="4:10" ht="15.75" thickBot="1" x14ac:dyDescent="0.3">
      <c r="D62"/>
      <c r="E62"/>
      <c r="F62"/>
      <c r="G62" s="20"/>
      <c r="H62" s="17"/>
      <c r="I62" s="17"/>
      <c r="J62" s="17"/>
    </row>
    <row r="63" spans="4:10" ht="15.75" thickBot="1" x14ac:dyDescent="0.3">
      <c r="D63"/>
      <c r="E63"/>
      <c r="F63"/>
      <c r="G63" s="20"/>
      <c r="H63" s="17"/>
      <c r="I63" s="17"/>
      <c r="J63" s="17"/>
    </row>
    <row r="64" spans="4:10" ht="15.75" thickBot="1" x14ac:dyDescent="0.3">
      <c r="D64"/>
      <c r="E64"/>
      <c r="F64"/>
      <c r="G64" s="20"/>
      <c r="H64" s="17"/>
      <c r="I64" s="17"/>
      <c r="J64" s="17"/>
    </row>
    <row r="65" spans="4:10" ht="15.75" thickBot="1" x14ac:dyDescent="0.3">
      <c r="D65"/>
      <c r="E65"/>
      <c r="F65"/>
      <c r="G65" s="20"/>
      <c r="H65" s="17"/>
      <c r="I65" s="17"/>
      <c r="J65" s="17"/>
    </row>
    <row r="66" spans="4:10" ht="15.75" thickBot="1" x14ac:dyDescent="0.3">
      <c r="D66"/>
      <c r="E66"/>
      <c r="F66"/>
      <c r="G66" s="20"/>
      <c r="H66" s="17"/>
      <c r="I66" s="17"/>
      <c r="J66" s="17"/>
    </row>
    <row r="67" spans="4:10" ht="15.75" thickBot="1" x14ac:dyDescent="0.3">
      <c r="D67"/>
      <c r="E67"/>
      <c r="F67"/>
      <c r="G67" s="20"/>
      <c r="H67" s="17"/>
      <c r="I67" s="17"/>
      <c r="J67" s="17"/>
    </row>
    <row r="68" spans="4:10" ht="15.75" thickBot="1" x14ac:dyDescent="0.3">
      <c r="D68"/>
      <c r="E68"/>
      <c r="F68"/>
      <c r="G68" s="20"/>
      <c r="H68" s="17"/>
      <c r="I68" s="17"/>
      <c r="J68" s="17"/>
    </row>
    <row r="69" spans="4:10" ht="15.75" thickBot="1" x14ac:dyDescent="0.3">
      <c r="D69"/>
      <c r="E69"/>
      <c r="F69"/>
      <c r="G69" s="20"/>
      <c r="H69" s="17"/>
      <c r="I69" s="17"/>
      <c r="J69" s="17"/>
    </row>
    <row r="70" spans="4:10" ht="15.75" thickBot="1" x14ac:dyDescent="0.3">
      <c r="D70"/>
      <c r="E70"/>
      <c r="F70"/>
      <c r="G70" s="20"/>
      <c r="H70" s="17"/>
      <c r="I70" s="17"/>
      <c r="J70" s="17"/>
    </row>
    <row r="71" spans="4:10" ht="15.75" thickBot="1" x14ac:dyDescent="0.3">
      <c r="D71"/>
      <c r="E71"/>
      <c r="F71"/>
      <c r="G71" s="20"/>
      <c r="H71" s="17"/>
      <c r="I71" s="17"/>
      <c r="J71" s="17"/>
    </row>
    <row r="72" spans="4:10" ht="15.75" thickBot="1" x14ac:dyDescent="0.3">
      <c r="D72"/>
      <c r="E72"/>
      <c r="F72"/>
      <c r="G72" s="20"/>
      <c r="H72" s="17"/>
      <c r="I72" s="17"/>
      <c r="J72" s="17"/>
    </row>
    <row r="73" spans="4:10" ht="15.75" thickBot="1" x14ac:dyDescent="0.3">
      <c r="D73"/>
      <c r="E73"/>
      <c r="F73"/>
      <c r="G73" s="20"/>
      <c r="H73" s="17"/>
      <c r="I73" s="17"/>
      <c r="J73" s="17"/>
    </row>
    <row r="74" spans="4:10" ht="15.75" thickBot="1" x14ac:dyDescent="0.3">
      <c r="D74"/>
      <c r="E74"/>
      <c r="F74"/>
      <c r="G74" s="20"/>
      <c r="H74" s="17"/>
      <c r="I74" s="17"/>
      <c r="J74" s="17"/>
    </row>
    <row r="75" spans="4:10" ht="15.75" thickBot="1" x14ac:dyDescent="0.3">
      <c r="D75"/>
      <c r="E75"/>
      <c r="F75"/>
      <c r="G75" s="20"/>
      <c r="H75" s="17"/>
      <c r="I75" s="17"/>
      <c r="J75" s="17"/>
    </row>
    <row r="76" spans="4:10" ht="15.75" thickBot="1" x14ac:dyDescent="0.3">
      <c r="D76"/>
      <c r="E76"/>
      <c r="F76"/>
      <c r="G76" s="20"/>
      <c r="H76" s="17"/>
      <c r="I76" s="17"/>
      <c r="J76" s="17"/>
    </row>
    <row r="77" spans="4:10" ht="15.75" thickBot="1" x14ac:dyDescent="0.3">
      <c r="D77"/>
      <c r="E77"/>
      <c r="F77"/>
      <c r="G77" s="20"/>
      <c r="H77" s="17"/>
      <c r="I77" s="17"/>
      <c r="J77" s="17"/>
    </row>
    <row r="78" spans="4:10" ht="15.75" thickBot="1" x14ac:dyDescent="0.3">
      <c r="D78"/>
      <c r="E78"/>
      <c r="F78"/>
      <c r="G78" s="20"/>
      <c r="H78" s="17"/>
      <c r="I78" s="17"/>
      <c r="J78" s="17"/>
    </row>
    <row r="79" spans="4:10" ht="15.75" thickBot="1" x14ac:dyDescent="0.3">
      <c r="D79"/>
      <c r="E79"/>
      <c r="F79"/>
      <c r="G79" s="20"/>
      <c r="H79" s="17"/>
      <c r="I79" s="17"/>
      <c r="J79" s="17"/>
    </row>
    <row r="80" spans="4:10" ht="15.75" thickBot="1" x14ac:dyDescent="0.3">
      <c r="D80"/>
      <c r="E80"/>
      <c r="F80"/>
      <c r="G80" s="20"/>
      <c r="H80" s="17"/>
      <c r="I80" s="17"/>
      <c r="J80" s="17"/>
    </row>
    <row r="81" spans="4:10" ht="15.75" thickBot="1" x14ac:dyDescent="0.3">
      <c r="D81"/>
      <c r="E81"/>
      <c r="F81"/>
      <c r="G81" s="20"/>
      <c r="H81" s="17"/>
      <c r="I81" s="17"/>
      <c r="J81" s="17"/>
    </row>
    <row r="82" spans="4:10" ht="15.75" thickBot="1" x14ac:dyDescent="0.3">
      <c r="D82"/>
      <c r="E82"/>
      <c r="F82"/>
      <c r="G82" s="20"/>
      <c r="H82" s="17"/>
      <c r="I82" s="17"/>
      <c r="J82" s="17"/>
    </row>
    <row r="83" spans="4:10" ht="15.75" thickBot="1" x14ac:dyDescent="0.3">
      <c r="D83"/>
      <c r="E83"/>
      <c r="F83"/>
      <c r="G83" s="20"/>
      <c r="H83" s="17"/>
      <c r="I83" s="17"/>
      <c r="J83" s="17"/>
    </row>
    <row r="84" spans="4:10" ht="15.75" thickBot="1" x14ac:dyDescent="0.3">
      <c r="D84"/>
      <c r="E84"/>
      <c r="F84"/>
      <c r="G84" s="20"/>
      <c r="H84" s="17"/>
      <c r="I84" s="17"/>
      <c r="J84" s="17"/>
    </row>
    <row r="85" spans="4:10" ht="15.75" thickBot="1" x14ac:dyDescent="0.3">
      <c r="D85"/>
      <c r="E85"/>
      <c r="F85"/>
      <c r="G85" s="20"/>
      <c r="H85" s="17"/>
      <c r="I85" s="17"/>
      <c r="J85" s="17"/>
    </row>
    <row r="86" spans="4:10" ht="15.75" thickBot="1" x14ac:dyDescent="0.3">
      <c r="D86"/>
      <c r="E86"/>
      <c r="F86"/>
      <c r="G86" s="20"/>
      <c r="H86" s="17"/>
      <c r="I86" s="17"/>
      <c r="J86" s="17"/>
    </row>
    <row r="87" spans="4:10" ht="15.75" thickBot="1" x14ac:dyDescent="0.3">
      <c r="D87"/>
      <c r="E87"/>
      <c r="F87"/>
      <c r="G87" s="20"/>
      <c r="H87" s="17"/>
      <c r="I87" s="17"/>
      <c r="J87" s="17"/>
    </row>
    <row r="88" spans="4:10" ht="15.75" thickBot="1" x14ac:dyDescent="0.3">
      <c r="D88"/>
      <c r="E88"/>
      <c r="F88"/>
      <c r="G88" s="20"/>
      <c r="H88" s="17"/>
      <c r="I88" s="17"/>
      <c r="J88" s="17"/>
    </row>
    <row r="89" spans="4:10" ht="15.75" thickBot="1" x14ac:dyDescent="0.3">
      <c r="D89"/>
      <c r="E89"/>
      <c r="F89"/>
      <c r="G89" s="20"/>
      <c r="H89" s="17"/>
      <c r="I89" s="17"/>
      <c r="J89" s="17"/>
    </row>
    <row r="90" spans="4:10" ht="15.75" thickBot="1" x14ac:dyDescent="0.3">
      <c r="D90"/>
      <c r="E90"/>
      <c r="F90"/>
      <c r="G90" s="20"/>
      <c r="H90" s="17"/>
      <c r="I90" s="17"/>
      <c r="J90" s="17"/>
    </row>
    <row r="91" spans="4:10" ht="15.75" thickBot="1" x14ac:dyDescent="0.3">
      <c r="D91"/>
      <c r="E91"/>
      <c r="F91"/>
      <c r="G91" s="20"/>
      <c r="H91" s="17"/>
      <c r="I91" s="17"/>
      <c r="J91" s="17"/>
    </row>
    <row r="92" spans="4:10" ht="15.75" thickBot="1" x14ac:dyDescent="0.3">
      <c r="D92"/>
      <c r="E92"/>
      <c r="F92"/>
      <c r="G92" s="20"/>
      <c r="H92" s="17"/>
      <c r="I92" s="17"/>
      <c r="J92" s="17"/>
    </row>
    <row r="93" spans="4:10" ht="15.75" thickBot="1" x14ac:dyDescent="0.3">
      <c r="D93"/>
      <c r="E93"/>
      <c r="F93"/>
      <c r="G93" s="20"/>
      <c r="H93" s="17"/>
      <c r="I93" s="17"/>
      <c r="J93" s="17"/>
    </row>
    <row r="94" spans="4:10" ht="15.75" thickBot="1" x14ac:dyDescent="0.3">
      <c r="D94"/>
      <c r="E94"/>
      <c r="F94"/>
      <c r="G94" s="20"/>
      <c r="H94" s="17"/>
      <c r="I94" s="17"/>
      <c r="J94" s="17"/>
    </row>
    <row r="95" spans="4:10" ht="15.75" thickBot="1" x14ac:dyDescent="0.3">
      <c r="D95"/>
      <c r="E95"/>
      <c r="F95"/>
      <c r="G95" s="20"/>
      <c r="H95" s="17"/>
      <c r="I95" s="17"/>
      <c r="J95" s="17"/>
    </row>
    <row r="96" spans="4:10" ht="15.75" thickBot="1" x14ac:dyDescent="0.3">
      <c r="D96"/>
      <c r="E96"/>
      <c r="F96"/>
      <c r="G96" s="20"/>
      <c r="H96" s="17"/>
      <c r="I96" s="17"/>
      <c r="J96" s="17"/>
    </row>
    <row r="97" spans="4:10" ht="15.75" thickBot="1" x14ac:dyDescent="0.3">
      <c r="D97"/>
      <c r="E97"/>
      <c r="F97"/>
      <c r="G97" s="20"/>
      <c r="H97" s="17"/>
      <c r="I97" s="17"/>
      <c r="J97" s="17"/>
    </row>
    <row r="98" spans="4:10" ht="15.75" thickBot="1" x14ac:dyDescent="0.3">
      <c r="D98"/>
      <c r="E98"/>
      <c r="F98"/>
      <c r="G98" s="20"/>
      <c r="H98" s="17"/>
      <c r="I98" s="17"/>
      <c r="J98" s="17"/>
    </row>
    <row r="99" spans="4:10" ht="15.75" thickBot="1" x14ac:dyDescent="0.3">
      <c r="D99"/>
      <c r="E99"/>
      <c r="F99"/>
      <c r="G99" s="20"/>
      <c r="H99" s="17"/>
      <c r="I99" s="17"/>
      <c r="J99" s="17"/>
    </row>
    <row r="100" spans="4:10" ht="15.75" thickBot="1" x14ac:dyDescent="0.3">
      <c r="D100"/>
      <c r="E100"/>
      <c r="F100"/>
      <c r="G100" s="20"/>
      <c r="H100" s="17"/>
      <c r="I100" s="17"/>
      <c r="J100" s="17"/>
    </row>
    <row r="101" spans="4:10" ht="15.75" thickBot="1" x14ac:dyDescent="0.3">
      <c r="D101"/>
      <c r="E101"/>
      <c r="F101"/>
      <c r="G101" s="20"/>
      <c r="H101" s="17"/>
      <c r="I101" s="17"/>
      <c r="J101" s="17"/>
    </row>
    <row r="102" spans="4:10" ht="15.75" thickBot="1" x14ac:dyDescent="0.3">
      <c r="D102"/>
      <c r="E102"/>
      <c r="F102"/>
      <c r="G102" s="20"/>
      <c r="H102" s="17"/>
      <c r="I102" s="17"/>
      <c r="J102" s="17"/>
    </row>
    <row r="103" spans="4:10" ht="15.75" thickBot="1" x14ac:dyDescent="0.3">
      <c r="D103"/>
      <c r="E103"/>
      <c r="F103"/>
      <c r="G103" s="20"/>
      <c r="H103" s="17"/>
      <c r="I103" s="17"/>
      <c r="J103" s="17"/>
    </row>
    <row r="104" spans="4:10" ht="15.75" thickBot="1" x14ac:dyDescent="0.3">
      <c r="D104"/>
      <c r="E104"/>
      <c r="F104"/>
      <c r="G104" s="20"/>
      <c r="H104" s="17"/>
      <c r="I104" s="17"/>
      <c r="J104" s="17"/>
    </row>
    <row r="105" spans="4:10" ht="15.75" thickBot="1" x14ac:dyDescent="0.3">
      <c r="D105"/>
      <c r="E105"/>
      <c r="F105"/>
      <c r="G105" s="20"/>
      <c r="H105" s="17"/>
      <c r="I105" s="17"/>
      <c r="J105" s="17"/>
    </row>
    <row r="106" spans="4:10" ht="15.75" thickBot="1" x14ac:dyDescent="0.3">
      <c r="D106"/>
      <c r="E106"/>
      <c r="F106"/>
      <c r="G106" s="20"/>
      <c r="H106" s="17"/>
      <c r="I106" s="17"/>
      <c r="J106" s="17"/>
    </row>
    <row r="107" spans="4:10" ht="15.75" thickBot="1" x14ac:dyDescent="0.3">
      <c r="D107"/>
      <c r="E107"/>
      <c r="F107"/>
      <c r="G107" s="20"/>
      <c r="H107" s="17"/>
      <c r="I107" s="17"/>
      <c r="J107" s="17"/>
    </row>
    <row r="108" spans="4:10" ht="15.75" thickBot="1" x14ac:dyDescent="0.3">
      <c r="D108"/>
      <c r="E108"/>
      <c r="F108"/>
      <c r="G108" s="20"/>
      <c r="H108" s="17"/>
      <c r="I108" s="17"/>
      <c r="J108" s="17"/>
    </row>
    <row r="109" spans="4:10" ht="15.75" thickBot="1" x14ac:dyDescent="0.3">
      <c r="D109"/>
      <c r="E109"/>
      <c r="F109"/>
      <c r="G109" s="20"/>
      <c r="H109" s="17"/>
      <c r="I109" s="17"/>
      <c r="J109" s="17"/>
    </row>
    <row r="110" spans="4:10" ht="15.75" thickBot="1" x14ac:dyDescent="0.3">
      <c r="D110"/>
      <c r="E110"/>
      <c r="F110"/>
      <c r="G110" s="20"/>
      <c r="H110" s="17"/>
      <c r="I110" s="17"/>
      <c r="J110" s="17"/>
    </row>
    <row r="111" spans="4:10" ht="15.75" thickBot="1" x14ac:dyDescent="0.3">
      <c r="D111"/>
      <c r="E111"/>
      <c r="F111"/>
      <c r="G111" s="20"/>
      <c r="H111" s="17"/>
      <c r="I111" s="17"/>
      <c r="J111" s="17"/>
    </row>
    <row r="112" spans="4:10" ht="15.75" thickBot="1" x14ac:dyDescent="0.3">
      <c r="D112"/>
      <c r="E112"/>
      <c r="F112"/>
      <c r="G112" s="20"/>
      <c r="H112" s="17"/>
      <c r="I112" s="17"/>
      <c r="J112" s="17"/>
    </row>
    <row r="113" spans="4:10" ht="15.75" thickBot="1" x14ac:dyDescent="0.3">
      <c r="D113"/>
      <c r="E113"/>
      <c r="F113"/>
      <c r="G113" s="20"/>
      <c r="H113" s="17"/>
      <c r="I113" s="17"/>
      <c r="J113" s="17"/>
    </row>
    <row r="114" spans="4:10" ht="15.75" thickBot="1" x14ac:dyDescent="0.3">
      <c r="D114"/>
      <c r="E114"/>
      <c r="F114"/>
      <c r="G114" s="20"/>
      <c r="H114" s="17"/>
      <c r="I114" s="17"/>
      <c r="J114" s="17"/>
    </row>
    <row r="115" spans="4:10" ht="15.75" thickBot="1" x14ac:dyDescent="0.3">
      <c r="D115"/>
      <c r="E115"/>
      <c r="F115"/>
      <c r="G115" s="20"/>
      <c r="H115" s="17"/>
      <c r="I115" s="17"/>
      <c r="J115" s="17"/>
    </row>
    <row r="116" spans="4:10" ht="15.75" thickBot="1" x14ac:dyDescent="0.3">
      <c r="D116"/>
      <c r="E116"/>
      <c r="F116"/>
      <c r="G116" s="20"/>
      <c r="H116" s="17"/>
      <c r="I116" s="17"/>
      <c r="J116" s="17"/>
    </row>
    <row r="117" spans="4:10" ht="15.75" thickBot="1" x14ac:dyDescent="0.3">
      <c r="D117"/>
      <c r="E117"/>
      <c r="F117"/>
      <c r="G117" s="20"/>
      <c r="H117" s="17"/>
      <c r="I117" s="17"/>
      <c r="J117" s="17"/>
    </row>
    <row r="118" spans="4:10" ht="15.75" thickBot="1" x14ac:dyDescent="0.3">
      <c r="D118"/>
      <c r="E118"/>
      <c r="F118"/>
      <c r="G118" s="20"/>
      <c r="H118" s="17"/>
      <c r="I118" s="17"/>
      <c r="J118" s="17"/>
    </row>
    <row r="119" spans="4:10" ht="15.75" thickBot="1" x14ac:dyDescent="0.3">
      <c r="D119"/>
      <c r="E119"/>
      <c r="F119"/>
      <c r="G119" s="20"/>
      <c r="H119" s="17"/>
      <c r="I119" s="17"/>
      <c r="J119" s="17"/>
    </row>
    <row r="120" spans="4:10" ht="15.75" thickBot="1" x14ac:dyDescent="0.3">
      <c r="D120"/>
      <c r="E120"/>
      <c r="F120"/>
      <c r="G120" s="20"/>
      <c r="H120" s="17"/>
      <c r="I120" s="17"/>
      <c r="J120" s="17"/>
    </row>
    <row r="121" spans="4:10" ht="15.75" thickBot="1" x14ac:dyDescent="0.3">
      <c r="D121"/>
      <c r="E121"/>
      <c r="F121"/>
      <c r="G121" s="20"/>
      <c r="H121" s="17"/>
      <c r="I121" s="17"/>
      <c r="J121" s="17"/>
    </row>
    <row r="122" spans="4:10" ht="15.75" thickBot="1" x14ac:dyDescent="0.3">
      <c r="D122"/>
      <c r="E122"/>
      <c r="F122"/>
      <c r="G122" s="20"/>
      <c r="H122" s="17"/>
      <c r="I122" s="17"/>
      <c r="J122" s="17"/>
    </row>
    <row r="123" spans="4:10" ht="15.75" thickBot="1" x14ac:dyDescent="0.3">
      <c r="D123"/>
      <c r="E123"/>
      <c r="F123"/>
      <c r="G123" s="20"/>
      <c r="H123" s="17"/>
      <c r="I123" s="17"/>
      <c r="J123" s="17"/>
    </row>
    <row r="124" spans="4:10" ht="15.75" thickBot="1" x14ac:dyDescent="0.3">
      <c r="D124"/>
      <c r="E124"/>
      <c r="F124"/>
      <c r="G124" s="20"/>
      <c r="H124" s="17"/>
      <c r="I124" s="17"/>
      <c r="J124" s="17"/>
    </row>
    <row r="125" spans="4:10" ht="15.75" thickBot="1" x14ac:dyDescent="0.3">
      <c r="D125"/>
      <c r="E125"/>
      <c r="F125"/>
      <c r="G125" s="20"/>
      <c r="H125" s="17"/>
      <c r="I125" s="17"/>
      <c r="J125" s="17"/>
    </row>
    <row r="126" spans="4:10" ht="15.75" thickBot="1" x14ac:dyDescent="0.3">
      <c r="D126"/>
      <c r="E126"/>
      <c r="F126"/>
      <c r="G126" s="20"/>
      <c r="H126" s="17"/>
      <c r="I126" s="17"/>
      <c r="J126" s="17"/>
    </row>
    <row r="127" spans="4:10" ht="15.75" thickBot="1" x14ac:dyDescent="0.3">
      <c r="D127"/>
      <c r="E127"/>
      <c r="F127"/>
      <c r="G127" s="20"/>
      <c r="H127" s="17"/>
      <c r="I127" s="17"/>
      <c r="J127" s="17"/>
    </row>
    <row r="128" spans="4:10" ht="15.75" thickBot="1" x14ac:dyDescent="0.3">
      <c r="D128"/>
      <c r="E128"/>
      <c r="F128"/>
      <c r="G128" s="20"/>
      <c r="H128" s="17"/>
      <c r="I128" s="17"/>
      <c r="J128" s="17"/>
    </row>
    <row r="129" spans="4:10" ht="15.75" thickBot="1" x14ac:dyDescent="0.3">
      <c r="D129"/>
      <c r="E129"/>
      <c r="F129"/>
      <c r="G129" s="20"/>
      <c r="H129" s="17"/>
      <c r="I129" s="17"/>
      <c r="J129" s="17"/>
    </row>
    <row r="130" spans="4:10" ht="15.75" thickBot="1" x14ac:dyDescent="0.3">
      <c r="D130"/>
      <c r="E130"/>
      <c r="F130"/>
      <c r="G130" s="20"/>
      <c r="H130" s="17"/>
      <c r="I130" s="17"/>
      <c r="J130" s="17"/>
    </row>
    <row r="131" spans="4:10" ht="15.75" thickBot="1" x14ac:dyDescent="0.3">
      <c r="D131"/>
      <c r="E131"/>
      <c r="F131"/>
      <c r="G131" s="20"/>
      <c r="H131" s="17"/>
      <c r="I131" s="17"/>
      <c r="J131" s="17"/>
    </row>
    <row r="132" spans="4:10" ht="15.75" thickBot="1" x14ac:dyDescent="0.3">
      <c r="D132"/>
      <c r="E132"/>
      <c r="F132"/>
      <c r="G132" s="20"/>
      <c r="H132" s="17"/>
      <c r="I132" s="17"/>
      <c r="J132" s="17"/>
    </row>
    <row r="133" spans="4:10" ht="15.75" thickBot="1" x14ac:dyDescent="0.3">
      <c r="D133"/>
      <c r="E133"/>
      <c r="F133"/>
      <c r="G133" s="20"/>
      <c r="H133" s="17"/>
      <c r="I133" s="17"/>
      <c r="J133" s="17"/>
    </row>
    <row r="134" spans="4:10" ht="15.75" thickBot="1" x14ac:dyDescent="0.3">
      <c r="D134"/>
      <c r="E134"/>
      <c r="F134"/>
      <c r="G134" s="20"/>
      <c r="H134" s="17"/>
      <c r="I134" s="17"/>
      <c r="J134" s="17"/>
    </row>
    <row r="135" spans="4:10" ht="15.75" thickBot="1" x14ac:dyDescent="0.3">
      <c r="D135"/>
      <c r="E135"/>
      <c r="F135"/>
      <c r="G135" s="20"/>
      <c r="H135" s="17"/>
      <c r="I135" s="17"/>
      <c r="J135" s="17"/>
    </row>
    <row r="136" spans="4:10" ht="15.75" thickBot="1" x14ac:dyDescent="0.3">
      <c r="D136"/>
      <c r="E136"/>
      <c r="F136"/>
      <c r="G136" s="20"/>
      <c r="H136" s="17"/>
      <c r="I136" s="17"/>
      <c r="J136" s="17"/>
    </row>
    <row r="137" spans="4:10" ht="15.75" thickBot="1" x14ac:dyDescent="0.3">
      <c r="D137"/>
      <c r="E137"/>
      <c r="F137"/>
      <c r="G137" s="20"/>
      <c r="H137" s="17"/>
      <c r="I137" s="17"/>
      <c r="J137" s="17"/>
    </row>
    <row r="138" spans="4:10" ht="15.75" thickBot="1" x14ac:dyDescent="0.3">
      <c r="D138"/>
      <c r="E138"/>
      <c r="F138"/>
      <c r="G138" s="20"/>
      <c r="H138" s="17"/>
      <c r="I138" s="17"/>
      <c r="J138" s="17"/>
    </row>
    <row r="139" spans="4:10" ht="15.75" thickBot="1" x14ac:dyDescent="0.3">
      <c r="D139"/>
      <c r="E139"/>
      <c r="F139"/>
      <c r="G139" s="20"/>
      <c r="H139" s="17"/>
      <c r="I139" s="17"/>
      <c r="J139" s="17"/>
    </row>
    <row r="140" spans="4:10" ht="15.75" thickBot="1" x14ac:dyDescent="0.3">
      <c r="D140"/>
      <c r="E140"/>
      <c r="F140"/>
      <c r="G140" s="20"/>
      <c r="H140" s="17"/>
      <c r="I140" s="17"/>
      <c r="J140" s="17"/>
    </row>
    <row r="141" spans="4:10" ht="15.75" thickBot="1" x14ac:dyDescent="0.3">
      <c r="D141"/>
      <c r="E141"/>
      <c r="F141"/>
      <c r="G141" s="20"/>
      <c r="H141" s="17"/>
      <c r="I141" s="17"/>
      <c r="J141" s="17"/>
    </row>
    <row r="142" spans="4:10" ht="15.75" thickBot="1" x14ac:dyDescent="0.3">
      <c r="D142"/>
      <c r="E142"/>
      <c r="F142"/>
      <c r="G142" s="20"/>
      <c r="H142" s="17"/>
      <c r="I142" s="17"/>
      <c r="J142" s="17"/>
    </row>
    <row r="143" spans="4:10" ht="15.75" thickBot="1" x14ac:dyDescent="0.3">
      <c r="D143"/>
      <c r="E143"/>
      <c r="F143"/>
      <c r="G143" s="20"/>
      <c r="H143" s="17"/>
      <c r="I143" s="17"/>
      <c r="J143" s="17"/>
    </row>
    <row r="144" spans="4:10" ht="15.75" thickBot="1" x14ac:dyDescent="0.3">
      <c r="D144"/>
      <c r="E144"/>
      <c r="F144"/>
      <c r="G144" s="20"/>
      <c r="H144" s="17"/>
      <c r="I144" s="17"/>
      <c r="J144" s="17"/>
    </row>
    <row r="145" spans="4:10" ht="15.75" thickBot="1" x14ac:dyDescent="0.3">
      <c r="D145"/>
      <c r="E145"/>
      <c r="F145"/>
      <c r="G145" s="20"/>
      <c r="H145" s="17"/>
      <c r="I145" s="17"/>
      <c r="J145" s="17"/>
    </row>
    <row r="146" spans="4:10" ht="15.75" thickBot="1" x14ac:dyDescent="0.3">
      <c r="D146"/>
      <c r="E146"/>
      <c r="F146"/>
      <c r="G146" s="20"/>
      <c r="H146" s="17"/>
      <c r="I146" s="17"/>
      <c r="J146" s="17"/>
    </row>
    <row r="147" spans="4:10" ht="15.75" thickBot="1" x14ac:dyDescent="0.3">
      <c r="D147"/>
      <c r="E147"/>
      <c r="F147"/>
      <c r="G147" s="20"/>
      <c r="H147" s="17"/>
      <c r="I147" s="17"/>
      <c r="J147" s="17"/>
    </row>
    <row r="148" spans="4:10" ht="15.75" thickBot="1" x14ac:dyDescent="0.3">
      <c r="D148"/>
      <c r="E148"/>
      <c r="F148"/>
      <c r="G148" s="20"/>
      <c r="H148" s="17"/>
      <c r="I148" s="17"/>
      <c r="J148" s="17"/>
    </row>
    <row r="149" spans="4:10" ht="15.75" thickBot="1" x14ac:dyDescent="0.3">
      <c r="D149"/>
      <c r="E149"/>
      <c r="F149"/>
      <c r="G149" s="20"/>
      <c r="H149" s="17"/>
      <c r="I149" s="17"/>
      <c r="J149" s="17"/>
    </row>
    <row r="150" spans="4:10" ht="15.75" thickBot="1" x14ac:dyDescent="0.3">
      <c r="D150"/>
      <c r="E150"/>
      <c r="F150"/>
      <c r="G150" s="20"/>
      <c r="H150" s="17"/>
      <c r="I150" s="17"/>
      <c r="J150" s="17"/>
    </row>
    <row r="151" spans="4:10" ht="15.75" thickBot="1" x14ac:dyDescent="0.3">
      <c r="D151"/>
      <c r="E151"/>
      <c r="F151"/>
      <c r="G151" s="20"/>
      <c r="H151" s="17"/>
      <c r="I151" s="17"/>
      <c r="J151" s="17"/>
    </row>
    <row r="152" spans="4:10" ht="15.75" thickBot="1" x14ac:dyDescent="0.3">
      <c r="D152"/>
      <c r="E152"/>
      <c r="F152"/>
      <c r="G152" s="20"/>
      <c r="H152" s="17"/>
      <c r="I152" s="17"/>
      <c r="J152" s="17"/>
    </row>
    <row r="153" spans="4:10" ht="15.75" thickBot="1" x14ac:dyDescent="0.3">
      <c r="D153"/>
      <c r="E153"/>
      <c r="F153"/>
      <c r="G153" s="20"/>
      <c r="H153" s="17"/>
      <c r="I153" s="17"/>
      <c r="J153" s="17"/>
    </row>
    <row r="154" spans="4:10" ht="15.75" thickBot="1" x14ac:dyDescent="0.3">
      <c r="D154"/>
      <c r="E154"/>
      <c r="F154"/>
      <c r="G154" s="20"/>
      <c r="H154" s="17"/>
      <c r="I154" s="17"/>
      <c r="J154" s="17"/>
    </row>
    <row r="155" spans="4:10" ht="15.75" thickBot="1" x14ac:dyDescent="0.3">
      <c r="D155"/>
      <c r="E155"/>
      <c r="F155"/>
      <c r="G155" s="20"/>
      <c r="H155" s="17"/>
      <c r="I155" s="17"/>
      <c r="J155" s="17"/>
    </row>
    <row r="156" spans="4:10" ht="15.75" thickBot="1" x14ac:dyDescent="0.3">
      <c r="D156"/>
      <c r="E156"/>
      <c r="F156"/>
      <c r="G156" s="20"/>
      <c r="H156" s="17"/>
      <c r="I156" s="17"/>
      <c r="J156" s="17"/>
    </row>
    <row r="157" spans="4:10" ht="15.75" thickBot="1" x14ac:dyDescent="0.3">
      <c r="D157"/>
      <c r="E157"/>
      <c r="F157"/>
      <c r="G157" s="20"/>
      <c r="H157" s="17"/>
      <c r="I157" s="17"/>
      <c r="J157" s="17"/>
    </row>
    <row r="158" spans="4:10" ht="15.75" thickBot="1" x14ac:dyDescent="0.3">
      <c r="D158"/>
      <c r="E158"/>
      <c r="F158"/>
      <c r="G158" s="20"/>
      <c r="H158" s="17"/>
      <c r="I158" s="17"/>
      <c r="J158" s="17"/>
    </row>
    <row r="159" spans="4:10" ht="15.75" thickBot="1" x14ac:dyDescent="0.3">
      <c r="D159"/>
      <c r="E159"/>
      <c r="F159"/>
      <c r="G159" s="20"/>
      <c r="H159" s="17"/>
      <c r="I159" s="17"/>
      <c r="J159" s="17"/>
    </row>
    <row r="160" spans="4:10" ht="15.75" thickBot="1" x14ac:dyDescent="0.3">
      <c r="D160"/>
      <c r="E160"/>
      <c r="F160"/>
      <c r="G160" s="20"/>
      <c r="H160" s="17"/>
      <c r="I160" s="17"/>
      <c r="J160" s="17"/>
    </row>
    <row r="161" spans="4:10" ht="15.75" thickBot="1" x14ac:dyDescent="0.3">
      <c r="D161"/>
      <c r="E161"/>
      <c r="F161"/>
      <c r="G161" s="20"/>
      <c r="H161" s="17"/>
      <c r="I161" s="17"/>
      <c r="J161" s="17"/>
    </row>
    <row r="162" spans="4:10" ht="15.75" thickBot="1" x14ac:dyDescent="0.3">
      <c r="D162"/>
      <c r="E162"/>
      <c r="F162"/>
      <c r="G162" s="20"/>
      <c r="H162" s="17"/>
      <c r="I162" s="17"/>
      <c r="J162" s="17"/>
    </row>
    <row r="163" spans="4:10" ht="15.75" thickBot="1" x14ac:dyDescent="0.3">
      <c r="D163"/>
      <c r="E163"/>
      <c r="F163"/>
      <c r="G163" s="20"/>
      <c r="H163" s="17"/>
      <c r="I163" s="17"/>
      <c r="J163" s="17"/>
    </row>
    <row r="164" spans="4:10" ht="15.75" thickBot="1" x14ac:dyDescent="0.3">
      <c r="D164"/>
      <c r="E164"/>
      <c r="F164"/>
      <c r="G164" s="20"/>
      <c r="H164" s="17"/>
      <c r="I164" s="17"/>
      <c r="J164" s="17"/>
    </row>
    <row r="165" spans="4:10" ht="15.75" thickBot="1" x14ac:dyDescent="0.3">
      <c r="D165"/>
      <c r="E165"/>
      <c r="F165"/>
      <c r="G165" s="20"/>
      <c r="H165" s="17"/>
      <c r="I165" s="17"/>
      <c r="J165" s="17"/>
    </row>
    <row r="166" spans="4:10" ht="15.75" thickBot="1" x14ac:dyDescent="0.3">
      <c r="D166"/>
      <c r="E166"/>
      <c r="F166"/>
      <c r="G166" s="20"/>
      <c r="H166" s="17"/>
      <c r="I166" s="17"/>
      <c r="J166" s="17"/>
    </row>
    <row r="167" spans="4:10" ht="15.75" thickBot="1" x14ac:dyDescent="0.3">
      <c r="D167"/>
      <c r="E167"/>
      <c r="F167"/>
      <c r="G167" s="20"/>
      <c r="H167" s="17"/>
      <c r="I167" s="17"/>
      <c r="J167" s="17"/>
    </row>
    <row r="168" spans="4:10" ht="15.75" thickBot="1" x14ac:dyDescent="0.3">
      <c r="D168"/>
      <c r="E168"/>
      <c r="F168"/>
      <c r="G168" s="20"/>
      <c r="H168" s="17"/>
      <c r="I168" s="17"/>
      <c r="J168" s="17"/>
    </row>
    <row r="169" spans="4:10" ht="15.75" thickBot="1" x14ac:dyDescent="0.3">
      <c r="D169"/>
      <c r="E169"/>
      <c r="F169"/>
    </row>
    <row r="170" spans="4:10" ht="15.75" thickBot="1" x14ac:dyDescent="0.3">
      <c r="D170"/>
      <c r="E170"/>
      <c r="F170"/>
    </row>
    <row r="171" spans="4:10" ht="15.75" thickBot="1" x14ac:dyDescent="0.3">
      <c r="D171"/>
      <c r="E171"/>
      <c r="F171"/>
    </row>
    <row r="172" spans="4:10" ht="15.75" thickBot="1" x14ac:dyDescent="0.3">
      <c r="D172"/>
      <c r="E172"/>
      <c r="F172"/>
    </row>
    <row r="173" spans="4:10" ht="15.75" thickBot="1" x14ac:dyDescent="0.3">
      <c r="D173"/>
      <c r="E173"/>
      <c r="F173"/>
    </row>
    <row r="174" spans="4:10" ht="15.75" thickBot="1" x14ac:dyDescent="0.3">
      <c r="D174"/>
      <c r="E174"/>
      <c r="F174"/>
    </row>
    <row r="175" spans="4:10" ht="15.75" thickBot="1" x14ac:dyDescent="0.3">
      <c r="D175"/>
      <c r="E175"/>
      <c r="F175"/>
    </row>
    <row r="176" spans="4:10" ht="15.75" thickBot="1" x14ac:dyDescent="0.3">
      <c r="D176"/>
      <c r="E176"/>
      <c r="F176"/>
    </row>
    <row r="177" spans="4:6" ht="15.75" thickBot="1" x14ac:dyDescent="0.3">
      <c r="D177"/>
      <c r="E177"/>
      <c r="F177"/>
    </row>
    <row r="178" spans="4:6" ht="15.75" thickBot="1" x14ac:dyDescent="0.3">
      <c r="D178"/>
      <c r="E178"/>
      <c r="F178"/>
    </row>
    <row r="179" spans="4:6" ht="15.75" thickBot="1" x14ac:dyDescent="0.3">
      <c r="D179"/>
      <c r="E179"/>
      <c r="F179"/>
    </row>
    <row r="180" spans="4:6" ht="15.75" thickBot="1" x14ac:dyDescent="0.3">
      <c r="D180"/>
      <c r="E180"/>
      <c r="F180"/>
    </row>
    <row r="181" spans="4:6" ht="15.75" thickBot="1" x14ac:dyDescent="0.3">
      <c r="D181"/>
      <c r="E181"/>
      <c r="F181"/>
    </row>
    <row r="182" spans="4:6" ht="15.75" thickBot="1" x14ac:dyDescent="0.3">
      <c r="D182"/>
      <c r="E182"/>
      <c r="F182"/>
    </row>
    <row r="183" spans="4:6" ht="15.75" thickBot="1" x14ac:dyDescent="0.3">
      <c r="D183"/>
      <c r="E183"/>
      <c r="F183"/>
    </row>
    <row r="184" spans="4:6" ht="15.75" thickBot="1" x14ac:dyDescent="0.3">
      <c r="D184"/>
      <c r="E184"/>
      <c r="F184"/>
    </row>
    <row r="185" spans="4:6" ht="15.75" thickBot="1" x14ac:dyDescent="0.3">
      <c r="D185"/>
      <c r="E185"/>
      <c r="F185"/>
    </row>
    <row r="186" spans="4:6" ht="15.75" thickBot="1" x14ac:dyDescent="0.3">
      <c r="D186"/>
      <c r="E186"/>
      <c r="F186"/>
    </row>
    <row r="187" spans="4:6" ht="15.75" thickBot="1" x14ac:dyDescent="0.3">
      <c r="D187"/>
      <c r="E187"/>
      <c r="F187"/>
    </row>
    <row r="188" spans="4:6" ht="15.75" thickBot="1" x14ac:dyDescent="0.3">
      <c r="D188"/>
      <c r="E188"/>
      <c r="F188"/>
    </row>
    <row r="189" spans="4:6" ht="15.75" thickBot="1" x14ac:dyDescent="0.3">
      <c r="D189"/>
      <c r="E189"/>
      <c r="F189"/>
    </row>
    <row r="190" spans="4:6" ht="15.75" thickBot="1" x14ac:dyDescent="0.3">
      <c r="D190"/>
      <c r="E190"/>
      <c r="F190"/>
    </row>
    <row r="191" spans="4:6" ht="15.75" thickBot="1" x14ac:dyDescent="0.3">
      <c r="D191"/>
      <c r="E191"/>
      <c r="F191"/>
    </row>
    <row r="192" spans="4:6" ht="15.75" thickBot="1" x14ac:dyDescent="0.3">
      <c r="D192"/>
      <c r="E192"/>
      <c r="F192"/>
    </row>
    <row r="193" spans="4:6" ht="15.75" thickBot="1" x14ac:dyDescent="0.3">
      <c r="D193"/>
      <c r="E193"/>
      <c r="F193"/>
    </row>
    <row r="194" spans="4:6" ht="15.75" thickBot="1" x14ac:dyDescent="0.3">
      <c r="D194"/>
      <c r="E194"/>
      <c r="F194"/>
    </row>
    <row r="195" spans="4:6" ht="15.75" thickBot="1" x14ac:dyDescent="0.3">
      <c r="D195"/>
      <c r="E195"/>
      <c r="F195"/>
    </row>
    <row r="196" spans="4:6" ht="15.75" thickBot="1" x14ac:dyDescent="0.3">
      <c r="D196"/>
      <c r="E196"/>
      <c r="F196"/>
    </row>
    <row r="197" spans="4:6" ht="15.75" thickBot="1" x14ac:dyDescent="0.3">
      <c r="D197"/>
      <c r="E197"/>
      <c r="F197"/>
    </row>
    <row r="198" spans="4:6" ht="15.75" thickBot="1" x14ac:dyDescent="0.3">
      <c r="D198"/>
      <c r="E198"/>
      <c r="F198"/>
    </row>
    <row r="199" spans="4:6" ht="15.75" thickBot="1" x14ac:dyDescent="0.3">
      <c r="D199"/>
      <c r="E199"/>
      <c r="F199"/>
    </row>
    <row r="200" spans="4:6" ht="15.75" thickBot="1" x14ac:dyDescent="0.3">
      <c r="D200"/>
      <c r="E200"/>
      <c r="F200"/>
    </row>
    <row r="201" spans="4:6" ht="15.75" thickBot="1" x14ac:dyDescent="0.3">
      <c r="D201"/>
      <c r="E201"/>
      <c r="F201"/>
    </row>
    <row r="202" spans="4:6" ht="15.75" thickBot="1" x14ac:dyDescent="0.3">
      <c r="D202"/>
      <c r="E202"/>
      <c r="F202"/>
    </row>
    <row r="203" spans="4:6" ht="15.75" thickBot="1" x14ac:dyDescent="0.3">
      <c r="D203"/>
      <c r="E203"/>
      <c r="F203"/>
    </row>
    <row r="204" spans="4:6" ht="15.75" thickBot="1" x14ac:dyDescent="0.3">
      <c r="D204"/>
      <c r="E204"/>
      <c r="F204"/>
    </row>
    <row r="205" spans="4:6" ht="15.75" thickBot="1" x14ac:dyDescent="0.3">
      <c r="D205"/>
      <c r="E205"/>
      <c r="F205"/>
    </row>
    <row r="206" spans="4:6" ht="15.75" thickBot="1" x14ac:dyDescent="0.3">
      <c r="D206"/>
      <c r="E206"/>
      <c r="F206"/>
    </row>
    <row r="207" spans="4:6" ht="15.75" thickBot="1" x14ac:dyDescent="0.3">
      <c r="D207"/>
      <c r="E207"/>
      <c r="F207"/>
    </row>
    <row r="208" spans="4:6" ht="15.75" thickBot="1" x14ac:dyDescent="0.3">
      <c r="D208"/>
      <c r="E208"/>
      <c r="F208"/>
    </row>
    <row r="209" spans="4:6" ht="15.75" thickBot="1" x14ac:dyDescent="0.3">
      <c r="D209"/>
      <c r="E209"/>
      <c r="F209"/>
    </row>
    <row r="210" spans="4:6" ht="15.75" thickBot="1" x14ac:dyDescent="0.3">
      <c r="D210"/>
      <c r="E210"/>
      <c r="F210"/>
    </row>
    <row r="211" spans="4:6" ht="15.75" thickBot="1" x14ac:dyDescent="0.3">
      <c r="D211"/>
      <c r="E211"/>
      <c r="F211"/>
    </row>
    <row r="212" spans="4:6" ht="15.75" thickBot="1" x14ac:dyDescent="0.3">
      <c r="D212"/>
      <c r="E212"/>
      <c r="F212"/>
    </row>
    <row r="213" spans="4:6" ht="15.75" thickBot="1" x14ac:dyDescent="0.3">
      <c r="D213"/>
      <c r="E213"/>
      <c r="F213"/>
    </row>
    <row r="214" spans="4:6" ht="15.75" thickBot="1" x14ac:dyDescent="0.3">
      <c r="D214"/>
      <c r="E214"/>
      <c r="F214"/>
    </row>
    <row r="215" spans="4:6" ht="15.75" thickBot="1" x14ac:dyDescent="0.3">
      <c r="D215"/>
      <c r="E215"/>
      <c r="F215"/>
    </row>
    <row r="216" spans="4:6" ht="15.75" thickBot="1" x14ac:dyDescent="0.3">
      <c r="D216"/>
      <c r="E216"/>
      <c r="F216"/>
    </row>
    <row r="217" spans="4:6" ht="15.75" thickBot="1" x14ac:dyDescent="0.3">
      <c r="D217"/>
      <c r="E217"/>
      <c r="F217"/>
    </row>
    <row r="218" spans="4:6" ht="15.75" thickBot="1" x14ac:dyDescent="0.3">
      <c r="D218"/>
      <c r="E218"/>
      <c r="F218"/>
    </row>
    <row r="219" spans="4:6" ht="15.75" thickBot="1" x14ac:dyDescent="0.3">
      <c r="D219"/>
      <c r="E219"/>
      <c r="F219"/>
    </row>
    <row r="220" spans="4:6" ht="15.75" thickBot="1" x14ac:dyDescent="0.3">
      <c r="D220"/>
      <c r="E220"/>
      <c r="F220"/>
    </row>
    <row r="221" spans="4:6" ht="15.75" thickBot="1" x14ac:dyDescent="0.3">
      <c r="D221"/>
      <c r="E221"/>
      <c r="F221"/>
    </row>
    <row r="222" spans="4:6" ht="15.75" thickBot="1" x14ac:dyDescent="0.3">
      <c r="D222"/>
      <c r="E222"/>
      <c r="F222"/>
    </row>
    <row r="223" spans="4:6" ht="15.75" thickBot="1" x14ac:dyDescent="0.3">
      <c r="D223"/>
      <c r="E223"/>
      <c r="F223"/>
    </row>
    <row r="224" spans="4:6" ht="15.75" thickBot="1" x14ac:dyDescent="0.3">
      <c r="D224"/>
      <c r="E224"/>
      <c r="F224"/>
    </row>
    <row r="225" spans="4:6" ht="15.75" thickBot="1" x14ac:dyDescent="0.3">
      <c r="D225"/>
      <c r="E225"/>
      <c r="F225"/>
    </row>
    <row r="226" spans="4:6" ht="15.75" thickBot="1" x14ac:dyDescent="0.3">
      <c r="D226"/>
      <c r="E226"/>
      <c r="F226"/>
    </row>
    <row r="227" spans="4:6" ht="15.75" thickBot="1" x14ac:dyDescent="0.3">
      <c r="D227"/>
      <c r="E227"/>
      <c r="F227"/>
    </row>
    <row r="228" spans="4:6" ht="15.75" thickBot="1" x14ac:dyDescent="0.3">
      <c r="D228"/>
      <c r="E228"/>
      <c r="F228"/>
    </row>
    <row r="229" spans="4:6" ht="15.75" thickBot="1" x14ac:dyDescent="0.3">
      <c r="D229"/>
      <c r="E229"/>
      <c r="F229"/>
    </row>
    <row r="230" spans="4:6" ht="15.75" thickBot="1" x14ac:dyDescent="0.3">
      <c r="D230"/>
      <c r="E230"/>
      <c r="F230"/>
    </row>
    <row r="231" spans="4:6" ht="15.75" thickBot="1" x14ac:dyDescent="0.3">
      <c r="D231"/>
      <c r="E231"/>
      <c r="F231"/>
    </row>
    <row r="232" spans="4:6" ht="15.75" thickBot="1" x14ac:dyDescent="0.3">
      <c r="D232"/>
      <c r="E232"/>
      <c r="F232"/>
    </row>
    <row r="233" spans="4:6" ht="15.75" thickBot="1" x14ac:dyDescent="0.3">
      <c r="D233"/>
      <c r="E233"/>
      <c r="F233"/>
    </row>
    <row r="234" spans="4:6" ht="15.75" thickBot="1" x14ac:dyDescent="0.3">
      <c r="D234"/>
      <c r="E234"/>
      <c r="F234"/>
    </row>
    <row r="235" spans="4:6" ht="15.75" thickBot="1" x14ac:dyDescent="0.3">
      <c r="D235"/>
      <c r="E235"/>
      <c r="F235"/>
    </row>
    <row r="236" spans="4:6" ht="15.75" thickBot="1" x14ac:dyDescent="0.3">
      <c r="D236"/>
      <c r="E236"/>
      <c r="F236"/>
    </row>
    <row r="237" spans="4:6" ht="15.75" thickBot="1" x14ac:dyDescent="0.3">
      <c r="D237"/>
      <c r="E237"/>
      <c r="F237"/>
    </row>
    <row r="238" spans="4:6" ht="15.75" thickBot="1" x14ac:dyDescent="0.3">
      <c r="D238"/>
      <c r="E238"/>
      <c r="F238"/>
    </row>
    <row r="239" spans="4:6" ht="15.75" thickBot="1" x14ac:dyDescent="0.3">
      <c r="D239"/>
      <c r="E239"/>
      <c r="F239"/>
    </row>
    <row r="240" spans="4:6" ht="15.75" thickBot="1" x14ac:dyDescent="0.3">
      <c r="D240"/>
      <c r="E240"/>
      <c r="F240"/>
    </row>
    <row r="241" spans="4:6" ht="15.75" thickBot="1" x14ac:dyDescent="0.3">
      <c r="D241"/>
      <c r="E241"/>
      <c r="F241"/>
    </row>
    <row r="242" spans="4:6" ht="15.75" thickBot="1" x14ac:dyDescent="0.3">
      <c r="D242"/>
      <c r="E242"/>
      <c r="F242"/>
    </row>
    <row r="243" spans="4:6" ht="15.75" thickBot="1" x14ac:dyDescent="0.3">
      <c r="D243"/>
      <c r="E243"/>
      <c r="F243"/>
    </row>
    <row r="244" spans="4:6" ht="15.75" thickBot="1" x14ac:dyDescent="0.3">
      <c r="D244"/>
      <c r="E244"/>
      <c r="F244"/>
    </row>
    <row r="245" spans="4:6" ht="15.75" thickBot="1" x14ac:dyDescent="0.3">
      <c r="D245"/>
      <c r="E245"/>
      <c r="F245"/>
    </row>
    <row r="246" spans="4:6" ht="15.75" thickBot="1" x14ac:dyDescent="0.3">
      <c r="D246"/>
      <c r="E246"/>
      <c r="F246"/>
    </row>
    <row r="247" spans="4:6" ht="15.75" thickBot="1" x14ac:dyDescent="0.3">
      <c r="D247"/>
      <c r="E247"/>
      <c r="F247"/>
    </row>
    <row r="248" spans="4:6" ht="15.75" thickBot="1" x14ac:dyDescent="0.3">
      <c r="D248"/>
      <c r="E248"/>
      <c r="F248"/>
    </row>
    <row r="249" spans="4:6" ht="15.75" thickBot="1" x14ac:dyDescent="0.3">
      <c r="D249"/>
      <c r="E249"/>
      <c r="F249"/>
    </row>
    <row r="250" spans="4:6" ht="15.75" thickBot="1" x14ac:dyDescent="0.3">
      <c r="D250"/>
      <c r="E250"/>
      <c r="F250"/>
    </row>
    <row r="251" spans="4:6" ht="15.75" thickBot="1" x14ac:dyDescent="0.3">
      <c r="D251"/>
      <c r="E251"/>
      <c r="F251"/>
    </row>
    <row r="252" spans="4:6" ht="15.75" thickBot="1" x14ac:dyDescent="0.3">
      <c r="D252"/>
      <c r="E252"/>
      <c r="F252"/>
    </row>
    <row r="253" spans="4:6" ht="15.75" thickBot="1" x14ac:dyDescent="0.3">
      <c r="D253"/>
      <c r="E253"/>
      <c r="F253"/>
    </row>
    <row r="254" spans="4:6" ht="15.75" thickBot="1" x14ac:dyDescent="0.3">
      <c r="D254"/>
      <c r="E254"/>
      <c r="F254"/>
    </row>
    <row r="255" spans="4:6" ht="15.75" thickBot="1" x14ac:dyDescent="0.3">
      <c r="D255"/>
      <c r="E255"/>
      <c r="F255"/>
    </row>
    <row r="256" spans="4:6" ht="15.75" thickBot="1" x14ac:dyDescent="0.3">
      <c r="D256"/>
      <c r="E256"/>
      <c r="F256"/>
    </row>
    <row r="257" spans="4:6" ht="15.75" thickBot="1" x14ac:dyDescent="0.3">
      <c r="D257"/>
      <c r="E257"/>
      <c r="F257"/>
    </row>
    <row r="258" spans="4:6" ht="15.75" thickBot="1" x14ac:dyDescent="0.3">
      <c r="D258"/>
      <c r="E258"/>
      <c r="F258"/>
    </row>
    <row r="259" spans="4:6" ht="15.75" thickBot="1" x14ac:dyDescent="0.3">
      <c r="D259"/>
      <c r="E259"/>
      <c r="F259"/>
    </row>
    <row r="260" spans="4:6" ht="15.75" thickBot="1" x14ac:dyDescent="0.3">
      <c r="D260"/>
      <c r="E260"/>
      <c r="F260"/>
    </row>
    <row r="261" spans="4:6" ht="15.75" thickBot="1" x14ac:dyDescent="0.3">
      <c r="D261"/>
      <c r="E261"/>
      <c r="F261"/>
    </row>
    <row r="262" spans="4:6" ht="15.75" thickBot="1" x14ac:dyDescent="0.3">
      <c r="D262"/>
      <c r="E262"/>
      <c r="F262"/>
    </row>
    <row r="263" spans="4:6" ht="15.75" thickBot="1" x14ac:dyDescent="0.3">
      <c r="D263"/>
      <c r="E263"/>
      <c r="F263"/>
    </row>
    <row r="264" spans="4:6" ht="15.75" thickBot="1" x14ac:dyDescent="0.3">
      <c r="D264"/>
      <c r="E264"/>
      <c r="F264"/>
    </row>
    <row r="265" spans="4:6" ht="15.75" thickBot="1" x14ac:dyDescent="0.3">
      <c r="D265"/>
      <c r="E265"/>
      <c r="F265"/>
    </row>
    <row r="266" spans="4:6" ht="15.75" thickBot="1" x14ac:dyDescent="0.3">
      <c r="D266"/>
      <c r="E266"/>
      <c r="F266"/>
    </row>
    <row r="267" spans="4:6" ht="15.75" thickBot="1" x14ac:dyDescent="0.3">
      <c r="D267"/>
      <c r="E267"/>
      <c r="F267"/>
    </row>
    <row r="268" spans="4:6" ht="15.75" thickBot="1" x14ac:dyDescent="0.3">
      <c r="D268"/>
      <c r="E268"/>
      <c r="F268"/>
    </row>
    <row r="269" spans="4:6" ht="15.75" thickBot="1" x14ac:dyDescent="0.3">
      <c r="D269"/>
      <c r="E269"/>
      <c r="F269"/>
    </row>
    <row r="270" spans="4:6" ht="15.75" thickBot="1" x14ac:dyDescent="0.3">
      <c r="D270"/>
      <c r="E270"/>
      <c r="F270"/>
    </row>
    <row r="271" spans="4:6" ht="15.75" thickBot="1" x14ac:dyDescent="0.3">
      <c r="D271"/>
      <c r="E271"/>
      <c r="F271"/>
    </row>
    <row r="272" spans="4:6" ht="15.75" thickBot="1" x14ac:dyDescent="0.3">
      <c r="D272"/>
      <c r="E272"/>
      <c r="F272"/>
    </row>
    <row r="273" spans="4:6" ht="15.75" thickBot="1" x14ac:dyDescent="0.3">
      <c r="D273"/>
      <c r="E273"/>
      <c r="F273"/>
    </row>
    <row r="274" spans="4:6" ht="15.75" thickBot="1" x14ac:dyDescent="0.3">
      <c r="D274"/>
      <c r="E274"/>
      <c r="F274"/>
    </row>
    <row r="275" spans="4:6" ht="15.75" thickBot="1" x14ac:dyDescent="0.3">
      <c r="D275"/>
      <c r="E275"/>
      <c r="F275"/>
    </row>
    <row r="276" spans="4:6" ht="15.75" thickBot="1" x14ac:dyDescent="0.3">
      <c r="D276"/>
      <c r="E276"/>
      <c r="F276"/>
    </row>
    <row r="277" spans="4:6" ht="15.75" thickBot="1" x14ac:dyDescent="0.3">
      <c r="D277"/>
      <c r="E277"/>
      <c r="F277"/>
    </row>
    <row r="278" spans="4:6" ht="15.75" thickBot="1" x14ac:dyDescent="0.3">
      <c r="D278"/>
      <c r="E278"/>
      <c r="F278"/>
    </row>
    <row r="279" spans="4:6" ht="15.75" thickBot="1" x14ac:dyDescent="0.3">
      <c r="D279"/>
      <c r="E279"/>
      <c r="F279"/>
    </row>
    <row r="280" spans="4:6" ht="15.75" thickBot="1" x14ac:dyDescent="0.3">
      <c r="D280"/>
      <c r="E280"/>
      <c r="F280"/>
    </row>
    <row r="281" spans="4:6" ht="15.75" thickBot="1" x14ac:dyDescent="0.3">
      <c r="D281"/>
      <c r="E281"/>
      <c r="F281"/>
    </row>
    <row r="282" spans="4:6" ht="15.75" thickBot="1" x14ac:dyDescent="0.3">
      <c r="D282"/>
      <c r="E282"/>
      <c r="F282"/>
    </row>
    <row r="283" spans="4:6" ht="15.75" thickBot="1" x14ac:dyDescent="0.3">
      <c r="D283"/>
      <c r="E283"/>
      <c r="F283"/>
    </row>
    <row r="284" spans="4:6" ht="15.75" thickBot="1" x14ac:dyDescent="0.3">
      <c r="D284"/>
      <c r="E284"/>
      <c r="F284"/>
    </row>
    <row r="285" spans="4:6" ht="15.75" thickBot="1" x14ac:dyDescent="0.3">
      <c r="D285"/>
      <c r="E285"/>
      <c r="F285"/>
    </row>
    <row r="286" spans="4:6" ht="15.75" thickBot="1" x14ac:dyDescent="0.3">
      <c r="D286"/>
      <c r="E286"/>
      <c r="F286"/>
    </row>
    <row r="287" spans="4:6" ht="15.75" thickBot="1" x14ac:dyDescent="0.3">
      <c r="D287"/>
      <c r="E287"/>
      <c r="F287"/>
    </row>
    <row r="288" spans="4:6" ht="15.75" thickBot="1" x14ac:dyDescent="0.3">
      <c r="D288"/>
      <c r="E288"/>
      <c r="F288"/>
    </row>
    <row r="289" spans="4:6" ht="15.75" thickBot="1" x14ac:dyDescent="0.3">
      <c r="D289"/>
      <c r="E289"/>
      <c r="F289"/>
    </row>
    <row r="290" spans="4:6" ht="15.75" thickBot="1" x14ac:dyDescent="0.3">
      <c r="D290"/>
      <c r="E290"/>
      <c r="F290"/>
    </row>
    <row r="291" spans="4:6" ht="15.75" thickBot="1" x14ac:dyDescent="0.3">
      <c r="D291"/>
      <c r="E291"/>
      <c r="F291"/>
    </row>
    <row r="292" spans="4:6" ht="15.75" thickBot="1" x14ac:dyDescent="0.3">
      <c r="D292"/>
      <c r="E292"/>
      <c r="F292"/>
    </row>
    <row r="293" spans="4:6" ht="15.75" thickBot="1" x14ac:dyDescent="0.3">
      <c r="D293"/>
      <c r="E293"/>
      <c r="F293"/>
    </row>
    <row r="294" spans="4:6" ht="15.75" thickBot="1" x14ac:dyDescent="0.3">
      <c r="D294"/>
      <c r="E294"/>
      <c r="F294"/>
    </row>
    <row r="295" spans="4:6" ht="15.75" thickBot="1" x14ac:dyDescent="0.3">
      <c r="D295"/>
      <c r="E295"/>
      <c r="F295"/>
    </row>
    <row r="296" spans="4:6" ht="15.75" thickBot="1" x14ac:dyDescent="0.3">
      <c r="D296"/>
      <c r="E296"/>
      <c r="F296"/>
    </row>
    <row r="297" spans="4:6" ht="15.75" thickBot="1" x14ac:dyDescent="0.3">
      <c r="D297"/>
      <c r="E297"/>
      <c r="F297"/>
    </row>
    <row r="298" spans="4:6" ht="15.75" thickBot="1" x14ac:dyDescent="0.3">
      <c r="D298"/>
      <c r="E298"/>
      <c r="F298"/>
    </row>
    <row r="299" spans="4:6" ht="15.75" thickBot="1" x14ac:dyDescent="0.3">
      <c r="D299"/>
      <c r="E299"/>
      <c r="F299"/>
    </row>
    <row r="300" spans="4:6" ht="15.75" thickBot="1" x14ac:dyDescent="0.3">
      <c r="D300"/>
      <c r="E300"/>
      <c r="F300"/>
    </row>
    <row r="301" spans="4:6" ht="15.75" thickBot="1" x14ac:dyDescent="0.3">
      <c r="D301"/>
      <c r="E301"/>
      <c r="F301"/>
    </row>
    <row r="302" spans="4:6" ht="15.75" thickBot="1" x14ac:dyDescent="0.3">
      <c r="D302"/>
      <c r="E302"/>
      <c r="F302"/>
    </row>
    <row r="303" spans="4:6" ht="15.75" thickBot="1" x14ac:dyDescent="0.3">
      <c r="D303"/>
      <c r="E303"/>
      <c r="F303"/>
    </row>
    <row r="304" spans="4:6" ht="15.75" thickBot="1" x14ac:dyDescent="0.3">
      <c r="D304"/>
      <c r="E304"/>
      <c r="F304"/>
    </row>
    <row r="305" spans="4:6" ht="15.75" thickBot="1" x14ac:dyDescent="0.3">
      <c r="D305"/>
      <c r="E305"/>
      <c r="F305"/>
    </row>
    <row r="306" spans="4:6" ht="15.75" thickBot="1" x14ac:dyDescent="0.3">
      <c r="D306"/>
      <c r="E306"/>
      <c r="F306"/>
    </row>
    <row r="307" spans="4:6" ht="15.75" thickBot="1" x14ac:dyDescent="0.3">
      <c r="D307"/>
      <c r="E307"/>
      <c r="F307"/>
    </row>
    <row r="308" spans="4:6" ht="15.75" thickBot="1" x14ac:dyDescent="0.3">
      <c r="D308"/>
      <c r="E308"/>
      <c r="F308"/>
    </row>
    <row r="309" spans="4:6" ht="15.75" thickBot="1" x14ac:dyDescent="0.3">
      <c r="D309"/>
      <c r="E309"/>
      <c r="F309"/>
    </row>
    <row r="310" spans="4:6" ht="15.75" thickBot="1" x14ac:dyDescent="0.3">
      <c r="D310"/>
      <c r="E310"/>
      <c r="F310"/>
    </row>
    <row r="311" spans="4:6" ht="15.75" thickBot="1" x14ac:dyDescent="0.3">
      <c r="D311"/>
      <c r="E311"/>
      <c r="F311"/>
    </row>
    <row r="312" spans="4:6" ht="15.75" thickBot="1" x14ac:dyDescent="0.3">
      <c r="D312"/>
      <c r="E312"/>
      <c r="F312"/>
    </row>
    <row r="313" spans="4:6" ht="15.75" thickBot="1" x14ac:dyDescent="0.3">
      <c r="D313"/>
      <c r="E313"/>
      <c r="F313"/>
    </row>
    <row r="314" spans="4:6" ht="15.75" thickBot="1" x14ac:dyDescent="0.3">
      <c r="D314"/>
      <c r="E314"/>
      <c r="F314"/>
    </row>
    <row r="315" spans="4:6" ht="15.75" thickBot="1" x14ac:dyDescent="0.3">
      <c r="D315"/>
      <c r="E315"/>
      <c r="F315"/>
    </row>
    <row r="316" spans="4:6" ht="15.75" thickBot="1" x14ac:dyDescent="0.3">
      <c r="D316"/>
      <c r="E316"/>
      <c r="F316"/>
    </row>
    <row r="317" spans="4:6" ht="15.75" thickBot="1" x14ac:dyDescent="0.3">
      <c r="D317"/>
      <c r="E317"/>
      <c r="F317"/>
    </row>
    <row r="318" spans="4:6" ht="15.75" thickBot="1" x14ac:dyDescent="0.3">
      <c r="D318"/>
      <c r="E318"/>
      <c r="F318"/>
    </row>
    <row r="319" spans="4:6" ht="15.75" thickBot="1" x14ac:dyDescent="0.3">
      <c r="D319"/>
      <c r="E319"/>
      <c r="F319"/>
    </row>
    <row r="320" spans="4:6" ht="15.75" thickBot="1" x14ac:dyDescent="0.3">
      <c r="D320"/>
      <c r="E320"/>
      <c r="F320"/>
    </row>
    <row r="321" spans="4:6" ht="15.75" thickBot="1" x14ac:dyDescent="0.3">
      <c r="D321"/>
      <c r="E321"/>
      <c r="F321"/>
    </row>
    <row r="322" spans="4:6" ht="15.75" thickBot="1" x14ac:dyDescent="0.3">
      <c r="D322"/>
      <c r="E322"/>
      <c r="F322"/>
    </row>
    <row r="323" spans="4:6" ht="15.75" thickBot="1" x14ac:dyDescent="0.3">
      <c r="D323"/>
      <c r="E323"/>
      <c r="F323"/>
    </row>
    <row r="324" spans="4:6" ht="15.75" thickBot="1" x14ac:dyDescent="0.3">
      <c r="D324"/>
      <c r="E324"/>
      <c r="F324"/>
    </row>
    <row r="325" spans="4:6" ht="15.75" thickBot="1" x14ac:dyDescent="0.3">
      <c r="D325"/>
      <c r="E325"/>
      <c r="F325"/>
    </row>
    <row r="326" spans="4:6" ht="15.75" thickBot="1" x14ac:dyDescent="0.3">
      <c r="D326"/>
      <c r="E326"/>
      <c r="F326"/>
    </row>
    <row r="327" spans="4:6" ht="15.75" thickBot="1" x14ac:dyDescent="0.3">
      <c r="D327"/>
      <c r="E327"/>
      <c r="F327"/>
    </row>
    <row r="328" spans="4:6" ht="15.75" thickBot="1" x14ac:dyDescent="0.3">
      <c r="D328"/>
      <c r="E328"/>
      <c r="F328"/>
    </row>
    <row r="329" spans="4:6" ht="15.75" thickBot="1" x14ac:dyDescent="0.3">
      <c r="D329"/>
      <c r="E329"/>
      <c r="F329"/>
    </row>
    <row r="330" spans="4:6" ht="15.75" thickBot="1" x14ac:dyDescent="0.3">
      <c r="D330"/>
      <c r="E330"/>
      <c r="F330"/>
    </row>
    <row r="331" spans="4:6" ht="15.75" thickBot="1" x14ac:dyDescent="0.3">
      <c r="D331"/>
      <c r="E331"/>
      <c r="F331"/>
    </row>
    <row r="332" spans="4:6" ht="15.75" thickBot="1" x14ac:dyDescent="0.3">
      <c r="D332"/>
      <c r="E332"/>
      <c r="F332"/>
    </row>
    <row r="333" spans="4:6" ht="15.75" thickBot="1" x14ac:dyDescent="0.3">
      <c r="D333"/>
      <c r="E333"/>
      <c r="F333"/>
    </row>
    <row r="334" spans="4:6" ht="15.75" thickBot="1" x14ac:dyDescent="0.3">
      <c r="D334"/>
      <c r="E334"/>
      <c r="F334"/>
    </row>
    <row r="335" spans="4:6" ht="15.75" thickBot="1" x14ac:dyDescent="0.3">
      <c r="D335"/>
      <c r="E335"/>
      <c r="F335"/>
    </row>
    <row r="336" spans="4:6" ht="15.75" thickBot="1" x14ac:dyDescent="0.3">
      <c r="D336"/>
      <c r="E336"/>
      <c r="F336"/>
    </row>
    <row r="337" spans="4:6" ht="15.75" thickBot="1" x14ac:dyDescent="0.3">
      <c r="D337"/>
      <c r="E337"/>
      <c r="F337"/>
    </row>
    <row r="338" spans="4:6" ht="15.75" thickBot="1" x14ac:dyDescent="0.3">
      <c r="D338"/>
      <c r="E338"/>
      <c r="F338"/>
    </row>
    <row r="339" spans="4:6" ht="15.75" thickBot="1" x14ac:dyDescent="0.3">
      <c r="D339"/>
      <c r="E339"/>
      <c r="F339"/>
    </row>
    <row r="340" spans="4:6" ht="15.75" thickBot="1" x14ac:dyDescent="0.3">
      <c r="D340"/>
      <c r="E340"/>
      <c r="F340"/>
    </row>
    <row r="341" spans="4:6" ht="15.75" thickBot="1" x14ac:dyDescent="0.3">
      <c r="D341"/>
      <c r="E341"/>
      <c r="F341"/>
    </row>
    <row r="342" spans="4:6" ht="15.75" thickBot="1" x14ac:dyDescent="0.3">
      <c r="D342"/>
      <c r="E342"/>
      <c r="F342"/>
    </row>
    <row r="343" spans="4:6" ht="15.75" thickBot="1" x14ac:dyDescent="0.3">
      <c r="D343"/>
      <c r="E343"/>
      <c r="F343"/>
    </row>
    <row r="344" spans="4:6" ht="15.75" thickBot="1" x14ac:dyDescent="0.3">
      <c r="D344"/>
      <c r="E344"/>
      <c r="F344"/>
    </row>
    <row r="345" spans="4:6" ht="15.75" thickBot="1" x14ac:dyDescent="0.3">
      <c r="D345"/>
      <c r="E345"/>
      <c r="F345"/>
    </row>
    <row r="346" spans="4:6" ht="15.75" thickBot="1" x14ac:dyDescent="0.3">
      <c r="D346"/>
      <c r="E346"/>
      <c r="F346"/>
    </row>
    <row r="347" spans="4:6" ht="15.75" thickBot="1" x14ac:dyDescent="0.3">
      <c r="D347"/>
      <c r="E347"/>
      <c r="F347"/>
    </row>
    <row r="348" spans="4:6" ht="15.75" thickBot="1" x14ac:dyDescent="0.3">
      <c r="D348"/>
      <c r="E348"/>
      <c r="F348"/>
    </row>
    <row r="349" spans="4:6" ht="15.75" thickBot="1" x14ac:dyDescent="0.3">
      <c r="D349"/>
      <c r="E349"/>
      <c r="F349"/>
    </row>
    <row r="350" spans="4:6" ht="15.75" thickBot="1" x14ac:dyDescent="0.3">
      <c r="D350"/>
      <c r="E350"/>
      <c r="F350"/>
    </row>
    <row r="351" spans="4:6" ht="15.75" thickBot="1" x14ac:dyDescent="0.3">
      <c r="D351"/>
      <c r="E351"/>
      <c r="F351"/>
    </row>
    <row r="352" spans="4:6" ht="15.75" thickBot="1" x14ac:dyDescent="0.3">
      <c r="D352"/>
      <c r="E352"/>
      <c r="F352"/>
    </row>
    <row r="353" spans="4:6" ht="15.75" thickBot="1" x14ac:dyDescent="0.3">
      <c r="D353"/>
      <c r="E353"/>
      <c r="F353"/>
    </row>
    <row r="354" spans="4:6" ht="15.75" thickBot="1" x14ac:dyDescent="0.3">
      <c r="D354"/>
      <c r="E354"/>
      <c r="F354"/>
    </row>
    <row r="355" spans="4:6" ht="15.75" thickBot="1" x14ac:dyDescent="0.3">
      <c r="D355"/>
      <c r="E355"/>
      <c r="F355"/>
    </row>
    <row r="356" spans="4:6" ht="15.75" thickBot="1" x14ac:dyDescent="0.3">
      <c r="D356"/>
      <c r="E356"/>
      <c r="F356"/>
    </row>
    <row r="357" spans="4:6" ht="15.75" thickBot="1" x14ac:dyDescent="0.3">
      <c r="D357"/>
      <c r="E357"/>
      <c r="F357"/>
    </row>
    <row r="358" spans="4:6" ht="15.75" thickBot="1" x14ac:dyDescent="0.3">
      <c r="D358"/>
      <c r="E358"/>
      <c r="F358"/>
    </row>
    <row r="359" spans="4:6" ht="15.75" thickBot="1" x14ac:dyDescent="0.3">
      <c r="D359"/>
      <c r="E359"/>
      <c r="F359"/>
    </row>
    <row r="360" spans="4:6" ht="15.75" thickBot="1" x14ac:dyDescent="0.3">
      <c r="D360"/>
      <c r="E360"/>
      <c r="F360"/>
    </row>
    <row r="361" spans="4:6" ht="15.75" thickBot="1" x14ac:dyDescent="0.3">
      <c r="D361"/>
      <c r="E361"/>
      <c r="F361"/>
    </row>
    <row r="362" spans="4:6" ht="15.75" thickBot="1" x14ac:dyDescent="0.3">
      <c r="D362"/>
      <c r="E362"/>
      <c r="F362"/>
    </row>
    <row r="363" spans="4:6" ht="15.75" thickBot="1" x14ac:dyDescent="0.3">
      <c r="D363"/>
      <c r="E363"/>
      <c r="F363"/>
    </row>
    <row r="364" spans="4:6" ht="15.75" thickBot="1" x14ac:dyDescent="0.3">
      <c r="D364"/>
      <c r="E364"/>
      <c r="F364"/>
    </row>
    <row r="365" spans="4:6" ht="15.75" thickBot="1" x14ac:dyDescent="0.3">
      <c r="D365"/>
      <c r="E365"/>
      <c r="F365"/>
    </row>
    <row r="366" spans="4:6" ht="15.75" thickBot="1" x14ac:dyDescent="0.3">
      <c r="D366"/>
      <c r="E366"/>
      <c r="F366"/>
    </row>
    <row r="367" spans="4:6" ht="15.75" thickBot="1" x14ac:dyDescent="0.3">
      <c r="D367"/>
      <c r="E367"/>
      <c r="F367"/>
    </row>
    <row r="368" spans="4:6" ht="15.75" thickBot="1" x14ac:dyDescent="0.3">
      <c r="D368"/>
      <c r="E368"/>
      <c r="F368"/>
    </row>
    <row r="369" spans="4:6" ht="15.75" thickBot="1" x14ac:dyDescent="0.3">
      <c r="D369"/>
      <c r="E369"/>
      <c r="F369"/>
    </row>
    <row r="370" spans="4:6" ht="15.75" thickBot="1" x14ac:dyDescent="0.3">
      <c r="D370"/>
      <c r="E370"/>
      <c r="F370"/>
    </row>
    <row r="371" spans="4:6" ht="15.75" thickBot="1" x14ac:dyDescent="0.3">
      <c r="D371"/>
      <c r="E371"/>
      <c r="F371"/>
    </row>
    <row r="372" spans="4:6" ht="15.75" thickBot="1" x14ac:dyDescent="0.3">
      <c r="D372"/>
      <c r="E372"/>
      <c r="F372"/>
    </row>
    <row r="373" spans="4:6" ht="15.75" thickBot="1" x14ac:dyDescent="0.3">
      <c r="D373"/>
      <c r="E373"/>
      <c r="F373"/>
    </row>
    <row r="374" spans="4:6" ht="15.75" thickBot="1" x14ac:dyDescent="0.3">
      <c r="D374"/>
      <c r="E374"/>
      <c r="F374"/>
    </row>
    <row r="375" spans="4:6" ht="15.75" thickBot="1" x14ac:dyDescent="0.3">
      <c r="D375"/>
      <c r="E375"/>
      <c r="F375"/>
    </row>
    <row r="376" spans="4:6" ht="15.75" thickBot="1" x14ac:dyDescent="0.3">
      <c r="D376"/>
      <c r="E376"/>
      <c r="F376"/>
    </row>
    <row r="377" spans="4:6" ht="15.75" thickBot="1" x14ac:dyDescent="0.3">
      <c r="D377"/>
      <c r="E377"/>
      <c r="F377"/>
    </row>
    <row r="378" spans="4:6" ht="15.75" thickBot="1" x14ac:dyDescent="0.3">
      <c r="D378"/>
      <c r="E378"/>
      <c r="F378"/>
    </row>
    <row r="379" spans="4:6" ht="15.75" thickBot="1" x14ac:dyDescent="0.3">
      <c r="D379"/>
      <c r="E379"/>
      <c r="F379"/>
    </row>
    <row r="380" spans="4:6" ht="15.75" thickBot="1" x14ac:dyDescent="0.3">
      <c r="D380"/>
      <c r="E380"/>
      <c r="F380"/>
    </row>
    <row r="381" spans="4:6" ht="15.75" thickBot="1" x14ac:dyDescent="0.3">
      <c r="D381"/>
      <c r="E381"/>
      <c r="F381"/>
    </row>
    <row r="382" spans="4:6" ht="15.75" thickBot="1" x14ac:dyDescent="0.3">
      <c r="D382"/>
      <c r="E382"/>
      <c r="F382"/>
    </row>
    <row r="383" spans="4:6" ht="15.75" thickBot="1" x14ac:dyDescent="0.3">
      <c r="D383"/>
      <c r="E383"/>
      <c r="F383"/>
    </row>
    <row r="384" spans="4:6" ht="15.75" thickBot="1" x14ac:dyDescent="0.3">
      <c r="D384"/>
      <c r="E384"/>
      <c r="F384"/>
    </row>
    <row r="385" spans="4:6" ht="15.75" thickBot="1" x14ac:dyDescent="0.3">
      <c r="D385"/>
      <c r="E385"/>
      <c r="F385"/>
    </row>
    <row r="386" spans="4:6" ht="15.75" thickBot="1" x14ac:dyDescent="0.3">
      <c r="D386"/>
      <c r="E386"/>
      <c r="F386"/>
    </row>
    <row r="387" spans="4:6" ht="15.75" thickBot="1" x14ac:dyDescent="0.3">
      <c r="D387"/>
      <c r="E387"/>
      <c r="F387"/>
    </row>
    <row r="388" spans="4:6" ht="15.75" thickBot="1" x14ac:dyDescent="0.3">
      <c r="D388"/>
      <c r="E388"/>
      <c r="F388"/>
    </row>
    <row r="389" spans="4:6" ht="15.75" thickBot="1" x14ac:dyDescent="0.3">
      <c r="D389"/>
      <c r="E389"/>
      <c r="F389"/>
    </row>
    <row r="390" spans="4:6" ht="15.75" thickBot="1" x14ac:dyDescent="0.3">
      <c r="D390"/>
      <c r="E390"/>
      <c r="F390"/>
    </row>
    <row r="391" spans="4:6" ht="15.75" thickBot="1" x14ac:dyDescent="0.3">
      <c r="D391"/>
      <c r="E391"/>
      <c r="F391"/>
    </row>
    <row r="392" spans="4:6" ht="15.75" thickBot="1" x14ac:dyDescent="0.3">
      <c r="D392"/>
      <c r="E392"/>
      <c r="F392"/>
    </row>
    <row r="393" spans="4:6" ht="15.75" thickBot="1" x14ac:dyDescent="0.3">
      <c r="D393"/>
      <c r="E393"/>
      <c r="F393"/>
    </row>
    <row r="394" spans="4:6" ht="15.75" thickBot="1" x14ac:dyDescent="0.3">
      <c r="D394"/>
      <c r="E394"/>
      <c r="F394"/>
    </row>
    <row r="395" spans="4:6" ht="15.75" thickBot="1" x14ac:dyDescent="0.3">
      <c r="D395"/>
      <c r="E395"/>
      <c r="F395"/>
    </row>
    <row r="396" spans="4:6" ht="15.75" thickBot="1" x14ac:dyDescent="0.3">
      <c r="D396"/>
      <c r="E396"/>
      <c r="F396"/>
    </row>
    <row r="397" spans="4:6" ht="15.75" thickBot="1" x14ac:dyDescent="0.3">
      <c r="D397"/>
      <c r="E397"/>
      <c r="F397"/>
    </row>
    <row r="398" spans="4:6" ht="15.75" thickBot="1" x14ac:dyDescent="0.3">
      <c r="D398"/>
      <c r="E398"/>
      <c r="F398"/>
    </row>
    <row r="399" spans="4:6" ht="15.75" thickBot="1" x14ac:dyDescent="0.3">
      <c r="D399"/>
      <c r="E399"/>
      <c r="F399"/>
    </row>
    <row r="400" spans="4:6" ht="15.75" thickBot="1" x14ac:dyDescent="0.3">
      <c r="D400"/>
      <c r="E400"/>
      <c r="F400"/>
    </row>
    <row r="401" spans="4:6" ht="15.75" thickBot="1" x14ac:dyDescent="0.3">
      <c r="D401"/>
      <c r="E401"/>
      <c r="F401"/>
    </row>
    <row r="402" spans="4:6" ht="15.75" thickBot="1" x14ac:dyDescent="0.3">
      <c r="D402"/>
      <c r="E402"/>
      <c r="F402"/>
    </row>
    <row r="403" spans="4:6" ht="15.75" thickBot="1" x14ac:dyDescent="0.3">
      <c r="D403"/>
      <c r="E403"/>
      <c r="F403"/>
    </row>
    <row r="404" spans="4:6" ht="15.75" thickBot="1" x14ac:dyDescent="0.3">
      <c r="D404"/>
      <c r="E404"/>
      <c r="F404"/>
    </row>
  </sheetData>
  <mergeCells count="3">
    <mergeCell ref="C11:F11"/>
    <mergeCell ref="C5:K5"/>
    <mergeCell ref="C6:F6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278"/>
  <sheetViews>
    <sheetView showGridLines="0" workbookViewId="0">
      <selection activeCell="D16" sqref="D16"/>
    </sheetView>
  </sheetViews>
  <sheetFormatPr defaultColWidth="15.85546875" defaultRowHeight="15" x14ac:dyDescent="0.25"/>
  <cols>
    <col min="2" max="2" width="18.42578125" style="2" customWidth="1"/>
    <col min="3" max="3" width="9.42578125" style="3" customWidth="1"/>
    <col min="4" max="4" width="12.140625" style="4" customWidth="1"/>
    <col min="5" max="5" width="9.140625" customWidth="1"/>
  </cols>
  <sheetData>
    <row r="1" spans="1:5" x14ac:dyDescent="0.25">
      <c r="A1" s="5" t="s">
        <v>32</v>
      </c>
    </row>
    <row r="3" spans="1:5" x14ac:dyDescent="0.25">
      <c r="A3" s="10" t="s">
        <v>31</v>
      </c>
      <c r="B3" s="10" t="s">
        <v>9</v>
      </c>
      <c r="C3" s="10" t="s">
        <v>10</v>
      </c>
      <c r="D3" s="11" t="s">
        <v>8</v>
      </c>
      <c r="E3" s="11" t="s">
        <v>7</v>
      </c>
    </row>
    <row r="4" spans="1:5" x14ac:dyDescent="0.25">
      <c r="A4" t="s">
        <v>27</v>
      </c>
      <c r="B4" t="s">
        <v>24</v>
      </c>
      <c r="C4" t="s">
        <v>27</v>
      </c>
      <c r="D4" s="3">
        <v>0</v>
      </c>
      <c r="E4" s="3">
        <v>0</v>
      </c>
    </row>
    <row r="5" spans="1:5" x14ac:dyDescent="0.25">
      <c r="A5" t="s">
        <v>25</v>
      </c>
      <c r="B5" t="s">
        <v>24</v>
      </c>
      <c r="C5" t="s">
        <v>25</v>
      </c>
      <c r="D5" s="3">
        <v>0</v>
      </c>
      <c r="E5" s="3">
        <v>24.200000000000003</v>
      </c>
    </row>
    <row r="6" spans="1:5" x14ac:dyDescent="0.25">
      <c r="A6" t="s">
        <v>26</v>
      </c>
      <c r="B6" t="s">
        <v>22</v>
      </c>
      <c r="C6" t="s">
        <v>26</v>
      </c>
      <c r="D6" s="3">
        <v>0</v>
      </c>
      <c r="E6" s="3">
        <v>10.171527777777778</v>
      </c>
    </row>
    <row r="7" spans="1:5" x14ac:dyDescent="0.25">
      <c r="A7" t="s">
        <v>23</v>
      </c>
      <c r="B7" t="s">
        <v>22</v>
      </c>
      <c r="C7" t="s">
        <v>23</v>
      </c>
      <c r="D7" s="3">
        <v>0</v>
      </c>
      <c r="E7" s="3">
        <v>5.6534722222222218</v>
      </c>
    </row>
    <row r="8" spans="1:5" x14ac:dyDescent="0.25">
      <c r="A8" t="s">
        <v>28</v>
      </c>
      <c r="B8" t="s">
        <v>24</v>
      </c>
      <c r="C8" t="s">
        <v>29</v>
      </c>
      <c r="D8" s="3">
        <v>0</v>
      </c>
      <c r="E8" s="3">
        <v>0</v>
      </c>
    </row>
    <row r="9" spans="1:5" x14ac:dyDescent="0.25">
      <c r="A9" t="s">
        <v>30</v>
      </c>
      <c r="B9"/>
      <c r="C9"/>
      <c r="D9" s="3">
        <v>0</v>
      </c>
      <c r="E9" s="3">
        <v>40.024999999999999</v>
      </c>
    </row>
    <row r="10" spans="1:5" x14ac:dyDescent="0.25">
      <c r="B10"/>
      <c r="C10"/>
      <c r="D10"/>
    </row>
    <row r="11" spans="1:5" x14ac:dyDescent="0.25">
      <c r="B11"/>
      <c r="C11"/>
      <c r="D11"/>
    </row>
    <row r="12" spans="1:5" x14ac:dyDescent="0.25">
      <c r="B12"/>
      <c r="C12"/>
      <c r="D12"/>
    </row>
    <row r="13" spans="1:5" x14ac:dyDescent="0.25">
      <c r="B13"/>
      <c r="C13"/>
      <c r="D13"/>
    </row>
    <row r="14" spans="1:5" x14ac:dyDescent="0.25">
      <c r="B14"/>
      <c r="C14"/>
      <c r="D14"/>
    </row>
    <row r="15" spans="1:5" x14ac:dyDescent="0.25">
      <c r="B15"/>
      <c r="C15"/>
      <c r="D15"/>
    </row>
    <row r="16" spans="1:5" x14ac:dyDescent="0.25">
      <c r="B16"/>
      <c r="C16"/>
      <c r="D16"/>
    </row>
    <row r="17" spans="2:4" x14ac:dyDescent="0.25">
      <c r="B17"/>
      <c r="C17"/>
      <c r="D17"/>
    </row>
    <row r="18" spans="2:4" x14ac:dyDescent="0.25">
      <c r="B18"/>
      <c r="C18"/>
      <c r="D18"/>
    </row>
    <row r="19" spans="2:4" x14ac:dyDescent="0.25">
      <c r="B19"/>
      <c r="C19"/>
      <c r="D19"/>
    </row>
    <row r="20" spans="2:4" x14ac:dyDescent="0.25">
      <c r="B20"/>
      <c r="C20"/>
      <c r="D20"/>
    </row>
    <row r="21" spans="2:4" x14ac:dyDescent="0.25">
      <c r="B21"/>
      <c r="C21"/>
      <c r="D21"/>
    </row>
    <row r="22" spans="2:4" x14ac:dyDescent="0.25">
      <c r="B22"/>
      <c r="C22"/>
      <c r="D22"/>
    </row>
    <row r="23" spans="2:4" x14ac:dyDescent="0.25">
      <c r="B23"/>
      <c r="C23"/>
      <c r="D23"/>
    </row>
    <row r="24" spans="2:4" x14ac:dyDescent="0.25">
      <c r="B24"/>
      <c r="C24"/>
      <c r="D24"/>
    </row>
    <row r="25" spans="2:4" x14ac:dyDescent="0.25">
      <c r="B25"/>
      <c r="C25"/>
      <c r="D25"/>
    </row>
    <row r="26" spans="2:4" x14ac:dyDescent="0.25">
      <c r="B26"/>
      <c r="C26"/>
      <c r="D26"/>
    </row>
    <row r="27" spans="2:4" x14ac:dyDescent="0.25">
      <c r="B27"/>
      <c r="C27"/>
      <c r="D27"/>
    </row>
    <row r="28" spans="2:4" x14ac:dyDescent="0.25">
      <c r="B28"/>
      <c r="C28"/>
      <c r="D28"/>
    </row>
    <row r="29" spans="2:4" x14ac:dyDescent="0.25">
      <c r="B29"/>
      <c r="C29"/>
      <c r="D29"/>
    </row>
    <row r="30" spans="2:4" x14ac:dyDescent="0.25">
      <c r="B30"/>
      <c r="C30"/>
      <c r="D30"/>
    </row>
    <row r="31" spans="2:4" x14ac:dyDescent="0.25">
      <c r="B31"/>
      <c r="C31"/>
      <c r="D31"/>
    </row>
    <row r="32" spans="2:4" x14ac:dyDescent="0.25">
      <c r="B32"/>
      <c r="C32"/>
      <c r="D32"/>
    </row>
    <row r="33" spans="2:4" x14ac:dyDescent="0.25">
      <c r="B33"/>
      <c r="C33"/>
      <c r="D33"/>
    </row>
    <row r="34" spans="2:4" x14ac:dyDescent="0.25">
      <c r="B34"/>
      <c r="C34"/>
      <c r="D34"/>
    </row>
    <row r="35" spans="2:4" x14ac:dyDescent="0.25">
      <c r="B35"/>
      <c r="C35"/>
      <c r="D35"/>
    </row>
    <row r="36" spans="2:4" x14ac:dyDescent="0.25">
      <c r="B36"/>
      <c r="C36"/>
      <c r="D36"/>
    </row>
    <row r="37" spans="2:4" x14ac:dyDescent="0.25">
      <c r="B37"/>
      <c r="C37"/>
      <c r="D37"/>
    </row>
    <row r="38" spans="2:4" x14ac:dyDescent="0.25">
      <c r="B38"/>
      <c r="C38"/>
      <c r="D38"/>
    </row>
    <row r="39" spans="2:4" x14ac:dyDescent="0.25">
      <c r="B39"/>
      <c r="C39"/>
      <c r="D39"/>
    </row>
    <row r="40" spans="2:4" x14ac:dyDescent="0.25">
      <c r="B40"/>
      <c r="C40"/>
      <c r="D40"/>
    </row>
    <row r="41" spans="2:4" x14ac:dyDescent="0.25">
      <c r="B41"/>
      <c r="C41"/>
      <c r="D41"/>
    </row>
    <row r="42" spans="2:4" x14ac:dyDescent="0.25">
      <c r="B42"/>
      <c r="C42"/>
      <c r="D42"/>
    </row>
    <row r="43" spans="2:4" x14ac:dyDescent="0.25">
      <c r="B43"/>
      <c r="C43"/>
      <c r="D43"/>
    </row>
    <row r="44" spans="2:4" x14ac:dyDescent="0.25">
      <c r="B44"/>
      <c r="C44"/>
      <c r="D44"/>
    </row>
    <row r="45" spans="2:4" x14ac:dyDescent="0.25">
      <c r="B45"/>
      <c r="C45"/>
      <c r="D45"/>
    </row>
    <row r="46" spans="2:4" x14ac:dyDescent="0.25">
      <c r="B46"/>
      <c r="C46"/>
      <c r="D46"/>
    </row>
    <row r="47" spans="2:4" x14ac:dyDescent="0.25">
      <c r="B47"/>
      <c r="C47"/>
      <c r="D47"/>
    </row>
    <row r="48" spans="2:4" x14ac:dyDescent="0.25">
      <c r="B48"/>
      <c r="C48"/>
      <c r="D48"/>
    </row>
    <row r="49" spans="2:4" x14ac:dyDescent="0.25">
      <c r="B49"/>
      <c r="C49"/>
      <c r="D49"/>
    </row>
    <row r="50" spans="2:4" x14ac:dyDescent="0.25">
      <c r="B50"/>
      <c r="C50"/>
      <c r="D50"/>
    </row>
    <row r="51" spans="2:4" x14ac:dyDescent="0.25">
      <c r="B51"/>
      <c r="C51"/>
      <c r="D51"/>
    </row>
    <row r="52" spans="2:4" x14ac:dyDescent="0.25">
      <c r="B52"/>
      <c r="C52"/>
      <c r="D52"/>
    </row>
    <row r="53" spans="2:4" x14ac:dyDescent="0.25">
      <c r="B53"/>
      <c r="C53"/>
      <c r="D53"/>
    </row>
    <row r="54" spans="2:4" x14ac:dyDescent="0.25">
      <c r="B54"/>
      <c r="C54"/>
      <c r="D54"/>
    </row>
    <row r="55" spans="2:4" x14ac:dyDescent="0.25">
      <c r="B55"/>
      <c r="C55"/>
      <c r="D55"/>
    </row>
    <row r="56" spans="2:4" x14ac:dyDescent="0.25">
      <c r="B56"/>
      <c r="C56"/>
      <c r="D56"/>
    </row>
    <row r="57" spans="2:4" x14ac:dyDescent="0.25">
      <c r="B57"/>
      <c r="C57"/>
      <c r="D57"/>
    </row>
    <row r="58" spans="2:4" x14ac:dyDescent="0.25">
      <c r="B58"/>
      <c r="C58"/>
      <c r="D58"/>
    </row>
    <row r="59" spans="2:4" x14ac:dyDescent="0.25">
      <c r="B59"/>
      <c r="C59"/>
      <c r="D59"/>
    </row>
    <row r="60" spans="2:4" x14ac:dyDescent="0.25">
      <c r="B60"/>
      <c r="C60"/>
      <c r="D60"/>
    </row>
    <row r="61" spans="2:4" x14ac:dyDescent="0.25">
      <c r="B61"/>
      <c r="C61"/>
      <c r="D61"/>
    </row>
    <row r="62" spans="2:4" x14ac:dyDescent="0.25">
      <c r="B62"/>
      <c r="C62"/>
      <c r="D62"/>
    </row>
    <row r="63" spans="2:4" x14ac:dyDescent="0.25">
      <c r="B63"/>
      <c r="C63"/>
      <c r="D63"/>
    </row>
    <row r="64" spans="2:4" x14ac:dyDescent="0.25">
      <c r="B64"/>
      <c r="C64"/>
      <c r="D64"/>
    </row>
    <row r="65" spans="2:4" x14ac:dyDescent="0.25">
      <c r="B65"/>
      <c r="C65"/>
      <c r="D65"/>
    </row>
    <row r="66" spans="2:4" x14ac:dyDescent="0.25">
      <c r="B66"/>
      <c r="C66"/>
      <c r="D66"/>
    </row>
    <row r="67" spans="2:4" x14ac:dyDescent="0.25">
      <c r="B67"/>
      <c r="C67"/>
      <c r="D67"/>
    </row>
    <row r="68" spans="2:4" x14ac:dyDescent="0.25">
      <c r="B68"/>
      <c r="C68"/>
      <c r="D68"/>
    </row>
    <row r="69" spans="2:4" x14ac:dyDescent="0.25">
      <c r="B69"/>
      <c r="C69"/>
      <c r="D69"/>
    </row>
    <row r="70" spans="2:4" x14ac:dyDescent="0.25">
      <c r="B70"/>
      <c r="C70"/>
      <c r="D70"/>
    </row>
    <row r="71" spans="2:4" x14ac:dyDescent="0.25">
      <c r="B71"/>
      <c r="C71"/>
      <c r="D71"/>
    </row>
    <row r="72" spans="2:4" x14ac:dyDescent="0.25">
      <c r="B72"/>
      <c r="C72"/>
      <c r="D72"/>
    </row>
    <row r="73" spans="2:4" x14ac:dyDescent="0.25">
      <c r="B73"/>
      <c r="C73"/>
      <c r="D73"/>
    </row>
    <row r="74" spans="2:4" x14ac:dyDescent="0.25">
      <c r="B74"/>
      <c r="C74"/>
      <c r="D74"/>
    </row>
    <row r="75" spans="2:4" x14ac:dyDescent="0.25">
      <c r="B75"/>
      <c r="C75"/>
      <c r="D75"/>
    </row>
    <row r="76" spans="2:4" x14ac:dyDescent="0.25">
      <c r="B76"/>
      <c r="C76"/>
      <c r="D76"/>
    </row>
    <row r="77" spans="2:4" x14ac:dyDescent="0.25">
      <c r="B77"/>
      <c r="C77"/>
      <c r="D77"/>
    </row>
    <row r="78" spans="2:4" x14ac:dyDescent="0.25">
      <c r="B78"/>
      <c r="C78"/>
      <c r="D78"/>
    </row>
    <row r="79" spans="2:4" x14ac:dyDescent="0.25">
      <c r="B79"/>
      <c r="C79"/>
      <c r="D79"/>
    </row>
    <row r="80" spans="2:4" x14ac:dyDescent="0.25">
      <c r="B80"/>
      <c r="C80"/>
      <c r="D80"/>
    </row>
    <row r="81" spans="2:4" x14ac:dyDescent="0.25">
      <c r="B81"/>
      <c r="C81"/>
      <c r="D81"/>
    </row>
    <row r="82" spans="2:4" x14ac:dyDescent="0.25">
      <c r="B82"/>
      <c r="C82"/>
      <c r="D82"/>
    </row>
    <row r="83" spans="2:4" x14ac:dyDescent="0.25">
      <c r="B83"/>
      <c r="C83"/>
      <c r="D83"/>
    </row>
    <row r="84" spans="2:4" x14ac:dyDescent="0.25">
      <c r="B84"/>
      <c r="C84"/>
      <c r="D84"/>
    </row>
    <row r="85" spans="2:4" x14ac:dyDescent="0.25">
      <c r="B85"/>
      <c r="C85"/>
      <c r="D85"/>
    </row>
    <row r="86" spans="2:4" x14ac:dyDescent="0.25">
      <c r="B86"/>
      <c r="C86"/>
      <c r="D86"/>
    </row>
    <row r="87" spans="2:4" x14ac:dyDescent="0.25">
      <c r="B87"/>
      <c r="C87"/>
      <c r="D87"/>
    </row>
    <row r="88" spans="2:4" x14ac:dyDescent="0.25">
      <c r="B88"/>
      <c r="C88"/>
      <c r="D88"/>
    </row>
    <row r="89" spans="2:4" x14ac:dyDescent="0.25">
      <c r="B89"/>
      <c r="C89"/>
      <c r="D89"/>
    </row>
    <row r="90" spans="2:4" x14ac:dyDescent="0.25">
      <c r="B90"/>
      <c r="C90"/>
      <c r="D90"/>
    </row>
    <row r="91" spans="2:4" x14ac:dyDescent="0.25">
      <c r="B91"/>
      <c r="C91"/>
      <c r="D91"/>
    </row>
    <row r="92" spans="2:4" x14ac:dyDescent="0.25">
      <c r="B92"/>
      <c r="C92"/>
      <c r="D92"/>
    </row>
    <row r="93" spans="2:4" x14ac:dyDescent="0.25">
      <c r="B93"/>
      <c r="C93"/>
      <c r="D93"/>
    </row>
    <row r="94" spans="2:4" x14ac:dyDescent="0.25">
      <c r="B94"/>
      <c r="C94"/>
      <c r="D94"/>
    </row>
    <row r="95" spans="2:4" x14ac:dyDescent="0.25">
      <c r="B95"/>
      <c r="C95"/>
      <c r="D95"/>
    </row>
    <row r="96" spans="2:4" x14ac:dyDescent="0.25">
      <c r="B96"/>
      <c r="C96"/>
      <c r="D96"/>
    </row>
    <row r="97" spans="2:4" x14ac:dyDescent="0.25">
      <c r="B97"/>
      <c r="C97"/>
      <c r="D97"/>
    </row>
    <row r="98" spans="2:4" x14ac:dyDescent="0.25">
      <c r="B98"/>
      <c r="C98"/>
      <c r="D98"/>
    </row>
    <row r="99" spans="2:4" x14ac:dyDescent="0.25">
      <c r="B99"/>
      <c r="C99"/>
      <c r="D99"/>
    </row>
    <row r="100" spans="2:4" x14ac:dyDescent="0.25">
      <c r="B100"/>
      <c r="C100"/>
      <c r="D100"/>
    </row>
    <row r="101" spans="2:4" x14ac:dyDescent="0.25">
      <c r="B101"/>
      <c r="C101"/>
      <c r="D101"/>
    </row>
    <row r="102" spans="2:4" x14ac:dyDescent="0.25">
      <c r="B102"/>
      <c r="C102"/>
      <c r="D102"/>
    </row>
    <row r="103" spans="2:4" x14ac:dyDescent="0.25">
      <c r="B103"/>
      <c r="C103"/>
      <c r="D103"/>
    </row>
    <row r="104" spans="2:4" x14ac:dyDescent="0.25">
      <c r="B104"/>
      <c r="C104"/>
      <c r="D104"/>
    </row>
    <row r="105" spans="2:4" x14ac:dyDescent="0.25">
      <c r="B105"/>
      <c r="C105"/>
      <c r="D105"/>
    </row>
    <row r="106" spans="2:4" x14ac:dyDescent="0.25">
      <c r="B106"/>
      <c r="C106"/>
      <c r="D106"/>
    </row>
    <row r="107" spans="2:4" x14ac:dyDescent="0.25">
      <c r="B107"/>
      <c r="C107"/>
      <c r="D107"/>
    </row>
    <row r="108" spans="2:4" x14ac:dyDescent="0.25">
      <c r="B108"/>
      <c r="C108"/>
      <c r="D108"/>
    </row>
    <row r="109" spans="2:4" x14ac:dyDescent="0.25">
      <c r="B109"/>
      <c r="C109"/>
      <c r="D109"/>
    </row>
    <row r="110" spans="2:4" x14ac:dyDescent="0.25">
      <c r="B110"/>
      <c r="C110"/>
      <c r="D110"/>
    </row>
    <row r="111" spans="2:4" x14ac:dyDescent="0.25">
      <c r="B111"/>
      <c r="C111"/>
      <c r="D111"/>
    </row>
    <row r="112" spans="2:4" x14ac:dyDescent="0.25">
      <c r="B112"/>
      <c r="C112"/>
      <c r="D112"/>
    </row>
    <row r="113" spans="2:4" x14ac:dyDescent="0.25">
      <c r="B113"/>
      <c r="C113"/>
      <c r="D113"/>
    </row>
    <row r="114" spans="2:4" x14ac:dyDescent="0.25">
      <c r="B114"/>
      <c r="C114"/>
      <c r="D114"/>
    </row>
    <row r="115" spans="2:4" x14ac:dyDescent="0.25">
      <c r="B115"/>
      <c r="C115"/>
      <c r="D115"/>
    </row>
    <row r="116" spans="2:4" x14ac:dyDescent="0.25">
      <c r="B116"/>
      <c r="C116"/>
      <c r="D116"/>
    </row>
    <row r="117" spans="2:4" x14ac:dyDescent="0.25">
      <c r="B117"/>
      <c r="C117"/>
      <c r="D117"/>
    </row>
    <row r="118" spans="2:4" x14ac:dyDescent="0.25">
      <c r="B118"/>
      <c r="C118"/>
      <c r="D118"/>
    </row>
    <row r="119" spans="2:4" x14ac:dyDescent="0.25">
      <c r="B119"/>
      <c r="C119"/>
      <c r="D119"/>
    </row>
    <row r="120" spans="2:4" x14ac:dyDescent="0.25">
      <c r="B120"/>
      <c r="C120"/>
      <c r="D120"/>
    </row>
    <row r="121" spans="2:4" x14ac:dyDescent="0.25">
      <c r="B121"/>
      <c r="C121"/>
      <c r="D121"/>
    </row>
    <row r="122" spans="2:4" x14ac:dyDescent="0.25">
      <c r="B122"/>
      <c r="C122"/>
      <c r="D122"/>
    </row>
    <row r="123" spans="2:4" x14ac:dyDescent="0.25">
      <c r="B123"/>
      <c r="C123"/>
      <c r="D123"/>
    </row>
    <row r="124" spans="2:4" x14ac:dyDescent="0.25">
      <c r="B124"/>
      <c r="C124"/>
      <c r="D124"/>
    </row>
    <row r="125" spans="2:4" x14ac:dyDescent="0.25">
      <c r="B125"/>
      <c r="C125"/>
      <c r="D125"/>
    </row>
    <row r="126" spans="2:4" x14ac:dyDescent="0.25">
      <c r="B126"/>
      <c r="C126"/>
      <c r="D126"/>
    </row>
    <row r="127" spans="2:4" x14ac:dyDescent="0.25">
      <c r="B127"/>
      <c r="C127"/>
      <c r="D127"/>
    </row>
    <row r="128" spans="2:4" x14ac:dyDescent="0.25">
      <c r="B128"/>
      <c r="C128"/>
      <c r="D128"/>
    </row>
    <row r="129" spans="2:4" x14ac:dyDescent="0.25">
      <c r="B129"/>
      <c r="C129"/>
      <c r="D129"/>
    </row>
    <row r="130" spans="2:4" x14ac:dyDescent="0.25">
      <c r="B130"/>
      <c r="C130"/>
      <c r="D130"/>
    </row>
    <row r="131" spans="2:4" x14ac:dyDescent="0.25">
      <c r="B131"/>
      <c r="C131"/>
      <c r="D131"/>
    </row>
    <row r="132" spans="2:4" x14ac:dyDescent="0.25">
      <c r="B132"/>
      <c r="C132"/>
      <c r="D132"/>
    </row>
    <row r="133" spans="2:4" x14ac:dyDescent="0.25">
      <c r="B133"/>
      <c r="C133"/>
      <c r="D133"/>
    </row>
    <row r="134" spans="2:4" x14ac:dyDescent="0.25">
      <c r="B134"/>
      <c r="C134"/>
      <c r="D134"/>
    </row>
    <row r="135" spans="2:4" x14ac:dyDescent="0.25">
      <c r="B135"/>
      <c r="C135"/>
      <c r="D135"/>
    </row>
    <row r="136" spans="2:4" x14ac:dyDescent="0.25">
      <c r="B136"/>
      <c r="C136"/>
      <c r="D136"/>
    </row>
    <row r="137" spans="2:4" x14ac:dyDescent="0.25">
      <c r="B137"/>
      <c r="C137"/>
      <c r="D137"/>
    </row>
    <row r="138" spans="2:4" x14ac:dyDescent="0.25">
      <c r="B138"/>
      <c r="C138"/>
      <c r="D138"/>
    </row>
    <row r="139" spans="2:4" x14ac:dyDescent="0.25">
      <c r="B139"/>
      <c r="C139"/>
      <c r="D139"/>
    </row>
    <row r="140" spans="2:4" x14ac:dyDescent="0.25">
      <c r="B140"/>
      <c r="C140"/>
      <c r="D140"/>
    </row>
    <row r="141" spans="2:4" x14ac:dyDescent="0.25">
      <c r="B141"/>
      <c r="C141"/>
      <c r="D141"/>
    </row>
    <row r="142" spans="2:4" x14ac:dyDescent="0.25">
      <c r="B142"/>
      <c r="C142"/>
      <c r="D142"/>
    </row>
    <row r="143" spans="2:4" x14ac:dyDescent="0.25">
      <c r="B143"/>
      <c r="C143"/>
      <c r="D143"/>
    </row>
    <row r="144" spans="2:4" x14ac:dyDescent="0.25">
      <c r="B144"/>
      <c r="C144"/>
      <c r="D144"/>
    </row>
    <row r="145" spans="2:4" x14ac:dyDescent="0.25">
      <c r="B145"/>
      <c r="C145"/>
      <c r="D145"/>
    </row>
    <row r="146" spans="2:4" x14ac:dyDescent="0.25">
      <c r="B146"/>
      <c r="C146"/>
      <c r="D146"/>
    </row>
    <row r="147" spans="2:4" x14ac:dyDescent="0.25">
      <c r="B147"/>
      <c r="C147"/>
      <c r="D147"/>
    </row>
    <row r="148" spans="2:4" x14ac:dyDescent="0.25">
      <c r="B148"/>
      <c r="C148"/>
      <c r="D148"/>
    </row>
    <row r="149" spans="2:4" x14ac:dyDescent="0.25">
      <c r="B149"/>
      <c r="C149"/>
      <c r="D149"/>
    </row>
    <row r="150" spans="2:4" x14ac:dyDescent="0.25">
      <c r="B150"/>
      <c r="C150"/>
      <c r="D150"/>
    </row>
    <row r="151" spans="2:4" x14ac:dyDescent="0.25">
      <c r="B151"/>
      <c r="C151"/>
      <c r="D151"/>
    </row>
    <row r="152" spans="2:4" x14ac:dyDescent="0.25">
      <c r="B152"/>
      <c r="C152"/>
      <c r="D152"/>
    </row>
    <row r="153" spans="2:4" x14ac:dyDescent="0.25">
      <c r="B153"/>
      <c r="C153"/>
      <c r="D153"/>
    </row>
    <row r="154" spans="2:4" x14ac:dyDescent="0.25">
      <c r="B154"/>
      <c r="C154"/>
      <c r="D154"/>
    </row>
    <row r="155" spans="2:4" x14ac:dyDescent="0.25">
      <c r="B155"/>
      <c r="C155"/>
      <c r="D155"/>
    </row>
    <row r="156" spans="2:4" x14ac:dyDescent="0.25">
      <c r="B156"/>
      <c r="C156"/>
      <c r="D156"/>
    </row>
    <row r="157" spans="2:4" x14ac:dyDescent="0.25">
      <c r="B157"/>
      <c r="C157"/>
      <c r="D157"/>
    </row>
    <row r="158" spans="2:4" x14ac:dyDescent="0.25">
      <c r="B158"/>
      <c r="C158" s="4"/>
    </row>
    <row r="159" spans="2:4" x14ac:dyDescent="0.25">
      <c r="B159"/>
      <c r="C159" s="4"/>
    </row>
    <row r="160" spans="2:4" x14ac:dyDescent="0.25">
      <c r="B160"/>
      <c r="C160" s="4"/>
    </row>
    <row r="161" spans="2:3" x14ac:dyDescent="0.25">
      <c r="B161"/>
      <c r="C161" s="4"/>
    </row>
    <row r="162" spans="2:3" x14ac:dyDescent="0.25">
      <c r="B162"/>
      <c r="C162" s="4"/>
    </row>
    <row r="163" spans="2:3" x14ac:dyDescent="0.25">
      <c r="B163"/>
      <c r="C163" s="4"/>
    </row>
    <row r="164" spans="2:3" x14ac:dyDescent="0.25">
      <c r="B164"/>
      <c r="C164" s="4"/>
    </row>
    <row r="165" spans="2:3" x14ac:dyDescent="0.25">
      <c r="B165"/>
      <c r="C165" s="4"/>
    </row>
    <row r="166" spans="2:3" x14ac:dyDescent="0.25">
      <c r="B166"/>
      <c r="C166" s="4"/>
    </row>
    <row r="167" spans="2:3" x14ac:dyDescent="0.25">
      <c r="B167"/>
      <c r="C167" s="4"/>
    </row>
    <row r="168" spans="2:3" x14ac:dyDescent="0.25">
      <c r="B168"/>
      <c r="C168" s="4"/>
    </row>
    <row r="169" spans="2:3" x14ac:dyDescent="0.25">
      <c r="B169"/>
      <c r="C169" s="4"/>
    </row>
    <row r="170" spans="2:3" x14ac:dyDescent="0.25">
      <c r="B170"/>
      <c r="C170" s="4"/>
    </row>
    <row r="171" spans="2:3" x14ac:dyDescent="0.25">
      <c r="B171"/>
      <c r="C171" s="4"/>
    </row>
    <row r="172" spans="2:3" x14ac:dyDescent="0.25">
      <c r="B172"/>
      <c r="C172" s="4"/>
    </row>
    <row r="173" spans="2:3" x14ac:dyDescent="0.25">
      <c r="B173"/>
      <c r="C173" s="4"/>
    </row>
    <row r="174" spans="2:3" x14ac:dyDescent="0.25">
      <c r="B174"/>
      <c r="C174" s="4"/>
    </row>
    <row r="175" spans="2:3" x14ac:dyDescent="0.25">
      <c r="B175"/>
      <c r="C175" s="4"/>
    </row>
    <row r="176" spans="2:3" x14ac:dyDescent="0.25">
      <c r="B176"/>
      <c r="C176" s="4"/>
    </row>
    <row r="177" spans="2:3" x14ac:dyDescent="0.25">
      <c r="B177"/>
      <c r="C177" s="4"/>
    </row>
    <row r="178" spans="2:3" x14ac:dyDescent="0.25">
      <c r="B178"/>
      <c r="C178" s="4"/>
    </row>
    <row r="179" spans="2:3" x14ac:dyDescent="0.25">
      <c r="B179"/>
      <c r="C179" s="4"/>
    </row>
    <row r="180" spans="2:3" x14ac:dyDescent="0.25">
      <c r="B180"/>
      <c r="C180" s="4"/>
    </row>
    <row r="181" spans="2:3" x14ac:dyDescent="0.25">
      <c r="B181"/>
      <c r="C181" s="4"/>
    </row>
    <row r="182" spans="2:3" x14ac:dyDescent="0.25">
      <c r="B182"/>
      <c r="C182" s="4"/>
    </row>
    <row r="183" spans="2:3" x14ac:dyDescent="0.25">
      <c r="B183"/>
      <c r="C183" s="4"/>
    </row>
    <row r="184" spans="2:3" x14ac:dyDescent="0.25">
      <c r="B184"/>
      <c r="C184" s="4"/>
    </row>
    <row r="185" spans="2:3" x14ac:dyDescent="0.25">
      <c r="B185"/>
      <c r="C185" s="4"/>
    </row>
    <row r="186" spans="2:3" x14ac:dyDescent="0.25">
      <c r="B186"/>
      <c r="C186" s="4"/>
    </row>
    <row r="187" spans="2:3" x14ac:dyDescent="0.25">
      <c r="B187"/>
      <c r="C187" s="4"/>
    </row>
    <row r="188" spans="2:3" x14ac:dyDescent="0.25">
      <c r="B188"/>
      <c r="C188" s="4"/>
    </row>
    <row r="189" spans="2:3" x14ac:dyDescent="0.25">
      <c r="B189"/>
      <c r="C189" s="4"/>
    </row>
    <row r="190" spans="2:3" x14ac:dyDescent="0.25">
      <c r="B190"/>
      <c r="C190" s="4"/>
    </row>
    <row r="191" spans="2:3" x14ac:dyDescent="0.25">
      <c r="B191"/>
      <c r="C191" s="4"/>
    </row>
    <row r="192" spans="2:3" x14ac:dyDescent="0.25">
      <c r="B192"/>
      <c r="C192" s="4"/>
    </row>
    <row r="193" spans="2:3" x14ac:dyDescent="0.25">
      <c r="B193"/>
      <c r="C193" s="4"/>
    </row>
    <row r="194" spans="2:3" x14ac:dyDescent="0.25">
      <c r="B194"/>
      <c r="C194" s="4"/>
    </row>
    <row r="195" spans="2:3" x14ac:dyDescent="0.25">
      <c r="B195"/>
      <c r="C195" s="4"/>
    </row>
    <row r="196" spans="2:3" x14ac:dyDescent="0.25">
      <c r="B196"/>
      <c r="C196" s="4"/>
    </row>
    <row r="197" spans="2:3" x14ac:dyDescent="0.25">
      <c r="B197"/>
      <c r="C197" s="4"/>
    </row>
    <row r="198" spans="2:3" x14ac:dyDescent="0.25">
      <c r="B198"/>
      <c r="C198" s="4"/>
    </row>
    <row r="199" spans="2:3" x14ac:dyDescent="0.25">
      <c r="B199"/>
      <c r="C199" s="4"/>
    </row>
    <row r="200" spans="2:3" x14ac:dyDescent="0.25">
      <c r="B200"/>
      <c r="C200" s="4"/>
    </row>
    <row r="201" spans="2:3" x14ac:dyDescent="0.25">
      <c r="B201"/>
      <c r="C201" s="4"/>
    </row>
    <row r="202" spans="2:3" x14ac:dyDescent="0.25">
      <c r="B202"/>
      <c r="C202" s="4"/>
    </row>
    <row r="203" spans="2:3" x14ac:dyDescent="0.25">
      <c r="B203"/>
      <c r="C203" s="4"/>
    </row>
    <row r="204" spans="2:3" x14ac:dyDescent="0.25">
      <c r="B204"/>
      <c r="C204" s="4"/>
    </row>
    <row r="205" spans="2:3" x14ac:dyDescent="0.25">
      <c r="B205"/>
      <c r="C205" s="4"/>
    </row>
    <row r="206" spans="2:3" x14ac:dyDescent="0.25">
      <c r="B206"/>
      <c r="C206" s="4"/>
    </row>
    <row r="207" spans="2:3" x14ac:dyDescent="0.25">
      <c r="B207"/>
      <c r="C207" s="4"/>
    </row>
    <row r="208" spans="2:3" x14ac:dyDescent="0.25">
      <c r="B208"/>
      <c r="C208" s="4"/>
    </row>
    <row r="209" spans="2:3" x14ac:dyDescent="0.25">
      <c r="B209"/>
      <c r="C209" s="4"/>
    </row>
    <row r="210" spans="2:3" x14ac:dyDescent="0.25">
      <c r="B210"/>
      <c r="C210" s="4"/>
    </row>
    <row r="211" spans="2:3" x14ac:dyDescent="0.25">
      <c r="B211"/>
      <c r="C211" s="4"/>
    </row>
    <row r="212" spans="2:3" x14ac:dyDescent="0.25">
      <c r="B212"/>
      <c r="C212" s="4"/>
    </row>
    <row r="213" spans="2:3" x14ac:dyDescent="0.25">
      <c r="B213"/>
      <c r="C213" s="4"/>
    </row>
    <row r="214" spans="2:3" x14ac:dyDescent="0.25">
      <c r="B214"/>
      <c r="C214" s="4"/>
    </row>
    <row r="215" spans="2:3" x14ac:dyDescent="0.25">
      <c r="B215"/>
      <c r="C215" s="4"/>
    </row>
    <row r="216" spans="2:3" x14ac:dyDescent="0.25">
      <c r="B216"/>
      <c r="C216" s="4"/>
    </row>
    <row r="217" spans="2:3" x14ac:dyDescent="0.25">
      <c r="B217"/>
      <c r="C217" s="4"/>
    </row>
    <row r="218" spans="2:3" x14ac:dyDescent="0.25">
      <c r="B218"/>
      <c r="C218" s="4"/>
    </row>
    <row r="219" spans="2:3" x14ac:dyDescent="0.25">
      <c r="B219"/>
      <c r="C219" s="4"/>
    </row>
    <row r="220" spans="2:3" x14ac:dyDescent="0.25">
      <c r="B220"/>
      <c r="C220" s="4"/>
    </row>
    <row r="221" spans="2:3" x14ac:dyDescent="0.25">
      <c r="B221"/>
      <c r="C221" s="4"/>
    </row>
    <row r="222" spans="2:3" x14ac:dyDescent="0.25">
      <c r="B222"/>
      <c r="C222" s="4"/>
    </row>
    <row r="223" spans="2:3" x14ac:dyDescent="0.25">
      <c r="B223"/>
      <c r="C223" s="4"/>
    </row>
    <row r="224" spans="2:3" x14ac:dyDescent="0.25">
      <c r="B224"/>
      <c r="C224" s="4"/>
    </row>
    <row r="225" spans="2:3" x14ac:dyDescent="0.25">
      <c r="B225"/>
      <c r="C225" s="4"/>
    </row>
    <row r="226" spans="2:3" x14ac:dyDescent="0.25">
      <c r="B226"/>
      <c r="C226" s="4"/>
    </row>
    <row r="227" spans="2:3" x14ac:dyDescent="0.25">
      <c r="B227"/>
      <c r="C227" s="4"/>
    </row>
    <row r="228" spans="2:3" x14ac:dyDescent="0.25">
      <c r="B228"/>
      <c r="C228" s="4"/>
    </row>
    <row r="229" spans="2:3" x14ac:dyDescent="0.25">
      <c r="B229"/>
      <c r="C229" s="4"/>
    </row>
    <row r="230" spans="2:3" x14ac:dyDescent="0.25">
      <c r="B230"/>
      <c r="C230" s="4"/>
    </row>
    <row r="231" spans="2:3" x14ac:dyDescent="0.25">
      <c r="B231"/>
      <c r="C231" s="4"/>
    </row>
    <row r="232" spans="2:3" x14ac:dyDescent="0.25">
      <c r="B232"/>
      <c r="C232" s="4"/>
    </row>
    <row r="233" spans="2:3" x14ac:dyDescent="0.25">
      <c r="B233"/>
      <c r="C233" s="4"/>
    </row>
    <row r="234" spans="2:3" x14ac:dyDescent="0.25">
      <c r="B234"/>
      <c r="C234" s="4"/>
    </row>
    <row r="235" spans="2:3" x14ac:dyDescent="0.25">
      <c r="B235"/>
      <c r="C235" s="4"/>
    </row>
    <row r="236" spans="2:3" x14ac:dyDescent="0.25">
      <c r="B236"/>
      <c r="C236" s="4"/>
    </row>
    <row r="237" spans="2:3" x14ac:dyDescent="0.25">
      <c r="B237"/>
      <c r="C237" s="4"/>
    </row>
    <row r="238" spans="2:3" x14ac:dyDescent="0.25">
      <c r="B238"/>
      <c r="C238" s="4"/>
    </row>
    <row r="239" spans="2:3" x14ac:dyDescent="0.25">
      <c r="B239"/>
      <c r="C239" s="4"/>
    </row>
    <row r="240" spans="2:3" x14ac:dyDescent="0.25">
      <c r="B240"/>
      <c r="C240" s="4"/>
    </row>
    <row r="241" spans="2:3" x14ac:dyDescent="0.25">
      <c r="B241"/>
      <c r="C241" s="4"/>
    </row>
    <row r="242" spans="2:3" x14ac:dyDescent="0.25">
      <c r="B242"/>
      <c r="C242" s="4"/>
    </row>
    <row r="243" spans="2:3" x14ac:dyDescent="0.25">
      <c r="B243"/>
      <c r="C243" s="4"/>
    </row>
    <row r="244" spans="2:3" x14ac:dyDescent="0.25">
      <c r="B244"/>
      <c r="C244" s="4"/>
    </row>
    <row r="245" spans="2:3" x14ac:dyDescent="0.25">
      <c r="B245"/>
      <c r="C245" s="4"/>
    </row>
    <row r="246" spans="2:3" x14ac:dyDescent="0.25">
      <c r="B246"/>
      <c r="C246" s="4"/>
    </row>
    <row r="247" spans="2:3" x14ac:dyDescent="0.25">
      <c r="B247"/>
      <c r="C247" s="4"/>
    </row>
    <row r="248" spans="2:3" x14ac:dyDescent="0.25">
      <c r="B248"/>
      <c r="C248" s="4"/>
    </row>
    <row r="249" spans="2:3" x14ac:dyDescent="0.25">
      <c r="B249"/>
      <c r="C249" s="4"/>
    </row>
    <row r="250" spans="2:3" x14ac:dyDescent="0.25">
      <c r="B250"/>
      <c r="C250" s="4"/>
    </row>
    <row r="251" spans="2:3" x14ac:dyDescent="0.25">
      <c r="B251"/>
      <c r="C251" s="4"/>
    </row>
    <row r="252" spans="2:3" x14ac:dyDescent="0.25">
      <c r="B252"/>
      <c r="C252" s="4"/>
    </row>
    <row r="253" spans="2:3" x14ac:dyDescent="0.25">
      <c r="B253"/>
      <c r="C253" s="4"/>
    </row>
    <row r="254" spans="2:3" x14ac:dyDescent="0.25">
      <c r="B254"/>
      <c r="C254" s="4"/>
    </row>
    <row r="255" spans="2:3" x14ac:dyDescent="0.25">
      <c r="B255"/>
      <c r="C255" s="4"/>
    </row>
    <row r="256" spans="2:3" x14ac:dyDescent="0.25">
      <c r="B256"/>
      <c r="C256" s="4"/>
    </row>
    <row r="257" spans="2:3" x14ac:dyDescent="0.25">
      <c r="B257"/>
      <c r="C257" s="4"/>
    </row>
    <row r="258" spans="2:3" x14ac:dyDescent="0.25">
      <c r="B258"/>
      <c r="C258" s="4"/>
    </row>
    <row r="259" spans="2:3" x14ac:dyDescent="0.25">
      <c r="B259"/>
      <c r="C259" s="4"/>
    </row>
    <row r="260" spans="2:3" x14ac:dyDescent="0.25">
      <c r="B260"/>
      <c r="C260" s="4"/>
    </row>
    <row r="261" spans="2:3" x14ac:dyDescent="0.25">
      <c r="B261"/>
      <c r="C261" s="4"/>
    </row>
    <row r="262" spans="2:3" x14ac:dyDescent="0.25">
      <c r="B262"/>
      <c r="C262" s="4"/>
    </row>
    <row r="263" spans="2:3" x14ac:dyDescent="0.25">
      <c r="B263"/>
      <c r="C263" s="4"/>
    </row>
    <row r="264" spans="2:3" x14ac:dyDescent="0.25">
      <c r="B264"/>
      <c r="C264" s="4"/>
    </row>
    <row r="265" spans="2:3" x14ac:dyDescent="0.25">
      <c r="B265"/>
      <c r="C265" s="4"/>
    </row>
    <row r="266" spans="2:3" x14ac:dyDescent="0.25">
      <c r="B266"/>
      <c r="C266" s="4"/>
    </row>
    <row r="267" spans="2:3" x14ac:dyDescent="0.25">
      <c r="B267"/>
      <c r="C267" s="4"/>
    </row>
    <row r="268" spans="2:3" x14ac:dyDescent="0.25">
      <c r="B268"/>
      <c r="C268" s="4"/>
    </row>
    <row r="269" spans="2:3" x14ac:dyDescent="0.25">
      <c r="B269"/>
      <c r="C269" s="4"/>
    </row>
    <row r="270" spans="2:3" x14ac:dyDescent="0.25">
      <c r="B270"/>
      <c r="C270" s="4"/>
    </row>
    <row r="271" spans="2:3" x14ac:dyDescent="0.25">
      <c r="B271"/>
      <c r="C271" s="4"/>
    </row>
    <row r="272" spans="2:3" x14ac:dyDescent="0.25">
      <c r="B272"/>
      <c r="C272" s="4"/>
    </row>
    <row r="273" spans="2:3" x14ac:dyDescent="0.25">
      <c r="B273"/>
      <c r="C273" s="4"/>
    </row>
    <row r="274" spans="2:3" x14ac:dyDescent="0.25">
      <c r="B274"/>
      <c r="C274" s="4"/>
    </row>
    <row r="275" spans="2:3" x14ac:dyDescent="0.25">
      <c r="B275"/>
      <c r="C275" s="4"/>
    </row>
    <row r="276" spans="2:3" x14ac:dyDescent="0.25">
      <c r="B276"/>
      <c r="C276" s="4"/>
    </row>
    <row r="277" spans="2:3" x14ac:dyDescent="0.25">
      <c r="B277"/>
      <c r="C277" s="4"/>
    </row>
    <row r="278" spans="2:3" x14ac:dyDescent="0.25">
      <c r="B278"/>
      <c r="C278" s="4"/>
    </row>
  </sheetData>
  <autoFilter ref="A3:E9" xr:uid="{00000000-0009-0000-0000-000002000000}"/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4">
    <tabColor rgb="FFFFC000"/>
  </sheetPr>
  <dimension ref="A2:E13"/>
  <sheetViews>
    <sheetView zoomScaleNormal="100" workbookViewId="0"/>
  </sheetViews>
  <sheetFormatPr defaultRowHeight="15" x14ac:dyDescent="0.25"/>
  <cols>
    <col min="2" max="2" width="12.85546875" customWidth="1"/>
    <col min="3" max="3" width="58.42578125" bestFit="1" customWidth="1"/>
    <col min="4" max="4" width="32.7109375" customWidth="1"/>
    <col min="5" max="5" width="60.140625" bestFit="1" customWidth="1"/>
  </cols>
  <sheetData>
    <row r="2" spans="1:5" x14ac:dyDescent="0.25">
      <c r="A2" s="15" t="s">
        <v>33</v>
      </c>
      <c r="B2" s="15" t="s">
        <v>37</v>
      </c>
      <c r="C2" s="15" t="s">
        <v>38</v>
      </c>
      <c r="D2" s="15" t="s">
        <v>39</v>
      </c>
      <c r="E2" s="31" t="s">
        <v>42</v>
      </c>
    </row>
    <row r="3" spans="1:5" x14ac:dyDescent="0.25">
      <c r="A3" t="s">
        <v>1197</v>
      </c>
      <c r="B3" t="str">
        <f>Email_Regional_Tabela!$C$2&amp;" - "&amp;A3</f>
        <v>Acompanhamento Semanal do Banco de Horas - REGION1</v>
      </c>
      <c r="C3" t="s">
        <v>1735</v>
      </c>
      <c r="D3" t="s">
        <v>1736</v>
      </c>
      <c r="E3" t="str">
        <f>"C:\Documentos\Banco de Horas\Email\"&amp;A3&amp;".xlsx"</f>
        <v>C:\Documentos\Banco de Horas\Email\REGION1.xlsx</v>
      </c>
    </row>
    <row r="4" spans="1:5" x14ac:dyDescent="0.25">
      <c r="A4" t="s">
        <v>1198</v>
      </c>
      <c r="B4" t="str">
        <f>Email_Regional_Tabela!$C$2&amp;" - "&amp;A4</f>
        <v>Acompanhamento Semanal do Banco de Horas - REGION2</v>
      </c>
      <c r="C4" t="s">
        <v>1737</v>
      </c>
      <c r="D4" t="s">
        <v>1738</v>
      </c>
      <c r="E4" t="str">
        <f t="shared" ref="E4:E13" si="0">"C:\Documentos\Banco de Horas\Email\"&amp;A4&amp;".xlsx"</f>
        <v>C:\Documentos\Banco de Horas\Email\REGION2.xlsx</v>
      </c>
    </row>
    <row r="5" spans="1:5" x14ac:dyDescent="0.25">
      <c r="A5" t="s">
        <v>1199</v>
      </c>
      <c r="B5" t="str">
        <f>Email_Regional_Tabela!$C$2&amp;" - "&amp;A5</f>
        <v>Acompanhamento Semanal do Banco de Horas - REGION3</v>
      </c>
      <c r="C5" t="s">
        <v>1739</v>
      </c>
      <c r="D5" t="s">
        <v>1740</v>
      </c>
      <c r="E5" t="str">
        <f t="shared" si="0"/>
        <v>C:\Documentos\Banco de Horas\Email\REGION3.xlsx</v>
      </c>
    </row>
    <row r="6" spans="1:5" x14ac:dyDescent="0.25">
      <c r="A6" t="s">
        <v>1200</v>
      </c>
      <c r="B6" t="str">
        <f>Email_Regional_Tabela!$C$2&amp;" - "&amp;A6</f>
        <v>Acompanhamento Semanal do Banco de Horas - REGION4</v>
      </c>
      <c r="C6" t="s">
        <v>1741</v>
      </c>
      <c r="D6" t="s">
        <v>1742</v>
      </c>
      <c r="E6" t="str">
        <f t="shared" si="0"/>
        <v>C:\Documentos\Banco de Horas\Email\REGION4.xlsx</v>
      </c>
    </row>
    <row r="7" spans="1:5" x14ac:dyDescent="0.25">
      <c r="A7" t="s">
        <v>1201</v>
      </c>
      <c r="B7" t="str">
        <f>Email_Regional_Tabela!$C$2&amp;" - "&amp;A7</f>
        <v>Acompanhamento Semanal do Banco de Horas - REGION5</v>
      </c>
      <c r="C7" t="s">
        <v>1743</v>
      </c>
      <c r="D7" t="s">
        <v>1744</v>
      </c>
      <c r="E7" t="str">
        <f t="shared" si="0"/>
        <v>C:\Documentos\Banco de Horas\Email\REGION5.xlsx</v>
      </c>
    </row>
    <row r="8" spans="1:5" x14ac:dyDescent="0.25">
      <c r="A8" t="s">
        <v>1202</v>
      </c>
      <c r="B8" t="str">
        <f>Email_Regional_Tabela!$C$2&amp;" - "&amp;A8</f>
        <v>Acompanhamento Semanal do Banco de Horas - REGION6</v>
      </c>
      <c r="C8" t="s">
        <v>1745</v>
      </c>
      <c r="D8" t="s">
        <v>1746</v>
      </c>
      <c r="E8" t="str">
        <f t="shared" si="0"/>
        <v>C:\Documentos\Banco de Horas\Email\REGION6.xlsx</v>
      </c>
    </row>
    <row r="9" spans="1:5" x14ac:dyDescent="0.25">
      <c r="A9" t="s">
        <v>1203</v>
      </c>
      <c r="B9" t="str">
        <f>Email_Regional_Tabela!$C$2&amp;" - "&amp;A9</f>
        <v>Acompanhamento Semanal do Banco de Horas - REGION7</v>
      </c>
      <c r="C9" t="s">
        <v>1747</v>
      </c>
      <c r="D9" t="s">
        <v>1748</v>
      </c>
      <c r="E9" t="str">
        <f t="shared" si="0"/>
        <v>C:\Documentos\Banco de Horas\Email\REGION7.xlsx</v>
      </c>
    </row>
    <row r="10" spans="1:5" x14ac:dyDescent="0.25">
      <c r="A10" t="s">
        <v>1204</v>
      </c>
      <c r="B10" t="str">
        <f>Email_Regional_Tabela!$C$2&amp;" - "&amp;A10</f>
        <v>Acompanhamento Semanal do Banco de Horas - REGION8</v>
      </c>
      <c r="C10" t="s">
        <v>1749</v>
      </c>
      <c r="D10" t="s">
        <v>1750</v>
      </c>
      <c r="E10" t="str">
        <f t="shared" si="0"/>
        <v>C:\Documentos\Banco de Horas\Email\REGION8.xlsx</v>
      </c>
    </row>
    <row r="11" spans="1:5" x14ac:dyDescent="0.25">
      <c r="A11" t="s">
        <v>1205</v>
      </c>
      <c r="B11" t="str">
        <f>Email_Regional_Tabela!$C$2&amp;" - "&amp;A11</f>
        <v>Acompanhamento Semanal do Banco de Horas - REGION9</v>
      </c>
      <c r="C11" t="s">
        <v>1751</v>
      </c>
      <c r="D11" t="s">
        <v>1752</v>
      </c>
      <c r="E11" t="str">
        <f t="shared" si="0"/>
        <v>C:\Documentos\Banco de Horas\Email\REGION9.xlsx</v>
      </c>
    </row>
    <row r="12" spans="1:5" x14ac:dyDescent="0.25">
      <c r="A12" t="s">
        <v>1733</v>
      </c>
      <c r="B12" t="str">
        <f>Email_Regional_Tabela!$C$2&amp;" - "&amp;A12</f>
        <v>Acompanhamento Semanal do Banco de Horas - REGION10</v>
      </c>
      <c r="C12" t="s">
        <v>1753</v>
      </c>
      <c r="D12" t="s">
        <v>1754</v>
      </c>
      <c r="E12" t="str">
        <f t="shared" si="0"/>
        <v>C:\Documentos\Banco de Horas\Email\REGION10.xlsx</v>
      </c>
    </row>
    <row r="13" spans="1:5" x14ac:dyDescent="0.25">
      <c r="A13" t="s">
        <v>1734</v>
      </c>
      <c r="B13" t="str">
        <f>Email_Regional_Tabela!$C$2&amp;" - "&amp;A13</f>
        <v>Acompanhamento Semanal do Banco de Horas - REGION11</v>
      </c>
      <c r="C13" t="s">
        <v>1755</v>
      </c>
      <c r="D13" t="s">
        <v>1756</v>
      </c>
      <c r="E13" t="str">
        <f t="shared" si="0"/>
        <v>C:\Documentos\Banco de Horas\Email\REGION11.xlsx</v>
      </c>
    </row>
  </sheetData>
  <phoneticPr fontId="16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N1143"/>
  <sheetViews>
    <sheetView zoomScale="90" zoomScaleNormal="90" workbookViewId="0"/>
  </sheetViews>
  <sheetFormatPr defaultColWidth="8.7109375" defaultRowHeight="12" x14ac:dyDescent="0.2"/>
  <cols>
    <col min="1" max="1" width="10.5703125" style="56" customWidth="1"/>
    <col min="2" max="2" width="33.42578125" style="55" bestFit="1" customWidth="1"/>
    <col min="3" max="6" width="12.5703125" style="55" customWidth="1"/>
    <col min="7" max="7" width="8.42578125" style="56" customWidth="1"/>
    <col min="8" max="8" width="10.42578125" style="57" bestFit="1" customWidth="1"/>
    <col min="9" max="9" width="10.85546875" style="57" customWidth="1"/>
    <col min="10" max="10" width="10.28515625" style="57" customWidth="1"/>
    <col min="11" max="11" width="23.85546875" style="56" bestFit="1" customWidth="1"/>
    <col min="12" max="12" width="12.85546875" style="56" bestFit="1" customWidth="1"/>
    <col min="13" max="13" width="9.42578125" style="56" bestFit="1" customWidth="1"/>
    <col min="14" max="14" width="31.140625" style="55" bestFit="1" customWidth="1"/>
    <col min="15" max="16384" width="8.7109375" style="55"/>
  </cols>
  <sheetData>
    <row r="1" spans="1:14" s="59" customFormat="1" ht="26.4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8" t="s">
        <v>6</v>
      </c>
      <c r="H1" s="58" t="s">
        <v>34</v>
      </c>
      <c r="I1" s="9" t="s">
        <v>11</v>
      </c>
      <c r="J1" s="9" t="s">
        <v>12</v>
      </c>
      <c r="K1" s="6" t="s">
        <v>9</v>
      </c>
      <c r="L1" s="6" t="s">
        <v>3</v>
      </c>
      <c r="M1" s="6" t="s">
        <v>10</v>
      </c>
      <c r="N1" s="6" t="s">
        <v>54</v>
      </c>
    </row>
    <row r="2" spans="1:14" ht="12" customHeight="1" x14ac:dyDescent="0.2">
      <c r="A2" s="78">
        <v>236524</v>
      </c>
      <c r="B2" s="67" t="s">
        <v>55</v>
      </c>
      <c r="C2" s="67" t="s">
        <v>1196</v>
      </c>
      <c r="D2" s="67" t="s">
        <v>1197</v>
      </c>
      <c r="E2" s="67" t="s">
        <v>1206</v>
      </c>
      <c r="F2" s="67" t="s">
        <v>1585</v>
      </c>
      <c r="G2" s="67" t="s">
        <v>7</v>
      </c>
      <c r="H2" s="68">
        <v>0.10069444444444443</v>
      </c>
      <c r="I2" s="68">
        <v>0.10069444444444443</v>
      </c>
      <c r="J2" s="68"/>
      <c r="K2" s="67" t="s">
        <v>1718</v>
      </c>
      <c r="L2" s="67" t="s">
        <v>1197</v>
      </c>
      <c r="M2" s="67" t="s">
        <v>1206</v>
      </c>
    </row>
    <row r="3" spans="1:14" ht="12" customHeight="1" x14ac:dyDescent="0.2">
      <c r="A3" s="78">
        <v>236673</v>
      </c>
      <c r="B3" s="67" t="s">
        <v>56</v>
      </c>
      <c r="C3" s="67" t="s">
        <v>1196</v>
      </c>
      <c r="D3" s="67" t="s">
        <v>1197</v>
      </c>
      <c r="E3" s="67" t="s">
        <v>1207</v>
      </c>
      <c r="F3" s="67" t="s">
        <v>1586</v>
      </c>
      <c r="G3" s="67" t="s">
        <v>7</v>
      </c>
      <c r="H3" s="68">
        <v>0.88611111111111107</v>
      </c>
      <c r="I3" s="68">
        <v>0.88611111111111107</v>
      </c>
      <c r="J3" s="68"/>
      <c r="K3" s="67" t="s">
        <v>1719</v>
      </c>
      <c r="L3" s="67" t="s">
        <v>1197</v>
      </c>
      <c r="M3" s="67" t="s">
        <v>1207</v>
      </c>
    </row>
    <row r="4" spans="1:14" ht="12" customHeight="1" x14ac:dyDescent="0.2">
      <c r="A4" s="78">
        <v>238192</v>
      </c>
      <c r="B4" s="67" t="s">
        <v>57</v>
      </c>
      <c r="C4" s="67" t="s">
        <v>1196</v>
      </c>
      <c r="D4" s="67" t="s">
        <v>1197</v>
      </c>
      <c r="E4" s="67" t="s">
        <v>1208</v>
      </c>
      <c r="F4" s="67" t="s">
        <v>1587</v>
      </c>
      <c r="G4" s="67" t="s">
        <v>7</v>
      </c>
      <c r="H4" s="68">
        <v>0.10347222222222223</v>
      </c>
      <c r="I4" s="68">
        <v>0.10347222222222223</v>
      </c>
      <c r="J4" s="68"/>
      <c r="K4" s="67" t="s">
        <v>1718</v>
      </c>
      <c r="L4" s="67" t="s">
        <v>1197</v>
      </c>
      <c r="M4" s="67" t="s">
        <v>1208</v>
      </c>
    </row>
    <row r="5" spans="1:14" ht="12" customHeight="1" x14ac:dyDescent="0.2">
      <c r="A5" s="78">
        <v>235242</v>
      </c>
      <c r="B5" s="67" t="s">
        <v>58</v>
      </c>
      <c r="C5" s="67" t="s">
        <v>1196</v>
      </c>
      <c r="D5" s="67" t="s">
        <v>1197</v>
      </c>
      <c r="E5" s="67" t="s">
        <v>1206</v>
      </c>
      <c r="F5" s="67" t="s">
        <v>1585</v>
      </c>
      <c r="G5" s="67" t="s">
        <v>7</v>
      </c>
      <c r="H5" s="68">
        <v>1.6666666666666666E-2</v>
      </c>
      <c r="I5" s="68">
        <v>1.6666666666666666E-2</v>
      </c>
      <c r="J5" s="68"/>
      <c r="K5" s="67" t="s">
        <v>1718</v>
      </c>
      <c r="L5" s="67" t="s">
        <v>1197</v>
      </c>
      <c r="M5" s="67" t="s">
        <v>1206</v>
      </c>
    </row>
    <row r="6" spans="1:14" ht="12" customHeight="1" x14ac:dyDescent="0.2">
      <c r="A6" s="78">
        <v>236245</v>
      </c>
      <c r="B6" s="67" t="s">
        <v>59</v>
      </c>
      <c r="C6" s="67" t="s">
        <v>1196</v>
      </c>
      <c r="D6" s="67" t="s">
        <v>1197</v>
      </c>
      <c r="E6" s="67" t="s">
        <v>1206</v>
      </c>
      <c r="F6" s="67" t="s">
        <v>1585</v>
      </c>
      <c r="G6" s="67" t="s">
        <v>7</v>
      </c>
      <c r="H6" s="68">
        <v>6.5972222222222224E-2</v>
      </c>
      <c r="I6" s="68">
        <v>6.5972222222222224E-2</v>
      </c>
      <c r="J6" s="68"/>
      <c r="K6" s="67" t="s">
        <v>1718</v>
      </c>
      <c r="L6" s="67" t="s">
        <v>1197</v>
      </c>
      <c r="M6" s="67" t="s">
        <v>1206</v>
      </c>
    </row>
    <row r="7" spans="1:14" ht="12" customHeight="1" x14ac:dyDescent="0.2">
      <c r="A7" s="78">
        <v>229679</v>
      </c>
      <c r="B7" s="67" t="s">
        <v>60</v>
      </c>
      <c r="C7" s="67" t="s">
        <v>1196</v>
      </c>
      <c r="D7" s="67" t="s">
        <v>1197</v>
      </c>
      <c r="E7" s="67" t="s">
        <v>1209</v>
      </c>
      <c r="F7" s="67" t="s">
        <v>1588</v>
      </c>
      <c r="G7" s="67" t="s">
        <v>7</v>
      </c>
      <c r="H7" s="68">
        <v>3.1284722222222223</v>
      </c>
      <c r="I7" s="68">
        <v>3.1284722222222223</v>
      </c>
      <c r="J7" s="68"/>
      <c r="K7" s="67" t="s">
        <v>1718</v>
      </c>
      <c r="L7" s="67" t="s">
        <v>1197</v>
      </c>
      <c r="M7" s="67" t="s">
        <v>1209</v>
      </c>
    </row>
    <row r="8" spans="1:14" ht="12" customHeight="1" x14ac:dyDescent="0.2">
      <c r="A8" s="78">
        <v>224455</v>
      </c>
      <c r="B8" s="67" t="s">
        <v>61</v>
      </c>
      <c r="C8" s="67" t="s">
        <v>1196</v>
      </c>
      <c r="D8" s="67" t="s">
        <v>1197</v>
      </c>
      <c r="E8" s="67" t="s">
        <v>1210</v>
      </c>
      <c r="F8" s="67" t="s">
        <v>1589</v>
      </c>
      <c r="G8" s="67" t="s">
        <v>7</v>
      </c>
      <c r="H8" s="68">
        <v>0.34791666666666665</v>
      </c>
      <c r="I8" s="68">
        <v>0.34791666666666665</v>
      </c>
      <c r="J8" s="68"/>
      <c r="K8" s="67" t="s">
        <v>1718</v>
      </c>
      <c r="L8" s="67" t="s">
        <v>1197</v>
      </c>
      <c r="M8" s="67" t="s">
        <v>1210</v>
      </c>
    </row>
    <row r="9" spans="1:14" ht="12" customHeight="1" x14ac:dyDescent="0.2">
      <c r="A9" s="78">
        <v>233202</v>
      </c>
      <c r="B9" s="67" t="s">
        <v>62</v>
      </c>
      <c r="C9" s="67" t="s">
        <v>1196</v>
      </c>
      <c r="D9" s="67" t="s">
        <v>1197</v>
      </c>
      <c r="E9" s="67" t="s">
        <v>1211</v>
      </c>
      <c r="F9" s="67" t="s">
        <v>1590</v>
      </c>
      <c r="G9" s="67" t="s">
        <v>7</v>
      </c>
      <c r="H9" s="68">
        <v>0.85138888888888886</v>
      </c>
      <c r="I9" s="68">
        <v>0.85138888888888886</v>
      </c>
      <c r="J9" s="68"/>
      <c r="K9" s="67" t="s">
        <v>1718</v>
      </c>
      <c r="L9" s="67" t="s">
        <v>1197</v>
      </c>
      <c r="M9" s="67" t="s">
        <v>1211</v>
      </c>
    </row>
    <row r="10" spans="1:14" ht="12" customHeight="1" x14ac:dyDescent="0.2">
      <c r="A10" s="78">
        <v>232421</v>
      </c>
      <c r="B10" s="67" t="s">
        <v>63</v>
      </c>
      <c r="C10" s="67" t="s">
        <v>1196</v>
      </c>
      <c r="D10" s="67" t="s">
        <v>1197</v>
      </c>
      <c r="E10" s="67" t="s">
        <v>1208</v>
      </c>
      <c r="F10" s="67" t="s">
        <v>1587</v>
      </c>
      <c r="G10" s="67" t="s">
        <v>7</v>
      </c>
      <c r="H10" s="68">
        <v>1.0506944444444444</v>
      </c>
      <c r="I10" s="68">
        <v>1.0506944444444444</v>
      </c>
      <c r="J10" s="68"/>
      <c r="K10" s="67" t="s">
        <v>1718</v>
      </c>
      <c r="L10" s="67" t="s">
        <v>1197</v>
      </c>
      <c r="M10" s="67" t="s">
        <v>1208</v>
      </c>
    </row>
    <row r="11" spans="1:14" ht="12" customHeight="1" x14ac:dyDescent="0.2">
      <c r="A11" s="78">
        <v>236351</v>
      </c>
      <c r="B11" s="67" t="s">
        <v>64</v>
      </c>
      <c r="C11" s="67" t="s">
        <v>1196</v>
      </c>
      <c r="D11" s="67" t="s">
        <v>1197</v>
      </c>
      <c r="E11" s="67" t="s">
        <v>1212</v>
      </c>
      <c r="F11" s="67" t="s">
        <v>1587</v>
      </c>
      <c r="G11" s="67" t="s">
        <v>7</v>
      </c>
      <c r="H11" s="68">
        <v>2.411111111111111</v>
      </c>
      <c r="I11" s="68">
        <v>2.411111111111111</v>
      </c>
      <c r="J11" s="68"/>
      <c r="K11" s="67" t="s">
        <v>1720</v>
      </c>
      <c r="L11" s="67" t="s">
        <v>1197</v>
      </c>
      <c r="M11" s="67" t="s">
        <v>1212</v>
      </c>
    </row>
    <row r="12" spans="1:14" ht="12" customHeight="1" x14ac:dyDescent="0.2">
      <c r="A12" s="78">
        <v>237208</v>
      </c>
      <c r="B12" s="67" t="s">
        <v>65</v>
      </c>
      <c r="C12" s="67" t="s">
        <v>1196</v>
      </c>
      <c r="D12" s="67" t="s">
        <v>1197</v>
      </c>
      <c r="E12" s="67" t="s">
        <v>1213</v>
      </c>
      <c r="F12" s="67" t="s">
        <v>1585</v>
      </c>
      <c r="G12" s="67" t="s">
        <v>7</v>
      </c>
      <c r="H12" s="68">
        <v>6.25E-2</v>
      </c>
      <c r="I12" s="68">
        <v>6.25E-2</v>
      </c>
      <c r="J12" s="68"/>
      <c r="K12" s="67" t="s">
        <v>1721</v>
      </c>
      <c r="L12" s="67" t="s">
        <v>1197</v>
      </c>
      <c r="M12" s="67" t="s">
        <v>1213</v>
      </c>
    </row>
    <row r="13" spans="1:14" ht="12" customHeight="1" x14ac:dyDescent="0.2">
      <c r="A13" s="78">
        <v>234179</v>
      </c>
      <c r="B13" s="67" t="s">
        <v>66</v>
      </c>
      <c r="C13" s="67" t="s">
        <v>1196</v>
      </c>
      <c r="D13" s="67" t="s">
        <v>1197</v>
      </c>
      <c r="E13" s="67" t="s">
        <v>1214</v>
      </c>
      <c r="F13" s="67" t="s">
        <v>1591</v>
      </c>
      <c r="G13" s="67" t="s">
        <v>7</v>
      </c>
      <c r="H13" s="68">
        <v>0.25208333333333333</v>
      </c>
      <c r="I13" s="68">
        <v>0.25208333333333333</v>
      </c>
      <c r="J13" s="68"/>
      <c r="K13" s="67" t="s">
        <v>1722</v>
      </c>
      <c r="L13" s="67" t="s">
        <v>1197</v>
      </c>
      <c r="M13" s="67" t="s">
        <v>1214</v>
      </c>
    </row>
    <row r="14" spans="1:14" ht="12" customHeight="1" x14ac:dyDescent="0.2">
      <c r="A14" s="78">
        <v>219753</v>
      </c>
      <c r="B14" s="67" t="s">
        <v>67</v>
      </c>
      <c r="C14" s="67" t="s">
        <v>1196</v>
      </c>
      <c r="D14" s="67" t="s">
        <v>1197</v>
      </c>
      <c r="E14" s="67" t="s">
        <v>1215</v>
      </c>
      <c r="F14" s="67" t="s">
        <v>1592</v>
      </c>
      <c r="G14" s="67" t="s">
        <v>7</v>
      </c>
      <c r="H14" s="68">
        <v>0.51597222222222217</v>
      </c>
      <c r="I14" s="68">
        <v>0.51597222222222217</v>
      </c>
      <c r="J14" s="68"/>
      <c r="K14" s="67" t="s">
        <v>1720</v>
      </c>
      <c r="L14" s="67" t="s">
        <v>1197</v>
      </c>
      <c r="M14" s="67" t="s">
        <v>1215</v>
      </c>
    </row>
    <row r="15" spans="1:14" ht="12" customHeight="1" x14ac:dyDescent="0.2">
      <c r="A15" s="78">
        <v>232821</v>
      </c>
      <c r="B15" s="67" t="s">
        <v>68</v>
      </c>
      <c r="C15" s="67" t="s">
        <v>1196</v>
      </c>
      <c r="D15" s="67" t="s">
        <v>1197</v>
      </c>
      <c r="E15" s="67" t="s">
        <v>1214</v>
      </c>
      <c r="F15" s="67" t="s">
        <v>1591</v>
      </c>
      <c r="G15" s="67" t="s">
        <v>7</v>
      </c>
      <c r="H15" s="68">
        <v>4.25</v>
      </c>
      <c r="I15" s="68">
        <v>4.25</v>
      </c>
      <c r="J15" s="68"/>
      <c r="K15" s="67" t="s">
        <v>1721</v>
      </c>
      <c r="L15" s="67" t="s">
        <v>1197</v>
      </c>
      <c r="M15" s="67" t="s">
        <v>1214</v>
      </c>
    </row>
    <row r="16" spans="1:14" ht="12" customHeight="1" x14ac:dyDescent="0.2">
      <c r="A16" s="78">
        <v>235678</v>
      </c>
      <c r="B16" s="67" t="s">
        <v>69</v>
      </c>
      <c r="C16" s="67" t="s">
        <v>1196</v>
      </c>
      <c r="D16" s="67" t="s">
        <v>1197</v>
      </c>
      <c r="E16" s="67" t="s">
        <v>1216</v>
      </c>
      <c r="F16" s="67" t="s">
        <v>1593</v>
      </c>
      <c r="G16" s="67" t="s">
        <v>7</v>
      </c>
      <c r="H16" s="68">
        <v>0.56041666666666667</v>
      </c>
      <c r="I16" s="68">
        <v>0.56041666666666667</v>
      </c>
      <c r="J16" s="68"/>
      <c r="K16" s="67" t="s">
        <v>1718</v>
      </c>
      <c r="L16" s="67" t="s">
        <v>1197</v>
      </c>
      <c r="M16" s="67" t="s">
        <v>1216</v>
      </c>
    </row>
    <row r="17" spans="1:13" ht="12" customHeight="1" x14ac:dyDescent="0.2">
      <c r="A17" s="78">
        <v>229504</v>
      </c>
      <c r="B17" s="67" t="s">
        <v>70</v>
      </c>
      <c r="C17" s="67" t="s">
        <v>1196</v>
      </c>
      <c r="D17" s="67" t="s">
        <v>1197</v>
      </c>
      <c r="E17" s="67" t="s">
        <v>1217</v>
      </c>
      <c r="F17" s="67" t="s">
        <v>1586</v>
      </c>
      <c r="G17" s="67" t="s">
        <v>7</v>
      </c>
      <c r="H17" s="68">
        <v>1.6625000000000001</v>
      </c>
      <c r="I17" s="68">
        <v>1.6625000000000001</v>
      </c>
      <c r="J17" s="68"/>
      <c r="K17" s="67" t="s">
        <v>1719</v>
      </c>
      <c r="L17" s="67" t="s">
        <v>1197</v>
      </c>
      <c r="M17" s="67" t="s">
        <v>1217</v>
      </c>
    </row>
    <row r="18" spans="1:13" ht="12" customHeight="1" x14ac:dyDescent="0.2">
      <c r="A18" s="78">
        <v>220259</v>
      </c>
      <c r="B18" s="67" t="s">
        <v>71</v>
      </c>
      <c r="C18" s="67" t="s">
        <v>1196</v>
      </c>
      <c r="D18" s="67" t="s">
        <v>1197</v>
      </c>
      <c r="E18" s="67" t="s">
        <v>1218</v>
      </c>
      <c r="F18" s="67" t="s">
        <v>1593</v>
      </c>
      <c r="G18" s="67" t="s">
        <v>7</v>
      </c>
      <c r="H18" s="68">
        <v>21.583333333333332</v>
      </c>
      <c r="I18" s="68">
        <v>21.583333333333332</v>
      </c>
      <c r="J18" s="68"/>
      <c r="K18" s="67" t="s">
        <v>1721</v>
      </c>
      <c r="L18" s="67" t="s">
        <v>1197</v>
      </c>
      <c r="M18" s="67" t="s">
        <v>1218</v>
      </c>
    </row>
    <row r="19" spans="1:13" ht="12" customHeight="1" x14ac:dyDescent="0.2">
      <c r="A19" s="78">
        <v>201734</v>
      </c>
      <c r="B19" s="67" t="s">
        <v>72</v>
      </c>
      <c r="C19" s="67" t="s">
        <v>1196</v>
      </c>
      <c r="D19" s="67" t="s">
        <v>1197</v>
      </c>
      <c r="E19" s="67" t="s">
        <v>1219</v>
      </c>
      <c r="F19" s="67" t="s">
        <v>1590</v>
      </c>
      <c r="G19" s="67" t="s">
        <v>7</v>
      </c>
      <c r="H19" s="68">
        <v>17.083333333333332</v>
      </c>
      <c r="I19" s="68">
        <v>17.083333333333332</v>
      </c>
      <c r="J19" s="68"/>
      <c r="K19" s="67" t="s">
        <v>1721</v>
      </c>
      <c r="L19" s="67" t="s">
        <v>1197</v>
      </c>
      <c r="M19" s="67" t="s">
        <v>1219</v>
      </c>
    </row>
    <row r="20" spans="1:13" ht="12" customHeight="1" x14ac:dyDescent="0.2">
      <c r="A20" s="78">
        <v>234407</v>
      </c>
      <c r="B20" s="67" t="s">
        <v>73</v>
      </c>
      <c r="C20" s="67" t="s">
        <v>1196</v>
      </c>
      <c r="D20" s="67" t="s">
        <v>1197</v>
      </c>
      <c r="E20" s="67" t="s">
        <v>1220</v>
      </c>
      <c r="F20" s="67" t="s">
        <v>1594</v>
      </c>
      <c r="G20" s="67" t="s">
        <v>7</v>
      </c>
      <c r="H20" s="68">
        <v>7.6743055555555557</v>
      </c>
      <c r="I20" s="68">
        <v>7.6743055555555557</v>
      </c>
      <c r="J20" s="68"/>
      <c r="K20" s="67" t="s">
        <v>1718</v>
      </c>
      <c r="L20" s="67" t="s">
        <v>1197</v>
      </c>
      <c r="M20" s="67" t="s">
        <v>1220</v>
      </c>
    </row>
    <row r="21" spans="1:13" ht="12" customHeight="1" x14ac:dyDescent="0.2">
      <c r="A21" s="78">
        <v>220870</v>
      </c>
      <c r="B21" s="67" t="s">
        <v>74</v>
      </c>
      <c r="C21" s="67" t="s">
        <v>1196</v>
      </c>
      <c r="D21" s="67" t="s">
        <v>1197</v>
      </c>
      <c r="E21" s="67" t="s">
        <v>1221</v>
      </c>
      <c r="F21" s="67" t="s">
        <v>1594</v>
      </c>
      <c r="G21" s="67" t="s">
        <v>7</v>
      </c>
      <c r="H21" s="68">
        <v>4.5472222222222225</v>
      </c>
      <c r="I21" s="68">
        <v>4.5472222222222225</v>
      </c>
      <c r="J21" s="68"/>
      <c r="K21" s="67" t="s">
        <v>1720</v>
      </c>
      <c r="L21" s="67" t="s">
        <v>1197</v>
      </c>
      <c r="M21" s="67" t="s">
        <v>1221</v>
      </c>
    </row>
    <row r="22" spans="1:13" ht="12" customHeight="1" x14ac:dyDescent="0.2">
      <c r="A22" s="78">
        <v>237838</v>
      </c>
      <c r="B22" s="67" t="s">
        <v>75</v>
      </c>
      <c r="C22" s="67" t="s">
        <v>1196</v>
      </c>
      <c r="D22" s="67" t="s">
        <v>1197</v>
      </c>
      <c r="E22" s="67" t="s">
        <v>1222</v>
      </c>
      <c r="F22" s="67" t="s">
        <v>1591</v>
      </c>
      <c r="G22" s="67" t="s">
        <v>7</v>
      </c>
      <c r="H22" s="68">
        <v>9.9999999999999992E-2</v>
      </c>
      <c r="I22" s="68">
        <v>9.9999999999999992E-2</v>
      </c>
      <c r="J22" s="68"/>
      <c r="K22" s="67" t="s">
        <v>1718</v>
      </c>
      <c r="L22" s="67" t="s">
        <v>1197</v>
      </c>
      <c r="M22" s="67" t="s">
        <v>1222</v>
      </c>
    </row>
    <row r="23" spans="1:13" ht="12" customHeight="1" x14ac:dyDescent="0.2">
      <c r="A23" s="78">
        <v>235502</v>
      </c>
      <c r="B23" s="67" t="s">
        <v>76</v>
      </c>
      <c r="C23" s="67" t="s">
        <v>1196</v>
      </c>
      <c r="D23" s="67" t="s">
        <v>1197</v>
      </c>
      <c r="E23" s="67" t="s">
        <v>1223</v>
      </c>
      <c r="F23" s="67" t="s">
        <v>1592</v>
      </c>
      <c r="G23" s="67" t="s">
        <v>7</v>
      </c>
      <c r="H23" s="68">
        <v>0.90069444444444446</v>
      </c>
      <c r="I23" s="68">
        <v>0.90069444444444446</v>
      </c>
      <c r="J23" s="68"/>
      <c r="K23" s="67" t="s">
        <v>1718</v>
      </c>
      <c r="L23" s="67" t="s">
        <v>1197</v>
      </c>
      <c r="M23" s="67" t="s">
        <v>1223</v>
      </c>
    </row>
    <row r="24" spans="1:13" ht="12" customHeight="1" x14ac:dyDescent="0.2">
      <c r="A24" s="78">
        <v>237562</v>
      </c>
      <c r="B24" s="67" t="s">
        <v>77</v>
      </c>
      <c r="C24" s="67" t="s">
        <v>1196</v>
      </c>
      <c r="D24" s="67" t="s">
        <v>1197</v>
      </c>
      <c r="E24" s="67" t="s">
        <v>1224</v>
      </c>
      <c r="F24" s="67" t="s">
        <v>1595</v>
      </c>
      <c r="G24" s="67" t="s">
        <v>7</v>
      </c>
      <c r="H24" s="68">
        <v>9.1666666666666661</v>
      </c>
      <c r="I24" s="68">
        <v>9.1666666666666661</v>
      </c>
      <c r="J24" s="68"/>
      <c r="K24" s="67" t="s">
        <v>1721</v>
      </c>
      <c r="L24" s="67" t="s">
        <v>1197</v>
      </c>
      <c r="M24" s="67" t="s">
        <v>1224</v>
      </c>
    </row>
    <row r="25" spans="1:13" ht="12" customHeight="1" x14ac:dyDescent="0.2">
      <c r="A25" s="78">
        <v>221010</v>
      </c>
      <c r="B25" s="67" t="s">
        <v>78</v>
      </c>
      <c r="C25" s="67" t="s">
        <v>1196</v>
      </c>
      <c r="D25" s="67" t="s">
        <v>1197</v>
      </c>
      <c r="E25" s="67" t="s">
        <v>1214</v>
      </c>
      <c r="F25" s="67" t="s">
        <v>1591</v>
      </c>
      <c r="G25" s="67" t="s">
        <v>7</v>
      </c>
      <c r="H25" s="68">
        <v>6.5</v>
      </c>
      <c r="I25" s="68">
        <v>6.5</v>
      </c>
      <c r="J25" s="68"/>
      <c r="K25" s="67" t="s">
        <v>1720</v>
      </c>
      <c r="L25" s="67" t="s">
        <v>1197</v>
      </c>
      <c r="M25" s="67" t="s">
        <v>1214</v>
      </c>
    </row>
    <row r="26" spans="1:13" ht="12" customHeight="1" x14ac:dyDescent="0.2">
      <c r="A26" s="78">
        <v>222657</v>
      </c>
      <c r="B26" s="67" t="s">
        <v>79</v>
      </c>
      <c r="C26" s="67" t="s">
        <v>1196</v>
      </c>
      <c r="D26" s="67" t="s">
        <v>1197</v>
      </c>
      <c r="E26" s="67" t="s">
        <v>1223</v>
      </c>
      <c r="F26" s="67" t="s">
        <v>1592</v>
      </c>
      <c r="G26" s="67" t="s">
        <v>7</v>
      </c>
      <c r="H26" s="68">
        <v>2.4666666666666668</v>
      </c>
      <c r="I26" s="68">
        <v>2.4666666666666668</v>
      </c>
      <c r="J26" s="68"/>
      <c r="K26" s="67" t="s">
        <v>1718</v>
      </c>
      <c r="L26" s="67" t="s">
        <v>1197</v>
      </c>
      <c r="M26" s="67" t="s">
        <v>1223</v>
      </c>
    </row>
    <row r="27" spans="1:13" ht="12" customHeight="1" x14ac:dyDescent="0.2">
      <c r="A27" s="78">
        <v>236884</v>
      </c>
      <c r="B27" s="67" t="s">
        <v>80</v>
      </c>
      <c r="C27" s="67" t="s">
        <v>1196</v>
      </c>
      <c r="D27" s="67" t="s">
        <v>1197</v>
      </c>
      <c r="E27" s="67" t="s">
        <v>1223</v>
      </c>
      <c r="F27" s="67" t="s">
        <v>1592</v>
      </c>
      <c r="G27" s="67" t="s">
        <v>7</v>
      </c>
      <c r="H27" s="68">
        <v>6.010416666666667</v>
      </c>
      <c r="I27" s="68">
        <v>6.010416666666667</v>
      </c>
      <c r="J27" s="68"/>
      <c r="K27" s="67" t="s">
        <v>1718</v>
      </c>
      <c r="L27" s="67" t="s">
        <v>1197</v>
      </c>
      <c r="M27" s="67" t="s">
        <v>1223</v>
      </c>
    </row>
    <row r="28" spans="1:13" ht="12" customHeight="1" x14ac:dyDescent="0.2">
      <c r="A28" s="78">
        <v>235001</v>
      </c>
      <c r="B28" s="67" t="s">
        <v>81</v>
      </c>
      <c r="C28" s="67" t="s">
        <v>1196</v>
      </c>
      <c r="D28" s="67" t="s">
        <v>1197</v>
      </c>
      <c r="E28" s="67" t="s">
        <v>1216</v>
      </c>
      <c r="F28" s="67" t="s">
        <v>1593</v>
      </c>
      <c r="G28" s="67" t="s">
        <v>7</v>
      </c>
      <c r="H28" s="68">
        <v>3.09375</v>
      </c>
      <c r="I28" s="68">
        <v>3.09375</v>
      </c>
      <c r="J28" s="68"/>
      <c r="K28" s="67" t="s">
        <v>1718</v>
      </c>
      <c r="L28" s="67" t="s">
        <v>1197</v>
      </c>
      <c r="M28" s="67" t="s">
        <v>1216</v>
      </c>
    </row>
    <row r="29" spans="1:13" ht="12" customHeight="1" x14ac:dyDescent="0.2">
      <c r="A29" s="78">
        <v>234802</v>
      </c>
      <c r="B29" s="67" t="s">
        <v>82</v>
      </c>
      <c r="C29" s="67" t="s">
        <v>1196</v>
      </c>
      <c r="D29" s="67" t="s">
        <v>1197</v>
      </c>
      <c r="E29" s="67" t="s">
        <v>1222</v>
      </c>
      <c r="F29" s="67" t="s">
        <v>1591</v>
      </c>
      <c r="G29" s="67" t="s">
        <v>7</v>
      </c>
      <c r="H29" s="68">
        <v>5.8506944444444446</v>
      </c>
      <c r="I29" s="68">
        <v>5.8506944444444446</v>
      </c>
      <c r="J29" s="68"/>
      <c r="K29" s="67" t="s">
        <v>1718</v>
      </c>
      <c r="L29" s="67" t="s">
        <v>1197</v>
      </c>
      <c r="M29" s="67" t="s">
        <v>1222</v>
      </c>
    </row>
    <row r="30" spans="1:13" ht="12" customHeight="1" x14ac:dyDescent="0.2">
      <c r="A30" s="78">
        <v>236263</v>
      </c>
      <c r="B30" s="67" t="s">
        <v>83</v>
      </c>
      <c r="C30" s="67" t="s">
        <v>1196</v>
      </c>
      <c r="D30" s="67" t="s">
        <v>1197</v>
      </c>
      <c r="E30" s="67" t="s">
        <v>1218</v>
      </c>
      <c r="F30" s="67" t="s">
        <v>1593</v>
      </c>
      <c r="G30" s="67" t="s">
        <v>7</v>
      </c>
      <c r="H30" s="68">
        <v>0.56805555555555554</v>
      </c>
      <c r="I30" s="68">
        <v>0.56805555555555554</v>
      </c>
      <c r="J30" s="68"/>
      <c r="K30" s="67" t="s">
        <v>1720</v>
      </c>
      <c r="L30" s="67" t="s">
        <v>1197</v>
      </c>
      <c r="M30" s="67" t="s">
        <v>1218</v>
      </c>
    </row>
    <row r="31" spans="1:13" ht="12" customHeight="1" x14ac:dyDescent="0.2">
      <c r="A31" s="78">
        <v>237179</v>
      </c>
      <c r="B31" s="67" t="s">
        <v>84</v>
      </c>
      <c r="C31" s="67" t="s">
        <v>1196</v>
      </c>
      <c r="D31" s="67" t="s">
        <v>1197</v>
      </c>
      <c r="E31" s="67" t="s">
        <v>1213</v>
      </c>
      <c r="F31" s="67" t="s">
        <v>1585</v>
      </c>
      <c r="G31" s="67" t="s">
        <v>7</v>
      </c>
      <c r="H31" s="68">
        <v>0.10833333333333334</v>
      </c>
      <c r="I31" s="68">
        <v>0.10833333333333334</v>
      </c>
      <c r="J31" s="68"/>
      <c r="K31" s="67" t="s">
        <v>1720</v>
      </c>
      <c r="L31" s="67" t="s">
        <v>1197</v>
      </c>
      <c r="M31" s="67" t="s">
        <v>1213</v>
      </c>
    </row>
    <row r="32" spans="1:13" ht="12" customHeight="1" x14ac:dyDescent="0.2">
      <c r="A32" s="78">
        <v>237396</v>
      </c>
      <c r="B32" s="67" t="s">
        <v>85</v>
      </c>
      <c r="C32" s="67" t="s">
        <v>1196</v>
      </c>
      <c r="D32" s="67" t="s">
        <v>1197</v>
      </c>
      <c r="E32" s="67" t="s">
        <v>1223</v>
      </c>
      <c r="F32" s="67" t="s">
        <v>1592</v>
      </c>
      <c r="G32" s="67" t="s">
        <v>7</v>
      </c>
      <c r="H32" s="68">
        <v>1.5013888888888889</v>
      </c>
      <c r="I32" s="68">
        <v>1.5013888888888889</v>
      </c>
      <c r="J32" s="68"/>
      <c r="K32" s="67" t="s">
        <v>1718</v>
      </c>
      <c r="L32" s="67" t="s">
        <v>1197</v>
      </c>
      <c r="M32" s="67" t="s">
        <v>1223</v>
      </c>
    </row>
    <row r="33" spans="1:13" ht="12" customHeight="1" x14ac:dyDescent="0.2">
      <c r="A33" s="78">
        <v>232518</v>
      </c>
      <c r="B33" s="67" t="s">
        <v>86</v>
      </c>
      <c r="C33" s="67" t="s">
        <v>1196</v>
      </c>
      <c r="D33" s="67" t="s">
        <v>1197</v>
      </c>
      <c r="E33" s="67" t="s">
        <v>1210</v>
      </c>
      <c r="F33" s="67" t="s">
        <v>1589</v>
      </c>
      <c r="G33" s="67" t="s">
        <v>7</v>
      </c>
      <c r="H33" s="68">
        <v>0.53125</v>
      </c>
      <c r="I33" s="68">
        <v>0.53125</v>
      </c>
      <c r="J33" s="68"/>
      <c r="K33" s="67" t="s">
        <v>1718</v>
      </c>
      <c r="L33" s="67" t="s">
        <v>1197</v>
      </c>
      <c r="M33" s="67" t="s">
        <v>1210</v>
      </c>
    </row>
    <row r="34" spans="1:13" ht="12" customHeight="1" x14ac:dyDescent="0.2">
      <c r="A34" s="78">
        <v>229823</v>
      </c>
      <c r="B34" s="67" t="s">
        <v>87</v>
      </c>
      <c r="C34" s="67" t="s">
        <v>1196</v>
      </c>
      <c r="D34" s="67" t="s">
        <v>1197</v>
      </c>
      <c r="E34" s="67" t="s">
        <v>1212</v>
      </c>
      <c r="F34" s="67" t="s">
        <v>1587</v>
      </c>
      <c r="G34" s="67" t="s">
        <v>7</v>
      </c>
      <c r="H34" s="68">
        <v>0.99305555555555547</v>
      </c>
      <c r="I34" s="68">
        <v>0.99305555555555547</v>
      </c>
      <c r="J34" s="68"/>
      <c r="K34" s="67" t="s">
        <v>1720</v>
      </c>
      <c r="L34" s="67" t="s">
        <v>1197</v>
      </c>
      <c r="M34" s="67" t="s">
        <v>1212</v>
      </c>
    </row>
    <row r="35" spans="1:13" ht="12" customHeight="1" x14ac:dyDescent="0.2">
      <c r="A35" s="78">
        <v>231067</v>
      </c>
      <c r="B35" s="67" t="s">
        <v>88</v>
      </c>
      <c r="C35" s="67" t="s">
        <v>1196</v>
      </c>
      <c r="D35" s="67" t="s">
        <v>1197</v>
      </c>
      <c r="E35" s="67" t="s">
        <v>1225</v>
      </c>
      <c r="F35" s="67" t="s">
        <v>1586</v>
      </c>
      <c r="G35" s="67" t="s">
        <v>7</v>
      </c>
      <c r="H35" s="68">
        <v>2.5902777777777777</v>
      </c>
      <c r="I35" s="68">
        <v>2.5902777777777777</v>
      </c>
      <c r="J35" s="68"/>
      <c r="K35" s="67" t="s">
        <v>1719</v>
      </c>
      <c r="L35" s="67" t="s">
        <v>1197</v>
      </c>
      <c r="M35" s="67" t="s">
        <v>1225</v>
      </c>
    </row>
    <row r="36" spans="1:13" ht="12" customHeight="1" x14ac:dyDescent="0.2">
      <c r="A36" s="78">
        <v>236087</v>
      </c>
      <c r="B36" s="67" t="s">
        <v>89</v>
      </c>
      <c r="C36" s="67" t="s">
        <v>1196</v>
      </c>
      <c r="D36" s="67" t="s">
        <v>1197</v>
      </c>
      <c r="E36" s="67" t="s">
        <v>1208</v>
      </c>
      <c r="F36" s="67" t="s">
        <v>1587</v>
      </c>
      <c r="G36" s="67" t="s">
        <v>7</v>
      </c>
      <c r="H36" s="68">
        <v>1.0423611111111111</v>
      </c>
      <c r="I36" s="68">
        <v>1.0423611111111111</v>
      </c>
      <c r="J36" s="68"/>
      <c r="K36" s="67" t="s">
        <v>1723</v>
      </c>
      <c r="L36" s="67" t="s">
        <v>1197</v>
      </c>
      <c r="M36" s="67" t="s">
        <v>1208</v>
      </c>
    </row>
    <row r="37" spans="1:13" ht="12" customHeight="1" x14ac:dyDescent="0.2">
      <c r="A37" s="78">
        <v>231811</v>
      </c>
      <c r="B37" s="67" t="s">
        <v>90</v>
      </c>
      <c r="C37" s="67" t="s">
        <v>1196</v>
      </c>
      <c r="D37" s="67" t="s">
        <v>1197</v>
      </c>
      <c r="E37" s="67" t="s">
        <v>1226</v>
      </c>
      <c r="F37" s="67" t="s">
        <v>1586</v>
      </c>
      <c r="G37" s="67" t="s">
        <v>7</v>
      </c>
      <c r="H37" s="68">
        <v>10.877777777777778</v>
      </c>
      <c r="I37" s="68">
        <v>10.877777777777778</v>
      </c>
      <c r="J37" s="68"/>
      <c r="K37" s="67" t="s">
        <v>1724</v>
      </c>
      <c r="L37" s="67" t="s">
        <v>1197</v>
      </c>
      <c r="M37" s="67" t="s">
        <v>1226</v>
      </c>
    </row>
    <row r="38" spans="1:13" ht="12" customHeight="1" x14ac:dyDescent="0.2">
      <c r="A38" s="78">
        <v>233304</v>
      </c>
      <c r="B38" s="67" t="s">
        <v>91</v>
      </c>
      <c r="C38" s="67" t="s">
        <v>1196</v>
      </c>
      <c r="D38" s="67" t="s">
        <v>1197</v>
      </c>
      <c r="E38" s="67" t="s">
        <v>1227</v>
      </c>
      <c r="F38" s="67" t="s">
        <v>1595</v>
      </c>
      <c r="G38" s="67" t="s">
        <v>7</v>
      </c>
      <c r="H38" s="68">
        <v>5.55</v>
      </c>
      <c r="I38" s="68">
        <v>5.55</v>
      </c>
      <c r="J38" s="68"/>
      <c r="K38" s="67" t="s">
        <v>1718</v>
      </c>
      <c r="L38" s="67" t="s">
        <v>1197</v>
      </c>
      <c r="M38" s="67" t="s">
        <v>1227</v>
      </c>
    </row>
    <row r="39" spans="1:13" ht="12" customHeight="1" x14ac:dyDescent="0.2">
      <c r="A39" s="78">
        <v>234574</v>
      </c>
      <c r="B39" s="67" t="s">
        <v>92</v>
      </c>
      <c r="C39" s="67" t="s">
        <v>1196</v>
      </c>
      <c r="D39" s="67" t="s">
        <v>1197</v>
      </c>
      <c r="E39" s="67" t="s">
        <v>1228</v>
      </c>
      <c r="F39" s="67" t="s">
        <v>1589</v>
      </c>
      <c r="G39" s="67" t="s">
        <v>7</v>
      </c>
      <c r="H39" s="68">
        <v>7.0833333333333331E-2</v>
      </c>
      <c r="I39" s="68">
        <v>7.0833333333333331E-2</v>
      </c>
      <c r="J39" s="68"/>
      <c r="K39" s="67" t="s">
        <v>1720</v>
      </c>
      <c r="L39" s="67" t="s">
        <v>1197</v>
      </c>
      <c r="M39" s="67" t="s">
        <v>1228</v>
      </c>
    </row>
    <row r="40" spans="1:13" ht="12" customHeight="1" x14ac:dyDescent="0.2">
      <c r="A40" s="78">
        <v>229753</v>
      </c>
      <c r="B40" s="67" t="s">
        <v>93</v>
      </c>
      <c r="C40" s="67" t="s">
        <v>1196</v>
      </c>
      <c r="D40" s="67" t="s">
        <v>1197</v>
      </c>
      <c r="E40" s="67" t="s">
        <v>1220</v>
      </c>
      <c r="F40" s="67" t="s">
        <v>1594</v>
      </c>
      <c r="G40" s="67" t="s">
        <v>7</v>
      </c>
      <c r="H40" s="68">
        <v>9.2736111111111104</v>
      </c>
      <c r="I40" s="68">
        <v>9.2736111111111104</v>
      </c>
      <c r="J40" s="68"/>
      <c r="K40" s="67" t="s">
        <v>1718</v>
      </c>
      <c r="L40" s="67" t="s">
        <v>1197</v>
      </c>
      <c r="M40" s="67" t="s">
        <v>1220</v>
      </c>
    </row>
    <row r="41" spans="1:13" ht="12" customHeight="1" x14ac:dyDescent="0.2">
      <c r="A41" s="78">
        <v>232065</v>
      </c>
      <c r="B41" s="67" t="s">
        <v>94</v>
      </c>
      <c r="C41" s="67" t="s">
        <v>1196</v>
      </c>
      <c r="D41" s="67" t="s">
        <v>1197</v>
      </c>
      <c r="E41" s="67" t="s">
        <v>1214</v>
      </c>
      <c r="F41" s="67" t="s">
        <v>1591</v>
      </c>
      <c r="G41" s="67" t="s">
        <v>7</v>
      </c>
      <c r="H41" s="68">
        <v>0.29166666666666669</v>
      </c>
      <c r="I41" s="68">
        <v>0.29166666666666669</v>
      </c>
      <c r="J41" s="68"/>
      <c r="K41" s="67" t="s">
        <v>1721</v>
      </c>
      <c r="L41" s="67" t="s">
        <v>1197</v>
      </c>
      <c r="M41" s="67" t="s">
        <v>1214</v>
      </c>
    </row>
    <row r="42" spans="1:13" ht="12" customHeight="1" x14ac:dyDescent="0.2">
      <c r="A42" s="78">
        <v>202296</v>
      </c>
      <c r="B42" s="67" t="s">
        <v>95</v>
      </c>
      <c r="C42" s="67" t="s">
        <v>1196</v>
      </c>
      <c r="D42" s="67" t="s">
        <v>1197</v>
      </c>
      <c r="E42" s="67" t="s">
        <v>1221</v>
      </c>
      <c r="F42" s="67" t="s">
        <v>1594</v>
      </c>
      <c r="G42" s="67" t="s">
        <v>7</v>
      </c>
      <c r="H42" s="68">
        <v>16.133333333333333</v>
      </c>
      <c r="I42" s="68">
        <v>16.133333333333333</v>
      </c>
      <c r="J42" s="68"/>
      <c r="K42" s="67" t="s">
        <v>1721</v>
      </c>
      <c r="L42" s="67" t="s">
        <v>1197</v>
      </c>
      <c r="M42" s="67" t="s">
        <v>1221</v>
      </c>
    </row>
    <row r="43" spans="1:13" ht="12" customHeight="1" x14ac:dyDescent="0.2">
      <c r="A43" s="78">
        <v>211623</v>
      </c>
      <c r="B43" s="67" t="s">
        <v>96</v>
      </c>
      <c r="C43" s="67" t="s">
        <v>1196</v>
      </c>
      <c r="D43" s="67" t="s">
        <v>1197</v>
      </c>
      <c r="E43" s="67" t="s">
        <v>1208</v>
      </c>
      <c r="F43" s="67" t="s">
        <v>1587</v>
      </c>
      <c r="G43" s="67" t="s">
        <v>7</v>
      </c>
      <c r="H43" s="68">
        <v>8.0500000000000007</v>
      </c>
      <c r="I43" s="68">
        <v>8.0500000000000007</v>
      </c>
      <c r="J43" s="68"/>
      <c r="K43" s="67" t="s">
        <v>1718</v>
      </c>
      <c r="L43" s="67" t="s">
        <v>1197</v>
      </c>
      <c r="M43" s="67" t="s">
        <v>1208</v>
      </c>
    </row>
    <row r="44" spans="1:13" ht="12" customHeight="1" x14ac:dyDescent="0.2">
      <c r="A44" s="78">
        <v>232039</v>
      </c>
      <c r="B44" s="67" t="s">
        <v>97</v>
      </c>
      <c r="C44" s="67" t="s">
        <v>1196</v>
      </c>
      <c r="D44" s="67" t="s">
        <v>1197</v>
      </c>
      <c r="E44" s="67" t="s">
        <v>1228</v>
      </c>
      <c r="F44" s="67" t="s">
        <v>1589</v>
      </c>
      <c r="G44" s="67" t="s">
        <v>7</v>
      </c>
      <c r="H44" s="68">
        <v>0.62152777777777779</v>
      </c>
      <c r="I44" s="68">
        <v>0.62152777777777779</v>
      </c>
      <c r="J44" s="68"/>
      <c r="K44" s="67" t="s">
        <v>1720</v>
      </c>
      <c r="L44" s="67" t="s">
        <v>1197</v>
      </c>
      <c r="M44" s="67" t="s">
        <v>1228</v>
      </c>
    </row>
    <row r="45" spans="1:13" ht="12" customHeight="1" x14ac:dyDescent="0.2">
      <c r="A45" s="78">
        <v>229441</v>
      </c>
      <c r="B45" s="67" t="s">
        <v>98</v>
      </c>
      <c r="C45" s="67" t="s">
        <v>1196</v>
      </c>
      <c r="D45" s="67" t="s">
        <v>1197</v>
      </c>
      <c r="E45" s="67" t="s">
        <v>1208</v>
      </c>
      <c r="F45" s="67" t="s">
        <v>1587</v>
      </c>
      <c r="G45" s="67" t="s">
        <v>7</v>
      </c>
      <c r="H45" s="68">
        <v>0.33263888888888887</v>
      </c>
      <c r="I45" s="68">
        <v>0.33263888888888887</v>
      </c>
      <c r="J45" s="68"/>
      <c r="K45" s="67" t="s">
        <v>1718</v>
      </c>
      <c r="L45" s="67" t="s">
        <v>1197</v>
      </c>
      <c r="M45" s="67" t="s">
        <v>1208</v>
      </c>
    </row>
    <row r="46" spans="1:13" ht="12" customHeight="1" x14ac:dyDescent="0.2">
      <c r="A46" s="78">
        <v>203298</v>
      </c>
      <c r="B46" s="67" t="s">
        <v>99</v>
      </c>
      <c r="C46" s="67" t="s">
        <v>1196</v>
      </c>
      <c r="D46" s="67" t="s">
        <v>1197</v>
      </c>
      <c r="E46" s="67" t="s">
        <v>1215</v>
      </c>
      <c r="F46" s="67" t="s">
        <v>1592</v>
      </c>
      <c r="G46" s="67" t="s">
        <v>7</v>
      </c>
      <c r="H46" s="68">
        <v>4.7222222222222221E-2</v>
      </c>
      <c r="I46" s="68">
        <v>4.7222222222222221E-2</v>
      </c>
      <c r="J46" s="68"/>
      <c r="K46" s="67" t="s">
        <v>1725</v>
      </c>
      <c r="L46" s="67" t="s">
        <v>1197</v>
      </c>
      <c r="M46" s="67" t="s">
        <v>1215</v>
      </c>
    </row>
    <row r="47" spans="1:13" ht="12" customHeight="1" x14ac:dyDescent="0.2">
      <c r="A47" s="78">
        <v>234813</v>
      </c>
      <c r="B47" s="67" t="s">
        <v>100</v>
      </c>
      <c r="C47" s="67" t="s">
        <v>1196</v>
      </c>
      <c r="D47" s="67" t="s">
        <v>1197</v>
      </c>
      <c r="E47" s="67" t="s">
        <v>1227</v>
      </c>
      <c r="F47" s="67" t="s">
        <v>1595</v>
      </c>
      <c r="G47" s="67" t="s">
        <v>7</v>
      </c>
      <c r="H47" s="68">
        <v>6.1555555555555559</v>
      </c>
      <c r="I47" s="68">
        <v>6.1555555555555559</v>
      </c>
      <c r="J47" s="68"/>
      <c r="K47" s="67" t="s">
        <v>1718</v>
      </c>
      <c r="L47" s="67" t="s">
        <v>1197</v>
      </c>
      <c r="M47" s="67" t="s">
        <v>1227</v>
      </c>
    </row>
    <row r="48" spans="1:13" ht="12" customHeight="1" x14ac:dyDescent="0.2">
      <c r="A48" s="78">
        <v>231057</v>
      </c>
      <c r="B48" s="67" t="s">
        <v>101</v>
      </c>
      <c r="C48" s="67" t="s">
        <v>1196</v>
      </c>
      <c r="D48" s="67" t="s">
        <v>1197</v>
      </c>
      <c r="E48" s="67" t="s">
        <v>1229</v>
      </c>
      <c r="F48" s="67" t="s">
        <v>1586</v>
      </c>
      <c r="G48" s="67" t="s">
        <v>7</v>
      </c>
      <c r="H48" s="68">
        <v>1.2923611111111111</v>
      </c>
      <c r="I48" s="68">
        <v>1.2923611111111111</v>
      </c>
      <c r="J48" s="68"/>
      <c r="K48" s="67" t="s">
        <v>1719</v>
      </c>
      <c r="L48" s="67" t="s">
        <v>1197</v>
      </c>
      <c r="M48" s="67" t="s">
        <v>1229</v>
      </c>
    </row>
    <row r="49" spans="1:13" ht="12" customHeight="1" x14ac:dyDescent="0.2">
      <c r="A49" s="78">
        <v>231507</v>
      </c>
      <c r="B49" s="67" t="s">
        <v>102</v>
      </c>
      <c r="C49" s="67" t="s">
        <v>1196</v>
      </c>
      <c r="D49" s="67" t="s">
        <v>1197</v>
      </c>
      <c r="E49" s="67" t="s">
        <v>1215</v>
      </c>
      <c r="F49" s="67" t="s">
        <v>1592</v>
      </c>
      <c r="G49" s="67" t="s">
        <v>7</v>
      </c>
      <c r="H49" s="68">
        <v>0.57291666666666663</v>
      </c>
      <c r="I49" s="68">
        <v>0.57291666666666663</v>
      </c>
      <c r="J49" s="68"/>
      <c r="K49" s="67" t="s">
        <v>1720</v>
      </c>
      <c r="L49" s="67" t="s">
        <v>1197</v>
      </c>
      <c r="M49" s="67" t="s">
        <v>1215</v>
      </c>
    </row>
    <row r="50" spans="1:13" ht="12" customHeight="1" x14ac:dyDescent="0.2">
      <c r="A50" s="78">
        <v>235882</v>
      </c>
      <c r="B50" s="67" t="s">
        <v>103</v>
      </c>
      <c r="C50" s="67" t="s">
        <v>1196</v>
      </c>
      <c r="D50" s="67" t="s">
        <v>1197</v>
      </c>
      <c r="E50" s="67" t="s">
        <v>1216</v>
      </c>
      <c r="F50" s="67" t="s">
        <v>1593</v>
      </c>
      <c r="G50" s="67" t="s">
        <v>7</v>
      </c>
      <c r="H50" s="68">
        <v>0.51180555555555551</v>
      </c>
      <c r="I50" s="68">
        <v>0.51180555555555551</v>
      </c>
      <c r="J50" s="68"/>
      <c r="K50" s="67" t="s">
        <v>1718</v>
      </c>
      <c r="L50" s="67" t="s">
        <v>1197</v>
      </c>
      <c r="M50" s="67" t="s">
        <v>1216</v>
      </c>
    </row>
    <row r="51" spans="1:13" ht="12" customHeight="1" x14ac:dyDescent="0.2">
      <c r="A51" s="78">
        <v>236405</v>
      </c>
      <c r="B51" s="67" t="s">
        <v>104</v>
      </c>
      <c r="C51" s="67" t="s">
        <v>1196</v>
      </c>
      <c r="D51" s="67" t="s">
        <v>1197</v>
      </c>
      <c r="E51" s="67" t="s">
        <v>1230</v>
      </c>
      <c r="F51" s="67" t="s">
        <v>1596</v>
      </c>
      <c r="G51" s="67" t="s">
        <v>7</v>
      </c>
      <c r="H51" s="68">
        <v>1.0340277777777778</v>
      </c>
      <c r="I51" s="68">
        <v>1.0340277777777778</v>
      </c>
      <c r="J51" s="68"/>
      <c r="K51" s="67" t="s">
        <v>1718</v>
      </c>
      <c r="L51" s="67" t="s">
        <v>1197</v>
      </c>
      <c r="M51" s="67" t="s">
        <v>1230</v>
      </c>
    </row>
    <row r="52" spans="1:13" ht="12" customHeight="1" x14ac:dyDescent="0.2">
      <c r="A52" s="78">
        <v>237193</v>
      </c>
      <c r="B52" s="67" t="s">
        <v>105</v>
      </c>
      <c r="C52" s="67" t="s">
        <v>1196</v>
      </c>
      <c r="D52" s="67" t="s">
        <v>1197</v>
      </c>
      <c r="E52" s="67" t="s">
        <v>1213</v>
      </c>
      <c r="F52" s="67" t="s">
        <v>1585</v>
      </c>
      <c r="G52" s="67" t="s">
        <v>7</v>
      </c>
      <c r="H52" s="68">
        <v>6.8749999999999992E-2</v>
      </c>
      <c r="I52" s="68">
        <v>6.8749999999999992E-2</v>
      </c>
      <c r="J52" s="68"/>
      <c r="K52" s="67" t="s">
        <v>1720</v>
      </c>
      <c r="L52" s="67" t="s">
        <v>1197</v>
      </c>
      <c r="M52" s="67" t="s">
        <v>1213</v>
      </c>
    </row>
    <row r="53" spans="1:13" ht="12" customHeight="1" x14ac:dyDescent="0.2">
      <c r="A53" s="78">
        <v>238086</v>
      </c>
      <c r="B53" s="67" t="s">
        <v>106</v>
      </c>
      <c r="C53" s="67" t="s">
        <v>1196</v>
      </c>
      <c r="D53" s="67" t="s">
        <v>1197</v>
      </c>
      <c r="E53" s="67" t="s">
        <v>1231</v>
      </c>
      <c r="F53" s="67" t="s">
        <v>1595</v>
      </c>
      <c r="G53" s="67" t="s">
        <v>7</v>
      </c>
      <c r="H53" s="68">
        <v>0.3666666666666667</v>
      </c>
      <c r="I53" s="68">
        <v>0.3666666666666667</v>
      </c>
      <c r="J53" s="68"/>
      <c r="K53" s="67" t="s">
        <v>1718</v>
      </c>
      <c r="L53" s="67" t="s">
        <v>1197</v>
      </c>
      <c r="M53" s="67" t="s">
        <v>1231</v>
      </c>
    </row>
    <row r="54" spans="1:13" ht="12" customHeight="1" x14ac:dyDescent="0.2">
      <c r="A54" s="78">
        <v>222968</v>
      </c>
      <c r="B54" s="67" t="s">
        <v>107</v>
      </c>
      <c r="C54" s="67" t="s">
        <v>1196</v>
      </c>
      <c r="D54" s="67" t="s">
        <v>1197</v>
      </c>
      <c r="E54" s="67" t="s">
        <v>1216</v>
      </c>
      <c r="F54" s="67" t="s">
        <v>1593</v>
      </c>
      <c r="G54" s="67" t="s">
        <v>7</v>
      </c>
      <c r="H54" s="68">
        <v>1.3354166666666667</v>
      </c>
      <c r="I54" s="68">
        <v>1.3354166666666667</v>
      </c>
      <c r="J54" s="68"/>
      <c r="K54" s="67" t="s">
        <v>1718</v>
      </c>
      <c r="L54" s="67" t="s">
        <v>1197</v>
      </c>
      <c r="M54" s="67" t="s">
        <v>1216</v>
      </c>
    </row>
    <row r="55" spans="1:13" ht="12" customHeight="1" x14ac:dyDescent="0.2">
      <c r="A55" s="78">
        <v>229450</v>
      </c>
      <c r="B55" s="67" t="s">
        <v>108</v>
      </c>
      <c r="C55" s="67" t="s">
        <v>1196</v>
      </c>
      <c r="D55" s="67" t="s">
        <v>1197</v>
      </c>
      <c r="E55" s="67" t="s">
        <v>1208</v>
      </c>
      <c r="F55" s="67" t="s">
        <v>1587</v>
      </c>
      <c r="G55" s="67" t="s">
        <v>7</v>
      </c>
      <c r="H55" s="68">
        <v>0.56458333333333333</v>
      </c>
      <c r="I55" s="68">
        <v>0.56458333333333333</v>
      </c>
      <c r="J55" s="68"/>
      <c r="K55" s="67" t="s">
        <v>1718</v>
      </c>
      <c r="L55" s="67" t="s">
        <v>1197</v>
      </c>
      <c r="M55" s="67" t="s">
        <v>1208</v>
      </c>
    </row>
    <row r="56" spans="1:13" ht="12" customHeight="1" x14ac:dyDescent="0.2">
      <c r="A56" s="78">
        <v>217725</v>
      </c>
      <c r="B56" s="67" t="s">
        <v>109</v>
      </c>
      <c r="C56" s="67" t="s">
        <v>1196</v>
      </c>
      <c r="D56" s="67" t="s">
        <v>1197</v>
      </c>
      <c r="E56" s="67" t="s">
        <v>1212</v>
      </c>
      <c r="F56" s="67" t="s">
        <v>1587</v>
      </c>
      <c r="G56" s="67" t="s">
        <v>7</v>
      </c>
      <c r="H56" s="68">
        <v>37.333333333333336</v>
      </c>
      <c r="I56" s="68">
        <v>37.333333333333336</v>
      </c>
      <c r="J56" s="68"/>
      <c r="K56" s="67" t="s">
        <v>1721</v>
      </c>
      <c r="L56" s="67" t="s">
        <v>1197</v>
      </c>
      <c r="M56" s="67" t="s">
        <v>1212</v>
      </c>
    </row>
    <row r="57" spans="1:13" ht="12" customHeight="1" x14ac:dyDescent="0.2">
      <c r="A57" s="78">
        <v>237317</v>
      </c>
      <c r="B57" s="67" t="s">
        <v>110</v>
      </c>
      <c r="C57" s="67" t="s">
        <v>1196</v>
      </c>
      <c r="D57" s="67" t="s">
        <v>1197</v>
      </c>
      <c r="E57" s="67" t="s">
        <v>1224</v>
      </c>
      <c r="F57" s="67" t="s">
        <v>1595</v>
      </c>
      <c r="G57" s="67" t="s">
        <v>7</v>
      </c>
      <c r="H57" s="68">
        <v>15.033333333333333</v>
      </c>
      <c r="I57" s="68">
        <v>15.033333333333333</v>
      </c>
      <c r="J57" s="68"/>
      <c r="K57" s="67" t="s">
        <v>1720</v>
      </c>
      <c r="L57" s="67" t="s">
        <v>1197</v>
      </c>
      <c r="M57" s="67" t="s">
        <v>1224</v>
      </c>
    </row>
    <row r="58" spans="1:13" ht="12" customHeight="1" x14ac:dyDescent="0.2">
      <c r="A58" s="78">
        <v>225046</v>
      </c>
      <c r="B58" s="67" t="s">
        <v>111</v>
      </c>
      <c r="C58" s="67" t="s">
        <v>1196</v>
      </c>
      <c r="D58" s="67" t="s">
        <v>1197</v>
      </c>
      <c r="E58" s="67" t="s">
        <v>1210</v>
      </c>
      <c r="F58" s="67" t="s">
        <v>1589</v>
      </c>
      <c r="G58" s="67" t="s">
        <v>7</v>
      </c>
      <c r="H58" s="68">
        <v>2.0833333333333333E-3</v>
      </c>
      <c r="I58" s="68">
        <v>2.0833333333333333E-3</v>
      </c>
      <c r="J58" s="68"/>
      <c r="K58" s="67" t="s">
        <v>1718</v>
      </c>
      <c r="L58" s="67" t="s">
        <v>1197</v>
      </c>
      <c r="M58" s="67" t="s">
        <v>1210</v>
      </c>
    </row>
    <row r="59" spans="1:13" ht="12" customHeight="1" x14ac:dyDescent="0.2">
      <c r="A59" s="78">
        <v>220826</v>
      </c>
      <c r="B59" s="67" t="s">
        <v>112</v>
      </c>
      <c r="C59" s="67" t="s">
        <v>1196</v>
      </c>
      <c r="D59" s="67" t="s">
        <v>1197</v>
      </c>
      <c r="E59" s="67" t="s">
        <v>1215</v>
      </c>
      <c r="F59" s="67" t="s">
        <v>1592</v>
      </c>
      <c r="G59" s="67" t="s">
        <v>7</v>
      </c>
      <c r="H59" s="68">
        <v>0.94027777777777777</v>
      </c>
      <c r="I59" s="68">
        <v>0.94027777777777777</v>
      </c>
      <c r="J59" s="68"/>
      <c r="K59" s="67" t="s">
        <v>1721</v>
      </c>
      <c r="L59" s="67" t="s">
        <v>1197</v>
      </c>
      <c r="M59" s="67" t="s">
        <v>1215</v>
      </c>
    </row>
    <row r="60" spans="1:13" ht="12" customHeight="1" x14ac:dyDescent="0.2">
      <c r="A60" s="78">
        <v>232983</v>
      </c>
      <c r="B60" s="67" t="s">
        <v>113</v>
      </c>
      <c r="C60" s="67" t="s">
        <v>1196</v>
      </c>
      <c r="D60" s="67" t="s">
        <v>1197</v>
      </c>
      <c r="E60" s="67" t="s">
        <v>1208</v>
      </c>
      <c r="F60" s="67" t="s">
        <v>1587</v>
      </c>
      <c r="G60" s="67" t="s">
        <v>7</v>
      </c>
      <c r="H60" s="68">
        <v>2.2222222222222223E-2</v>
      </c>
      <c r="I60" s="68">
        <v>2.2222222222222223E-2</v>
      </c>
      <c r="J60" s="68"/>
      <c r="K60" s="67" t="s">
        <v>1718</v>
      </c>
      <c r="L60" s="67" t="s">
        <v>1197</v>
      </c>
      <c r="M60" s="67" t="s">
        <v>1208</v>
      </c>
    </row>
    <row r="61" spans="1:13" ht="12" customHeight="1" x14ac:dyDescent="0.2">
      <c r="A61" s="78">
        <v>217788</v>
      </c>
      <c r="B61" s="67" t="s">
        <v>114</v>
      </c>
      <c r="C61" s="67" t="s">
        <v>1196</v>
      </c>
      <c r="D61" s="67" t="s">
        <v>1197</v>
      </c>
      <c r="E61" s="67" t="s">
        <v>1232</v>
      </c>
      <c r="F61" s="67" t="s">
        <v>1588</v>
      </c>
      <c r="G61" s="67" t="s">
        <v>7</v>
      </c>
      <c r="H61" s="68">
        <v>29</v>
      </c>
      <c r="I61" s="68">
        <v>29</v>
      </c>
      <c r="J61" s="68"/>
      <c r="K61" s="67" t="s">
        <v>1721</v>
      </c>
      <c r="L61" s="67" t="s">
        <v>1197</v>
      </c>
      <c r="M61" s="67" t="s">
        <v>1232</v>
      </c>
    </row>
    <row r="62" spans="1:13" ht="12" customHeight="1" x14ac:dyDescent="0.2">
      <c r="A62" s="78">
        <v>203534</v>
      </c>
      <c r="B62" s="67" t="s">
        <v>115</v>
      </c>
      <c r="C62" s="67" t="s">
        <v>1196</v>
      </c>
      <c r="D62" s="67" t="s">
        <v>1197</v>
      </c>
      <c r="E62" s="67" t="s">
        <v>1223</v>
      </c>
      <c r="F62" s="67" t="s">
        <v>1592</v>
      </c>
      <c r="G62" s="67" t="s">
        <v>7</v>
      </c>
      <c r="H62" s="68">
        <v>0.71805555555555556</v>
      </c>
      <c r="I62" s="68">
        <v>0.71805555555555556</v>
      </c>
      <c r="J62" s="68"/>
      <c r="K62" s="67" t="s">
        <v>1718</v>
      </c>
      <c r="L62" s="67" t="s">
        <v>1197</v>
      </c>
      <c r="M62" s="67" t="s">
        <v>1223</v>
      </c>
    </row>
    <row r="63" spans="1:13" ht="12" customHeight="1" x14ac:dyDescent="0.2">
      <c r="A63" s="78">
        <v>237382</v>
      </c>
      <c r="B63" s="67" t="s">
        <v>116</v>
      </c>
      <c r="C63" s="67" t="s">
        <v>1196</v>
      </c>
      <c r="D63" s="67" t="s">
        <v>1197</v>
      </c>
      <c r="E63" s="67" t="s">
        <v>1223</v>
      </c>
      <c r="F63" s="67" t="s">
        <v>1592</v>
      </c>
      <c r="G63" s="67" t="s">
        <v>7</v>
      </c>
      <c r="H63" s="68">
        <v>0.4458333333333333</v>
      </c>
      <c r="I63" s="68">
        <v>0.4458333333333333</v>
      </c>
      <c r="J63" s="68"/>
      <c r="K63" s="67" t="s">
        <v>1718</v>
      </c>
      <c r="L63" s="67" t="s">
        <v>1197</v>
      </c>
      <c r="M63" s="67" t="s">
        <v>1223</v>
      </c>
    </row>
    <row r="64" spans="1:13" ht="12" customHeight="1" x14ac:dyDescent="0.2">
      <c r="A64" s="78">
        <v>222848</v>
      </c>
      <c r="B64" s="67" t="s">
        <v>117</v>
      </c>
      <c r="C64" s="67" t="s">
        <v>1196</v>
      </c>
      <c r="D64" s="67" t="s">
        <v>1197</v>
      </c>
      <c r="E64" s="67" t="s">
        <v>1209</v>
      </c>
      <c r="F64" s="67" t="s">
        <v>1588</v>
      </c>
      <c r="G64" s="67" t="s">
        <v>7</v>
      </c>
      <c r="H64" s="68">
        <v>0.4055555555555555</v>
      </c>
      <c r="I64" s="68">
        <v>0.4055555555555555</v>
      </c>
      <c r="J64" s="68"/>
      <c r="K64" s="67" t="s">
        <v>1718</v>
      </c>
      <c r="L64" s="67" t="s">
        <v>1197</v>
      </c>
      <c r="M64" s="67" t="s">
        <v>1209</v>
      </c>
    </row>
    <row r="65" spans="1:13" ht="12" customHeight="1" x14ac:dyDescent="0.2">
      <c r="A65" s="78">
        <v>234862</v>
      </c>
      <c r="B65" s="67" t="s">
        <v>118</v>
      </c>
      <c r="C65" s="67" t="s">
        <v>1196</v>
      </c>
      <c r="D65" s="67" t="s">
        <v>1197</v>
      </c>
      <c r="E65" s="67" t="s">
        <v>1209</v>
      </c>
      <c r="F65" s="67" t="s">
        <v>1588</v>
      </c>
      <c r="G65" s="67" t="s">
        <v>7</v>
      </c>
      <c r="H65" s="68">
        <v>6.3194444444444442E-2</v>
      </c>
      <c r="I65" s="68">
        <v>6.3194444444444442E-2</v>
      </c>
      <c r="J65" s="68"/>
      <c r="K65" s="67" t="s">
        <v>1718</v>
      </c>
      <c r="L65" s="67" t="s">
        <v>1197</v>
      </c>
      <c r="M65" s="67" t="s">
        <v>1209</v>
      </c>
    </row>
    <row r="66" spans="1:13" ht="12" customHeight="1" x14ac:dyDescent="0.2">
      <c r="A66" s="78">
        <v>237158</v>
      </c>
      <c r="B66" s="67" t="s">
        <v>119</v>
      </c>
      <c r="C66" s="67" t="s">
        <v>1196</v>
      </c>
      <c r="D66" s="67" t="s">
        <v>1197</v>
      </c>
      <c r="E66" s="67" t="s">
        <v>1209</v>
      </c>
      <c r="F66" s="67" t="s">
        <v>1588</v>
      </c>
      <c r="G66" s="67" t="s">
        <v>7</v>
      </c>
      <c r="H66" s="68">
        <v>2.4076388888888891</v>
      </c>
      <c r="I66" s="68">
        <v>2.4076388888888891</v>
      </c>
      <c r="J66" s="68"/>
      <c r="K66" s="67" t="s">
        <v>1718</v>
      </c>
      <c r="L66" s="67" t="s">
        <v>1197</v>
      </c>
      <c r="M66" s="67" t="s">
        <v>1209</v>
      </c>
    </row>
    <row r="67" spans="1:13" ht="12" customHeight="1" x14ac:dyDescent="0.2">
      <c r="A67" s="78">
        <v>232699</v>
      </c>
      <c r="B67" s="67" t="s">
        <v>120</v>
      </c>
      <c r="C67" s="67" t="s">
        <v>1196</v>
      </c>
      <c r="D67" s="67" t="s">
        <v>1197</v>
      </c>
      <c r="E67" s="67" t="s">
        <v>1230</v>
      </c>
      <c r="F67" s="67" t="s">
        <v>1596</v>
      </c>
      <c r="G67" s="67" t="s">
        <v>7</v>
      </c>
      <c r="H67" s="68">
        <v>0.92986111111111114</v>
      </c>
      <c r="I67" s="68">
        <v>0.92986111111111114</v>
      </c>
      <c r="J67" s="68"/>
      <c r="K67" s="67" t="s">
        <v>1718</v>
      </c>
      <c r="L67" s="67" t="s">
        <v>1197</v>
      </c>
      <c r="M67" s="67" t="s">
        <v>1230</v>
      </c>
    </row>
    <row r="68" spans="1:13" ht="12" customHeight="1" x14ac:dyDescent="0.2">
      <c r="A68" s="78">
        <v>232949</v>
      </c>
      <c r="B68" s="67" t="s">
        <v>121</v>
      </c>
      <c r="C68" s="67" t="s">
        <v>1196</v>
      </c>
      <c r="D68" s="67" t="s">
        <v>1197</v>
      </c>
      <c r="E68" s="67" t="s">
        <v>1214</v>
      </c>
      <c r="F68" s="67" t="s">
        <v>1591</v>
      </c>
      <c r="G68" s="67" t="s">
        <v>7</v>
      </c>
      <c r="H68" s="68">
        <v>4.0875000000000004</v>
      </c>
      <c r="I68" s="68">
        <v>4.0875000000000004</v>
      </c>
      <c r="J68" s="68"/>
      <c r="K68" s="67" t="s">
        <v>1720</v>
      </c>
      <c r="L68" s="67" t="s">
        <v>1197</v>
      </c>
      <c r="M68" s="67" t="s">
        <v>1214</v>
      </c>
    </row>
    <row r="69" spans="1:13" ht="12" customHeight="1" x14ac:dyDescent="0.2">
      <c r="A69" s="78">
        <v>223302</v>
      </c>
      <c r="B69" s="67" t="s">
        <v>122</v>
      </c>
      <c r="C69" s="67" t="s">
        <v>1196</v>
      </c>
      <c r="D69" s="67" t="s">
        <v>1197</v>
      </c>
      <c r="E69" s="67" t="s">
        <v>1227</v>
      </c>
      <c r="F69" s="67" t="s">
        <v>1595</v>
      </c>
      <c r="G69" s="67" t="s">
        <v>7</v>
      </c>
      <c r="H69" s="68">
        <v>11.761805555555556</v>
      </c>
      <c r="I69" s="68">
        <v>11.761805555555556</v>
      </c>
      <c r="J69" s="68"/>
      <c r="K69" s="67" t="s">
        <v>1718</v>
      </c>
      <c r="L69" s="67" t="s">
        <v>1197</v>
      </c>
      <c r="M69" s="67" t="s">
        <v>1227</v>
      </c>
    </row>
    <row r="70" spans="1:13" ht="12" customHeight="1" x14ac:dyDescent="0.2">
      <c r="A70" s="78">
        <v>234411</v>
      </c>
      <c r="B70" s="67" t="s">
        <v>123</v>
      </c>
      <c r="C70" s="67" t="s">
        <v>1196</v>
      </c>
      <c r="D70" s="67" t="s">
        <v>1197</v>
      </c>
      <c r="E70" s="67" t="s">
        <v>1211</v>
      </c>
      <c r="F70" s="67" t="s">
        <v>1590</v>
      </c>
      <c r="G70" s="67" t="s">
        <v>8</v>
      </c>
      <c r="H70" s="68">
        <v>2.2909722222222224</v>
      </c>
      <c r="I70" s="68"/>
      <c r="J70" s="68">
        <v>2.2909722222222224</v>
      </c>
      <c r="K70" s="67" t="s">
        <v>1718</v>
      </c>
      <c r="L70" s="67" t="s">
        <v>1197</v>
      </c>
      <c r="M70" s="67" t="s">
        <v>1211</v>
      </c>
    </row>
    <row r="71" spans="1:13" ht="12" customHeight="1" x14ac:dyDescent="0.2">
      <c r="A71" s="78">
        <v>225681</v>
      </c>
      <c r="B71" s="67" t="s">
        <v>124</v>
      </c>
      <c r="C71" s="67" t="s">
        <v>1196</v>
      </c>
      <c r="D71" s="67" t="s">
        <v>1197</v>
      </c>
      <c r="E71" s="67" t="s">
        <v>1220</v>
      </c>
      <c r="F71" s="67" t="s">
        <v>1594</v>
      </c>
      <c r="G71" s="67" t="s">
        <v>8</v>
      </c>
      <c r="H71" s="68">
        <v>2.0666666666666669</v>
      </c>
      <c r="I71" s="68"/>
      <c r="J71" s="68">
        <v>2.0666666666666669</v>
      </c>
      <c r="K71" s="67" t="s">
        <v>1718</v>
      </c>
      <c r="L71" s="67" t="s">
        <v>1197</v>
      </c>
      <c r="M71" s="67" t="s">
        <v>1220</v>
      </c>
    </row>
    <row r="72" spans="1:13" ht="12" customHeight="1" x14ac:dyDescent="0.2">
      <c r="A72" s="78">
        <v>203521</v>
      </c>
      <c r="B72" s="67" t="s">
        <v>125</v>
      </c>
      <c r="C72" s="67" t="s">
        <v>1196</v>
      </c>
      <c r="D72" s="67" t="s">
        <v>1197</v>
      </c>
      <c r="E72" s="67" t="s">
        <v>1211</v>
      </c>
      <c r="F72" s="67" t="s">
        <v>1590</v>
      </c>
      <c r="G72" s="67" t="s">
        <v>8</v>
      </c>
      <c r="H72" s="68">
        <v>1.8743055555555557</v>
      </c>
      <c r="I72" s="68"/>
      <c r="J72" s="68">
        <v>1.8743055555555557</v>
      </c>
      <c r="K72" s="67" t="s">
        <v>1718</v>
      </c>
      <c r="L72" s="67" t="s">
        <v>1197</v>
      </c>
      <c r="M72" s="67" t="s">
        <v>1211</v>
      </c>
    </row>
    <row r="73" spans="1:13" ht="12" customHeight="1" x14ac:dyDescent="0.2">
      <c r="A73" s="78">
        <v>235748</v>
      </c>
      <c r="B73" s="67" t="s">
        <v>126</v>
      </c>
      <c r="C73" s="67" t="s">
        <v>1196</v>
      </c>
      <c r="D73" s="67" t="s">
        <v>1197</v>
      </c>
      <c r="E73" s="67" t="s">
        <v>1222</v>
      </c>
      <c r="F73" s="67" t="s">
        <v>1591</v>
      </c>
      <c r="G73" s="67" t="s">
        <v>8</v>
      </c>
      <c r="H73" s="68">
        <v>1.8652777777777778</v>
      </c>
      <c r="I73" s="68"/>
      <c r="J73" s="68">
        <v>1.8652777777777778</v>
      </c>
      <c r="K73" s="67" t="s">
        <v>1718</v>
      </c>
      <c r="L73" s="67" t="s">
        <v>1197</v>
      </c>
      <c r="M73" s="67" t="s">
        <v>1222</v>
      </c>
    </row>
    <row r="74" spans="1:13" ht="12" customHeight="1" x14ac:dyDescent="0.2">
      <c r="A74" s="78">
        <v>232701</v>
      </c>
      <c r="B74" s="67" t="s">
        <v>127</v>
      </c>
      <c r="C74" s="67" t="s">
        <v>1196</v>
      </c>
      <c r="D74" s="67" t="s">
        <v>1197</v>
      </c>
      <c r="E74" s="67" t="s">
        <v>1222</v>
      </c>
      <c r="F74" s="67" t="s">
        <v>1591</v>
      </c>
      <c r="G74" s="67" t="s">
        <v>8</v>
      </c>
      <c r="H74" s="68">
        <v>1.3930555555555555</v>
      </c>
      <c r="I74" s="68"/>
      <c r="J74" s="68">
        <v>1.3930555555555555</v>
      </c>
      <c r="K74" s="67" t="s">
        <v>1718</v>
      </c>
      <c r="L74" s="67" t="s">
        <v>1197</v>
      </c>
      <c r="M74" s="67" t="s">
        <v>1222</v>
      </c>
    </row>
    <row r="75" spans="1:13" ht="12" customHeight="1" x14ac:dyDescent="0.2">
      <c r="A75" s="78">
        <v>237672</v>
      </c>
      <c r="B75" s="67" t="s">
        <v>128</v>
      </c>
      <c r="C75" s="67" t="s">
        <v>1196</v>
      </c>
      <c r="D75" s="67" t="s">
        <v>1197</v>
      </c>
      <c r="E75" s="67" t="s">
        <v>1220</v>
      </c>
      <c r="F75" s="67" t="s">
        <v>1594</v>
      </c>
      <c r="G75" s="67" t="s">
        <v>8</v>
      </c>
      <c r="H75" s="68">
        <v>1.3805555555555555</v>
      </c>
      <c r="I75" s="68"/>
      <c r="J75" s="68">
        <v>1.3805555555555555</v>
      </c>
      <c r="K75" s="67" t="s">
        <v>1718</v>
      </c>
      <c r="L75" s="67" t="s">
        <v>1197</v>
      </c>
      <c r="M75" s="67" t="s">
        <v>1220</v>
      </c>
    </row>
    <row r="76" spans="1:13" ht="12" customHeight="1" x14ac:dyDescent="0.2">
      <c r="A76" s="78">
        <v>223424</v>
      </c>
      <c r="B76" s="67" t="s">
        <v>129</v>
      </c>
      <c r="C76" s="67" t="s">
        <v>1196</v>
      </c>
      <c r="D76" s="67" t="s">
        <v>1197</v>
      </c>
      <c r="E76" s="67" t="s">
        <v>1211</v>
      </c>
      <c r="F76" s="67" t="s">
        <v>1590</v>
      </c>
      <c r="G76" s="67" t="s">
        <v>8</v>
      </c>
      <c r="H76" s="68">
        <v>1.1861111111111111</v>
      </c>
      <c r="I76" s="68"/>
      <c r="J76" s="68">
        <v>1.1861111111111111</v>
      </c>
      <c r="K76" s="67" t="s">
        <v>1718</v>
      </c>
      <c r="L76" s="67" t="s">
        <v>1197</v>
      </c>
      <c r="M76" s="67" t="s">
        <v>1211</v>
      </c>
    </row>
    <row r="77" spans="1:13" ht="12" customHeight="1" x14ac:dyDescent="0.2">
      <c r="A77" s="78">
        <v>231800</v>
      </c>
      <c r="B77" s="67" t="s">
        <v>130</v>
      </c>
      <c r="C77" s="67" t="s">
        <v>1196</v>
      </c>
      <c r="D77" s="67" t="s">
        <v>1197</v>
      </c>
      <c r="E77" s="67" t="s">
        <v>1211</v>
      </c>
      <c r="F77" s="67" t="s">
        <v>1590</v>
      </c>
      <c r="G77" s="67" t="s">
        <v>8</v>
      </c>
      <c r="H77" s="68">
        <v>1.1847222222222222</v>
      </c>
      <c r="I77" s="68"/>
      <c r="J77" s="68">
        <v>1.1847222222222222</v>
      </c>
      <c r="K77" s="67" t="s">
        <v>1718</v>
      </c>
      <c r="L77" s="67" t="s">
        <v>1197</v>
      </c>
      <c r="M77" s="67" t="s">
        <v>1211</v>
      </c>
    </row>
    <row r="78" spans="1:13" ht="12" customHeight="1" x14ac:dyDescent="0.2">
      <c r="A78" s="78">
        <v>201018</v>
      </c>
      <c r="B78" s="67" t="s">
        <v>131</v>
      </c>
      <c r="C78" s="67" t="s">
        <v>1196</v>
      </c>
      <c r="D78" s="67" t="s">
        <v>1197</v>
      </c>
      <c r="E78" s="67" t="s">
        <v>1233</v>
      </c>
      <c r="F78" s="67" t="s">
        <v>1586</v>
      </c>
      <c r="G78" s="67" t="s">
        <v>8</v>
      </c>
      <c r="H78" s="68">
        <v>0.87847222222222221</v>
      </c>
      <c r="I78" s="68"/>
      <c r="J78" s="68">
        <v>0.87847222222222221</v>
      </c>
      <c r="K78" s="67" t="s">
        <v>1724</v>
      </c>
      <c r="L78" s="67" t="s">
        <v>1197</v>
      </c>
      <c r="M78" s="67" t="s">
        <v>1233</v>
      </c>
    </row>
    <row r="79" spans="1:13" ht="12" customHeight="1" x14ac:dyDescent="0.2">
      <c r="A79" s="78">
        <v>235511</v>
      </c>
      <c r="B79" s="67" t="s">
        <v>132</v>
      </c>
      <c r="C79" s="67" t="s">
        <v>1196</v>
      </c>
      <c r="D79" s="67" t="s">
        <v>1197</v>
      </c>
      <c r="E79" s="67" t="s">
        <v>1223</v>
      </c>
      <c r="F79" s="67" t="s">
        <v>1592</v>
      </c>
      <c r="G79" s="67" t="s">
        <v>8</v>
      </c>
      <c r="H79" s="68">
        <v>0.79652777777777783</v>
      </c>
      <c r="I79" s="68"/>
      <c r="J79" s="68">
        <v>0.79652777777777783</v>
      </c>
      <c r="K79" s="67" t="s">
        <v>1718</v>
      </c>
      <c r="L79" s="67" t="s">
        <v>1197</v>
      </c>
      <c r="M79" s="67" t="s">
        <v>1223</v>
      </c>
    </row>
    <row r="80" spans="1:13" ht="12" customHeight="1" x14ac:dyDescent="0.2">
      <c r="A80" s="78">
        <v>232043</v>
      </c>
      <c r="B80" s="67" t="s">
        <v>133</v>
      </c>
      <c r="C80" s="67" t="s">
        <v>1196</v>
      </c>
      <c r="D80" s="67" t="s">
        <v>1197</v>
      </c>
      <c r="E80" s="67" t="s">
        <v>1210</v>
      </c>
      <c r="F80" s="67" t="s">
        <v>1589</v>
      </c>
      <c r="G80" s="67" t="s">
        <v>8</v>
      </c>
      <c r="H80" s="68">
        <v>0.76111111111111107</v>
      </c>
      <c r="I80" s="68"/>
      <c r="J80" s="68">
        <v>0.76111111111111107</v>
      </c>
      <c r="K80" s="67" t="s">
        <v>1718</v>
      </c>
      <c r="L80" s="67" t="s">
        <v>1197</v>
      </c>
      <c r="M80" s="67" t="s">
        <v>1210</v>
      </c>
    </row>
    <row r="81" spans="1:13" ht="12" customHeight="1" x14ac:dyDescent="0.2">
      <c r="A81" s="78">
        <v>235894</v>
      </c>
      <c r="B81" s="67" t="s">
        <v>134</v>
      </c>
      <c r="C81" s="67" t="s">
        <v>1196</v>
      </c>
      <c r="D81" s="67" t="s">
        <v>1197</v>
      </c>
      <c r="E81" s="67" t="s">
        <v>1209</v>
      </c>
      <c r="F81" s="67" t="s">
        <v>1588</v>
      </c>
      <c r="G81" s="67" t="s">
        <v>8</v>
      </c>
      <c r="H81" s="68">
        <v>0.72638888888888886</v>
      </c>
      <c r="I81" s="68"/>
      <c r="J81" s="68">
        <v>0.72638888888888886</v>
      </c>
      <c r="K81" s="67" t="s">
        <v>1718</v>
      </c>
      <c r="L81" s="67" t="s">
        <v>1197</v>
      </c>
      <c r="M81" s="67" t="s">
        <v>1209</v>
      </c>
    </row>
    <row r="82" spans="1:13" ht="12" customHeight="1" x14ac:dyDescent="0.2">
      <c r="A82" s="78">
        <v>202727</v>
      </c>
      <c r="B82" s="67" t="s">
        <v>135</v>
      </c>
      <c r="C82" s="67" t="s">
        <v>1196</v>
      </c>
      <c r="D82" s="67" t="s">
        <v>1197</v>
      </c>
      <c r="E82" s="67" t="s">
        <v>1219</v>
      </c>
      <c r="F82" s="67" t="s">
        <v>1590</v>
      </c>
      <c r="G82" s="67" t="s">
        <v>8</v>
      </c>
      <c r="H82" s="68">
        <v>0.71250000000000002</v>
      </c>
      <c r="I82" s="68"/>
      <c r="J82" s="68">
        <v>0.71250000000000002</v>
      </c>
      <c r="K82" s="67" t="s">
        <v>1720</v>
      </c>
      <c r="L82" s="67" t="s">
        <v>1197</v>
      </c>
      <c r="M82" s="67" t="s">
        <v>1219</v>
      </c>
    </row>
    <row r="83" spans="1:13" ht="12" customHeight="1" x14ac:dyDescent="0.2">
      <c r="A83" s="78">
        <v>232410</v>
      </c>
      <c r="B83" s="67" t="s">
        <v>136</v>
      </c>
      <c r="C83" s="67" t="s">
        <v>1196</v>
      </c>
      <c r="D83" s="67" t="s">
        <v>1197</v>
      </c>
      <c r="E83" s="67" t="s">
        <v>1234</v>
      </c>
      <c r="F83" s="67" t="s">
        <v>1586</v>
      </c>
      <c r="G83" s="67" t="s">
        <v>8</v>
      </c>
      <c r="H83" s="68">
        <v>0.70277777777777783</v>
      </c>
      <c r="I83" s="68"/>
      <c r="J83" s="68">
        <v>0.70277777777777783</v>
      </c>
      <c r="K83" s="67" t="s">
        <v>1719</v>
      </c>
      <c r="L83" s="67" t="s">
        <v>1197</v>
      </c>
      <c r="M83" s="67" t="s">
        <v>1234</v>
      </c>
    </row>
    <row r="84" spans="1:13" ht="12" customHeight="1" x14ac:dyDescent="0.2">
      <c r="A84" s="78">
        <v>220759</v>
      </c>
      <c r="B84" s="67" t="s">
        <v>137</v>
      </c>
      <c r="C84" s="67" t="s">
        <v>1196</v>
      </c>
      <c r="D84" s="67" t="s">
        <v>1197</v>
      </c>
      <c r="E84" s="67" t="s">
        <v>1232</v>
      </c>
      <c r="F84" s="67" t="s">
        <v>1588</v>
      </c>
      <c r="G84" s="67" t="s">
        <v>8</v>
      </c>
      <c r="H84" s="68">
        <v>0.64513888888888882</v>
      </c>
      <c r="I84" s="68"/>
      <c r="J84" s="68">
        <v>0.64513888888888882</v>
      </c>
      <c r="K84" s="67" t="s">
        <v>1720</v>
      </c>
      <c r="L84" s="67" t="s">
        <v>1197</v>
      </c>
      <c r="M84" s="67" t="s">
        <v>1232</v>
      </c>
    </row>
    <row r="85" spans="1:13" ht="12" customHeight="1" x14ac:dyDescent="0.2">
      <c r="A85" s="78">
        <v>231651</v>
      </c>
      <c r="B85" s="67" t="s">
        <v>138</v>
      </c>
      <c r="C85" s="67" t="s">
        <v>1196</v>
      </c>
      <c r="D85" s="67" t="s">
        <v>1197</v>
      </c>
      <c r="E85" s="67" t="s">
        <v>1212</v>
      </c>
      <c r="F85" s="67" t="s">
        <v>1587</v>
      </c>
      <c r="G85" s="67" t="s">
        <v>8</v>
      </c>
      <c r="H85" s="68">
        <v>0.58194444444444449</v>
      </c>
      <c r="I85" s="68"/>
      <c r="J85" s="68">
        <v>0.58194444444444449</v>
      </c>
      <c r="K85" s="67" t="s">
        <v>1720</v>
      </c>
      <c r="L85" s="67" t="s">
        <v>1197</v>
      </c>
      <c r="M85" s="67" t="s">
        <v>1212</v>
      </c>
    </row>
    <row r="86" spans="1:13" ht="12" customHeight="1" x14ac:dyDescent="0.2">
      <c r="A86" s="78">
        <v>219739</v>
      </c>
      <c r="B86" s="67" t="s">
        <v>139</v>
      </c>
      <c r="C86" s="67" t="s">
        <v>1196</v>
      </c>
      <c r="D86" s="67" t="s">
        <v>1197</v>
      </c>
      <c r="E86" s="67" t="s">
        <v>1219</v>
      </c>
      <c r="F86" s="67" t="s">
        <v>1590</v>
      </c>
      <c r="G86" s="67" t="s">
        <v>8</v>
      </c>
      <c r="H86" s="68">
        <v>0.49791666666666662</v>
      </c>
      <c r="I86" s="68"/>
      <c r="J86" s="68">
        <v>0.49791666666666662</v>
      </c>
      <c r="K86" s="67" t="s">
        <v>1720</v>
      </c>
      <c r="L86" s="67" t="s">
        <v>1197</v>
      </c>
      <c r="M86" s="67" t="s">
        <v>1219</v>
      </c>
    </row>
    <row r="87" spans="1:13" ht="12" customHeight="1" x14ac:dyDescent="0.2">
      <c r="A87" s="78">
        <v>231029</v>
      </c>
      <c r="B87" s="67" t="s">
        <v>140</v>
      </c>
      <c r="C87" s="67" t="s">
        <v>1196</v>
      </c>
      <c r="D87" s="67" t="s">
        <v>1197</v>
      </c>
      <c r="E87" s="67" t="s">
        <v>1209</v>
      </c>
      <c r="F87" s="67" t="s">
        <v>1588</v>
      </c>
      <c r="G87" s="67" t="s">
        <v>8</v>
      </c>
      <c r="H87" s="68">
        <v>0.26874999999999999</v>
      </c>
      <c r="I87" s="68"/>
      <c r="J87" s="68">
        <v>0.26874999999999999</v>
      </c>
      <c r="K87" s="67" t="s">
        <v>1718</v>
      </c>
      <c r="L87" s="67" t="s">
        <v>1197</v>
      </c>
      <c r="M87" s="67" t="s">
        <v>1209</v>
      </c>
    </row>
    <row r="88" spans="1:13" ht="12" customHeight="1" x14ac:dyDescent="0.2">
      <c r="A88" s="78">
        <v>231924</v>
      </c>
      <c r="B88" s="67" t="s">
        <v>141</v>
      </c>
      <c r="C88" s="67" t="s">
        <v>1196</v>
      </c>
      <c r="D88" s="67" t="s">
        <v>1197</v>
      </c>
      <c r="E88" s="67" t="s">
        <v>1222</v>
      </c>
      <c r="F88" s="67" t="s">
        <v>1591</v>
      </c>
      <c r="G88" s="67" t="s">
        <v>8</v>
      </c>
      <c r="H88" s="68">
        <v>0.20208333333333331</v>
      </c>
      <c r="I88" s="68"/>
      <c r="J88" s="68">
        <v>0.20208333333333331</v>
      </c>
      <c r="K88" s="67" t="s">
        <v>1718</v>
      </c>
      <c r="L88" s="67" t="s">
        <v>1197</v>
      </c>
      <c r="M88" s="67" t="s">
        <v>1222</v>
      </c>
    </row>
    <row r="89" spans="1:13" ht="12" customHeight="1" x14ac:dyDescent="0.2">
      <c r="A89" s="78">
        <v>220345</v>
      </c>
      <c r="B89" s="67" t="s">
        <v>142</v>
      </c>
      <c r="C89" s="67" t="s">
        <v>1196</v>
      </c>
      <c r="D89" s="67" t="s">
        <v>1197</v>
      </c>
      <c r="E89" s="67" t="s">
        <v>1206</v>
      </c>
      <c r="F89" s="67" t="s">
        <v>1585</v>
      </c>
      <c r="G89" s="67" t="s">
        <v>8</v>
      </c>
      <c r="H89" s="68">
        <v>0.20138888888888887</v>
      </c>
      <c r="I89" s="68"/>
      <c r="J89" s="68">
        <v>0.20138888888888887</v>
      </c>
      <c r="K89" s="67" t="s">
        <v>1718</v>
      </c>
      <c r="L89" s="67" t="s">
        <v>1197</v>
      </c>
      <c r="M89" s="67" t="s">
        <v>1206</v>
      </c>
    </row>
    <row r="90" spans="1:13" ht="12" customHeight="1" x14ac:dyDescent="0.2">
      <c r="A90" s="78">
        <v>237832</v>
      </c>
      <c r="B90" s="67" t="s">
        <v>143</v>
      </c>
      <c r="C90" s="67" t="s">
        <v>1196</v>
      </c>
      <c r="D90" s="67" t="s">
        <v>1197</v>
      </c>
      <c r="E90" s="67" t="s">
        <v>1230</v>
      </c>
      <c r="F90" s="67" t="s">
        <v>1596</v>
      </c>
      <c r="G90" s="67" t="s">
        <v>8</v>
      </c>
      <c r="H90" s="68">
        <v>0.19097222222222221</v>
      </c>
      <c r="I90" s="68"/>
      <c r="J90" s="68">
        <v>0.19097222222222221</v>
      </c>
      <c r="K90" s="67" t="s">
        <v>1718</v>
      </c>
      <c r="L90" s="67" t="s">
        <v>1197</v>
      </c>
      <c r="M90" s="67" t="s">
        <v>1230</v>
      </c>
    </row>
    <row r="91" spans="1:13" ht="12" customHeight="1" x14ac:dyDescent="0.2">
      <c r="A91" s="78">
        <v>216584</v>
      </c>
      <c r="B91" s="67" t="s">
        <v>144</v>
      </c>
      <c r="C91" s="67" t="s">
        <v>1196</v>
      </c>
      <c r="D91" s="67" t="s">
        <v>1197</v>
      </c>
      <c r="E91" s="67" t="s">
        <v>1226</v>
      </c>
      <c r="F91" s="67" t="s">
        <v>1586</v>
      </c>
      <c r="G91" s="67" t="s">
        <v>8</v>
      </c>
      <c r="H91" s="68">
        <v>0.18194444444444444</v>
      </c>
      <c r="I91" s="68"/>
      <c r="J91" s="68">
        <v>0.18194444444444444</v>
      </c>
      <c r="K91" s="67" t="s">
        <v>1724</v>
      </c>
      <c r="L91" s="67" t="s">
        <v>1197</v>
      </c>
      <c r="M91" s="67" t="s">
        <v>1226</v>
      </c>
    </row>
    <row r="92" spans="1:13" ht="12" customHeight="1" x14ac:dyDescent="0.2">
      <c r="A92" s="78">
        <v>220936</v>
      </c>
      <c r="B92" s="67" t="s">
        <v>145</v>
      </c>
      <c r="C92" s="67" t="s">
        <v>1196</v>
      </c>
      <c r="D92" s="67" t="s">
        <v>1197</v>
      </c>
      <c r="E92" s="67" t="s">
        <v>1215</v>
      </c>
      <c r="F92" s="67" t="s">
        <v>1592</v>
      </c>
      <c r="G92" s="67" t="s">
        <v>8</v>
      </c>
      <c r="H92" s="68">
        <v>0.17777777777777778</v>
      </c>
      <c r="I92" s="68"/>
      <c r="J92" s="68">
        <v>0.17777777777777778</v>
      </c>
      <c r="K92" s="67" t="s">
        <v>1720</v>
      </c>
      <c r="L92" s="67" t="s">
        <v>1197</v>
      </c>
      <c r="M92" s="67" t="s">
        <v>1215</v>
      </c>
    </row>
    <row r="93" spans="1:13" ht="12" customHeight="1" x14ac:dyDescent="0.2">
      <c r="A93" s="78">
        <v>223261</v>
      </c>
      <c r="B93" s="67" t="s">
        <v>146</v>
      </c>
      <c r="C93" s="67" t="s">
        <v>1196</v>
      </c>
      <c r="D93" s="67" t="s">
        <v>1197</v>
      </c>
      <c r="E93" s="67" t="s">
        <v>1208</v>
      </c>
      <c r="F93" s="67" t="s">
        <v>1587</v>
      </c>
      <c r="G93" s="67" t="s">
        <v>8</v>
      </c>
      <c r="H93" s="68">
        <v>0.17777777777777778</v>
      </c>
      <c r="I93" s="68"/>
      <c r="J93" s="68">
        <v>0.17777777777777778</v>
      </c>
      <c r="K93" s="67" t="s">
        <v>1718</v>
      </c>
      <c r="L93" s="67" t="s">
        <v>1197</v>
      </c>
      <c r="M93" s="67" t="s">
        <v>1208</v>
      </c>
    </row>
    <row r="94" spans="1:13" ht="12" customHeight="1" x14ac:dyDescent="0.2">
      <c r="A94" s="78">
        <v>222715</v>
      </c>
      <c r="B94" s="67" t="s">
        <v>147</v>
      </c>
      <c r="C94" s="67" t="s">
        <v>1196</v>
      </c>
      <c r="D94" s="67" t="s">
        <v>1197</v>
      </c>
      <c r="E94" s="67" t="s">
        <v>1228</v>
      </c>
      <c r="F94" s="67" t="s">
        <v>1589</v>
      </c>
      <c r="G94" s="67" t="s">
        <v>8</v>
      </c>
      <c r="H94" s="68">
        <v>9.5138888888888884E-2</v>
      </c>
      <c r="I94" s="68"/>
      <c r="J94" s="68">
        <v>9.5138888888888884E-2</v>
      </c>
      <c r="K94" s="67" t="s">
        <v>1721</v>
      </c>
      <c r="L94" s="67" t="s">
        <v>1197</v>
      </c>
      <c r="M94" s="67" t="s">
        <v>1228</v>
      </c>
    </row>
    <row r="95" spans="1:13" ht="12" customHeight="1" x14ac:dyDescent="0.2">
      <c r="A95" s="78">
        <v>222408</v>
      </c>
      <c r="B95" s="67" t="s">
        <v>148</v>
      </c>
      <c r="C95" s="67" t="s">
        <v>1196</v>
      </c>
      <c r="D95" s="67" t="s">
        <v>1197</v>
      </c>
      <c r="E95" s="67" t="s">
        <v>1235</v>
      </c>
      <c r="F95" s="67" t="s">
        <v>1596</v>
      </c>
      <c r="G95" s="67" t="s">
        <v>8</v>
      </c>
      <c r="H95" s="68">
        <v>8.819444444444445E-2</v>
      </c>
      <c r="I95" s="68"/>
      <c r="J95" s="68">
        <v>8.819444444444445E-2</v>
      </c>
      <c r="K95" s="67" t="s">
        <v>1720</v>
      </c>
      <c r="L95" s="67" t="s">
        <v>1197</v>
      </c>
      <c r="M95" s="67" t="s">
        <v>1235</v>
      </c>
    </row>
    <row r="96" spans="1:13" ht="12" customHeight="1" x14ac:dyDescent="0.2">
      <c r="A96" s="78">
        <v>230437</v>
      </c>
      <c r="B96" s="67" t="s">
        <v>149</v>
      </c>
      <c r="C96" s="67" t="s">
        <v>1196</v>
      </c>
      <c r="D96" s="67" t="s">
        <v>1197</v>
      </c>
      <c r="E96" s="67" t="s">
        <v>1208</v>
      </c>
      <c r="F96" s="67" t="s">
        <v>1587</v>
      </c>
      <c r="G96" s="67" t="s">
        <v>8</v>
      </c>
      <c r="H96" s="68">
        <v>7.1527777777777787E-2</v>
      </c>
      <c r="I96" s="68"/>
      <c r="J96" s="68">
        <v>7.1527777777777787E-2</v>
      </c>
      <c r="K96" s="67" t="s">
        <v>1718</v>
      </c>
      <c r="L96" s="67" t="s">
        <v>1197</v>
      </c>
      <c r="M96" s="67" t="s">
        <v>1208</v>
      </c>
    </row>
    <row r="97" spans="1:13" ht="12" customHeight="1" x14ac:dyDescent="0.2">
      <c r="A97" s="78">
        <v>237886</v>
      </c>
      <c r="B97" s="67" t="s">
        <v>150</v>
      </c>
      <c r="C97" s="67" t="s">
        <v>1196</v>
      </c>
      <c r="D97" s="67" t="s">
        <v>1197</v>
      </c>
      <c r="E97" s="67" t="s">
        <v>1208</v>
      </c>
      <c r="F97" s="67" t="s">
        <v>1587</v>
      </c>
      <c r="G97" s="67" t="s">
        <v>8</v>
      </c>
      <c r="H97" s="68">
        <v>5.486111111111111E-2</v>
      </c>
      <c r="I97" s="68"/>
      <c r="J97" s="68">
        <v>5.486111111111111E-2</v>
      </c>
      <c r="K97" s="67" t="s">
        <v>1718</v>
      </c>
      <c r="L97" s="67" t="s">
        <v>1197</v>
      </c>
      <c r="M97" s="67" t="s">
        <v>1208</v>
      </c>
    </row>
    <row r="98" spans="1:13" ht="12" customHeight="1" x14ac:dyDescent="0.2">
      <c r="A98" s="78">
        <v>237422</v>
      </c>
      <c r="B98" s="67" t="s">
        <v>151</v>
      </c>
      <c r="C98" s="67" t="s">
        <v>1196</v>
      </c>
      <c r="D98" s="67" t="s">
        <v>1197</v>
      </c>
      <c r="E98" s="67" t="s">
        <v>1214</v>
      </c>
      <c r="F98" s="67" t="s">
        <v>1591</v>
      </c>
      <c r="G98" s="67" t="s">
        <v>8</v>
      </c>
      <c r="H98" s="68">
        <v>4.9999999999999996E-2</v>
      </c>
      <c r="I98" s="68"/>
      <c r="J98" s="68">
        <v>4.9999999999999996E-2</v>
      </c>
      <c r="K98" s="67" t="s">
        <v>1720</v>
      </c>
      <c r="L98" s="67" t="s">
        <v>1197</v>
      </c>
      <c r="M98" s="67" t="s">
        <v>1214</v>
      </c>
    </row>
    <row r="99" spans="1:13" ht="12" customHeight="1" x14ac:dyDescent="0.2">
      <c r="A99" s="78">
        <v>234931</v>
      </c>
      <c r="B99" s="67" t="s">
        <v>152</v>
      </c>
      <c r="C99" s="67" t="s">
        <v>1196</v>
      </c>
      <c r="D99" s="67" t="s">
        <v>1197</v>
      </c>
      <c r="E99" s="67" t="s">
        <v>1211</v>
      </c>
      <c r="F99" s="67" t="s">
        <v>1590</v>
      </c>
      <c r="G99" s="67" t="s">
        <v>8</v>
      </c>
      <c r="H99" s="68">
        <v>4.7222222222222221E-2</v>
      </c>
      <c r="I99" s="68"/>
      <c r="J99" s="68">
        <v>4.7222222222222221E-2</v>
      </c>
      <c r="K99" s="67" t="s">
        <v>1718</v>
      </c>
      <c r="L99" s="67" t="s">
        <v>1197</v>
      </c>
      <c r="M99" s="67" t="s">
        <v>1211</v>
      </c>
    </row>
    <row r="100" spans="1:13" ht="12" customHeight="1" x14ac:dyDescent="0.2">
      <c r="A100" s="78">
        <v>232961</v>
      </c>
      <c r="B100" s="67" t="s">
        <v>153</v>
      </c>
      <c r="C100" s="67" t="s">
        <v>1196</v>
      </c>
      <c r="D100" s="67" t="s">
        <v>1197</v>
      </c>
      <c r="E100" s="67" t="s">
        <v>1222</v>
      </c>
      <c r="F100" s="67" t="s">
        <v>1591</v>
      </c>
      <c r="G100" s="67" t="s">
        <v>8</v>
      </c>
      <c r="H100" s="68">
        <v>2.4999999999999998E-2</v>
      </c>
      <c r="I100" s="68"/>
      <c r="J100" s="68">
        <v>2.4999999999999998E-2</v>
      </c>
      <c r="K100" s="67" t="s">
        <v>1718</v>
      </c>
      <c r="L100" s="67" t="s">
        <v>1197</v>
      </c>
      <c r="M100" s="67" t="s">
        <v>1222</v>
      </c>
    </row>
    <row r="101" spans="1:13" ht="12" customHeight="1" x14ac:dyDescent="0.2">
      <c r="A101" s="78">
        <v>235978</v>
      </c>
      <c r="B101" s="67" t="s">
        <v>154</v>
      </c>
      <c r="C101" s="67" t="s">
        <v>1196</v>
      </c>
      <c r="D101" s="67" t="s">
        <v>1197</v>
      </c>
      <c r="E101" s="67" t="s">
        <v>1230</v>
      </c>
      <c r="F101" s="67" t="s">
        <v>1596</v>
      </c>
      <c r="G101" s="67" t="s">
        <v>8</v>
      </c>
      <c r="H101" s="68">
        <v>2.4305555555555556E-2</v>
      </c>
      <c r="I101" s="68"/>
      <c r="J101" s="68">
        <v>2.4305555555555556E-2</v>
      </c>
      <c r="K101" s="67" t="s">
        <v>1718</v>
      </c>
      <c r="L101" s="67" t="s">
        <v>1197</v>
      </c>
      <c r="M101" s="67" t="s">
        <v>1230</v>
      </c>
    </row>
    <row r="102" spans="1:13" ht="12" customHeight="1" x14ac:dyDescent="0.2">
      <c r="A102" s="78">
        <v>225515</v>
      </c>
      <c r="B102" s="67" t="s">
        <v>155</v>
      </c>
      <c r="C102" s="67" t="s">
        <v>1196</v>
      </c>
      <c r="D102" s="67" t="s">
        <v>1197</v>
      </c>
      <c r="E102" s="67" t="s">
        <v>1210</v>
      </c>
      <c r="F102" s="67" t="s">
        <v>1589</v>
      </c>
      <c r="G102" s="67" t="s">
        <v>8</v>
      </c>
      <c r="H102" s="68">
        <v>2.0833333333333332E-2</v>
      </c>
      <c r="I102" s="68"/>
      <c r="J102" s="68">
        <v>2.0833333333333332E-2</v>
      </c>
      <c r="K102" s="67" t="s">
        <v>1718</v>
      </c>
      <c r="L102" s="67" t="s">
        <v>1197</v>
      </c>
      <c r="M102" s="67" t="s">
        <v>1210</v>
      </c>
    </row>
    <row r="103" spans="1:13" ht="12" customHeight="1" x14ac:dyDescent="0.2">
      <c r="A103" s="78">
        <v>236141</v>
      </c>
      <c r="B103" s="67" t="s">
        <v>156</v>
      </c>
      <c r="C103" s="67" t="s">
        <v>1196</v>
      </c>
      <c r="D103" s="67" t="s">
        <v>1197</v>
      </c>
      <c r="E103" s="67" t="s">
        <v>1214</v>
      </c>
      <c r="F103" s="67" t="s">
        <v>1591</v>
      </c>
      <c r="G103" s="67" t="s">
        <v>8</v>
      </c>
      <c r="H103" s="68">
        <v>1.8749999999999999E-2</v>
      </c>
      <c r="I103" s="68"/>
      <c r="J103" s="68">
        <v>1.8749999999999999E-2</v>
      </c>
      <c r="K103" s="67" t="s">
        <v>1720</v>
      </c>
      <c r="L103" s="67" t="s">
        <v>1197</v>
      </c>
      <c r="M103" s="67" t="s">
        <v>1214</v>
      </c>
    </row>
    <row r="104" spans="1:13" ht="12" customHeight="1" x14ac:dyDescent="0.2">
      <c r="A104" s="78">
        <v>235586</v>
      </c>
      <c r="B104" s="67" t="s">
        <v>157</v>
      </c>
      <c r="C104" s="67" t="s">
        <v>1196</v>
      </c>
      <c r="D104" s="67" t="s">
        <v>1197</v>
      </c>
      <c r="E104" s="67" t="s">
        <v>1236</v>
      </c>
      <c r="F104" s="67" t="s">
        <v>1586</v>
      </c>
      <c r="G104" s="67" t="s">
        <v>8</v>
      </c>
      <c r="H104" s="68">
        <v>1.5972222222222224E-2</v>
      </c>
      <c r="I104" s="68"/>
      <c r="J104" s="68">
        <v>1.5972222222222224E-2</v>
      </c>
      <c r="K104" s="67" t="s">
        <v>1719</v>
      </c>
      <c r="L104" s="67" t="s">
        <v>1197</v>
      </c>
      <c r="M104" s="67" t="s">
        <v>1236</v>
      </c>
    </row>
    <row r="105" spans="1:13" ht="12" customHeight="1" x14ac:dyDescent="0.2">
      <c r="A105" s="78">
        <v>203299</v>
      </c>
      <c r="B105" s="67" t="s">
        <v>158</v>
      </c>
      <c r="C105" s="67" t="s">
        <v>1196</v>
      </c>
      <c r="D105" s="67" t="s">
        <v>1197</v>
      </c>
      <c r="E105" s="67" t="s">
        <v>1237</v>
      </c>
      <c r="F105" s="67" t="s">
        <v>1586</v>
      </c>
      <c r="G105" s="67" t="s">
        <v>8</v>
      </c>
      <c r="H105" s="68">
        <v>1.3194444444444444E-2</v>
      </c>
      <c r="I105" s="68"/>
      <c r="J105" s="68">
        <v>1.3194444444444444E-2</v>
      </c>
      <c r="K105" s="67" t="s">
        <v>1719</v>
      </c>
      <c r="L105" s="67" t="s">
        <v>1197</v>
      </c>
      <c r="M105" s="67" t="s">
        <v>1237</v>
      </c>
    </row>
    <row r="106" spans="1:13" ht="12" customHeight="1" x14ac:dyDescent="0.2">
      <c r="A106" s="78">
        <v>237567</v>
      </c>
      <c r="B106" s="67" t="s">
        <v>159</v>
      </c>
      <c r="C106" s="67" t="s">
        <v>1196</v>
      </c>
      <c r="D106" s="67" t="s">
        <v>1198</v>
      </c>
      <c r="E106" s="67" t="s">
        <v>1238</v>
      </c>
      <c r="F106" s="67" t="s">
        <v>1597</v>
      </c>
      <c r="G106" s="67" t="s">
        <v>7</v>
      </c>
      <c r="H106" s="68">
        <v>0.4770833333333333</v>
      </c>
      <c r="I106" s="68">
        <v>0.4770833333333333</v>
      </c>
      <c r="J106" s="68"/>
      <c r="K106" s="67" t="s">
        <v>1718</v>
      </c>
      <c r="L106" s="67" t="s">
        <v>1198</v>
      </c>
      <c r="M106" s="67" t="s">
        <v>1238</v>
      </c>
    </row>
    <row r="107" spans="1:13" ht="12" customHeight="1" x14ac:dyDescent="0.2">
      <c r="A107" s="78">
        <v>230275</v>
      </c>
      <c r="B107" s="67" t="s">
        <v>160</v>
      </c>
      <c r="C107" s="67" t="s">
        <v>1196</v>
      </c>
      <c r="D107" s="67" t="s">
        <v>1198</v>
      </c>
      <c r="E107" s="67" t="s">
        <v>1239</v>
      </c>
      <c r="F107" s="67" t="s">
        <v>1598</v>
      </c>
      <c r="G107" s="67" t="s">
        <v>7</v>
      </c>
      <c r="H107" s="68">
        <v>0.19652777777777777</v>
      </c>
      <c r="I107" s="68">
        <v>0.19652777777777777</v>
      </c>
      <c r="J107" s="68"/>
      <c r="K107" s="67" t="s">
        <v>1719</v>
      </c>
      <c r="L107" s="67" t="s">
        <v>1198</v>
      </c>
      <c r="M107" s="67" t="s">
        <v>1239</v>
      </c>
    </row>
    <row r="108" spans="1:13" ht="12" customHeight="1" x14ac:dyDescent="0.2">
      <c r="A108" s="78">
        <v>235485</v>
      </c>
      <c r="B108" s="67" t="s">
        <v>161</v>
      </c>
      <c r="C108" s="67" t="s">
        <v>1196</v>
      </c>
      <c r="D108" s="67" t="s">
        <v>1198</v>
      </c>
      <c r="E108" s="67" t="s">
        <v>1240</v>
      </c>
      <c r="F108" s="67" t="s">
        <v>1598</v>
      </c>
      <c r="G108" s="67" t="s">
        <v>7</v>
      </c>
      <c r="H108" s="68">
        <v>9.930555555555555E-2</v>
      </c>
      <c r="I108" s="68">
        <v>9.930555555555555E-2</v>
      </c>
      <c r="J108" s="68"/>
      <c r="K108" s="67" t="s">
        <v>1719</v>
      </c>
      <c r="L108" s="67" t="s">
        <v>1198</v>
      </c>
      <c r="M108" s="67" t="s">
        <v>1240</v>
      </c>
    </row>
    <row r="109" spans="1:13" ht="12" customHeight="1" x14ac:dyDescent="0.2">
      <c r="A109" s="78">
        <v>225540</v>
      </c>
      <c r="B109" s="67" t="s">
        <v>162</v>
      </c>
      <c r="C109" s="67" t="s">
        <v>1196</v>
      </c>
      <c r="D109" s="67" t="s">
        <v>1198</v>
      </c>
      <c r="E109" s="67" t="s">
        <v>1241</v>
      </c>
      <c r="F109" s="67" t="s">
        <v>1599</v>
      </c>
      <c r="G109" s="67" t="s">
        <v>7</v>
      </c>
      <c r="H109" s="68">
        <v>3.7784722222222222</v>
      </c>
      <c r="I109" s="68">
        <v>3.7784722222222222</v>
      </c>
      <c r="J109" s="68"/>
      <c r="K109" s="67" t="s">
        <v>1718</v>
      </c>
      <c r="L109" s="67" t="s">
        <v>1198</v>
      </c>
      <c r="M109" s="67" t="s">
        <v>1241</v>
      </c>
    </row>
    <row r="110" spans="1:13" ht="12" customHeight="1" x14ac:dyDescent="0.2">
      <c r="A110" s="78">
        <v>235902</v>
      </c>
      <c r="B110" s="67" t="s">
        <v>163</v>
      </c>
      <c r="C110" s="67" t="s">
        <v>1196</v>
      </c>
      <c r="D110" s="67" t="s">
        <v>1198</v>
      </c>
      <c r="E110" s="67" t="s">
        <v>1242</v>
      </c>
      <c r="F110" s="67" t="s">
        <v>1600</v>
      </c>
      <c r="G110" s="67" t="s">
        <v>7</v>
      </c>
      <c r="H110" s="68">
        <v>0.84097222222222223</v>
      </c>
      <c r="I110" s="68">
        <v>0.84097222222222223</v>
      </c>
      <c r="J110" s="68"/>
      <c r="K110" s="67" t="s">
        <v>1718</v>
      </c>
      <c r="L110" s="67" t="s">
        <v>1198</v>
      </c>
      <c r="M110" s="67" t="s">
        <v>1242</v>
      </c>
    </row>
    <row r="111" spans="1:13" ht="12" customHeight="1" x14ac:dyDescent="0.2">
      <c r="A111" s="78">
        <v>216610</v>
      </c>
      <c r="B111" s="67" t="s">
        <v>164</v>
      </c>
      <c r="C111" s="67" t="s">
        <v>1196</v>
      </c>
      <c r="D111" s="67" t="s">
        <v>1198</v>
      </c>
      <c r="E111" s="67" t="s">
        <v>1243</v>
      </c>
      <c r="F111" s="67" t="s">
        <v>1598</v>
      </c>
      <c r="G111" s="67" t="s">
        <v>7</v>
      </c>
      <c r="H111" s="68">
        <v>0.16666666666666666</v>
      </c>
      <c r="I111" s="68">
        <v>0.16666666666666666</v>
      </c>
      <c r="J111" s="68"/>
      <c r="K111" s="67" t="s">
        <v>1726</v>
      </c>
      <c r="L111" s="67" t="s">
        <v>1198</v>
      </c>
      <c r="M111" s="67" t="s">
        <v>1243</v>
      </c>
    </row>
    <row r="112" spans="1:13" ht="12" customHeight="1" x14ac:dyDescent="0.2">
      <c r="A112" s="78">
        <v>218528</v>
      </c>
      <c r="B112" s="67" t="s">
        <v>165</v>
      </c>
      <c r="C112" s="67" t="s">
        <v>1196</v>
      </c>
      <c r="D112" s="67" t="s">
        <v>1198</v>
      </c>
      <c r="E112" s="67" t="s">
        <v>1244</v>
      </c>
      <c r="F112" s="67" t="s">
        <v>1601</v>
      </c>
      <c r="G112" s="67" t="s">
        <v>7</v>
      </c>
      <c r="H112" s="68">
        <v>2.7354166666666666</v>
      </c>
      <c r="I112" s="68">
        <v>2.7354166666666666</v>
      </c>
      <c r="J112" s="68"/>
      <c r="K112" s="67" t="s">
        <v>1720</v>
      </c>
      <c r="L112" s="67" t="s">
        <v>1198</v>
      </c>
      <c r="M112" s="67" t="s">
        <v>1244</v>
      </c>
    </row>
    <row r="113" spans="1:13" ht="12" customHeight="1" x14ac:dyDescent="0.2">
      <c r="A113" s="78">
        <v>235498</v>
      </c>
      <c r="B113" s="67" t="s">
        <v>166</v>
      </c>
      <c r="C113" s="67" t="s">
        <v>1196</v>
      </c>
      <c r="D113" s="67" t="s">
        <v>1198</v>
      </c>
      <c r="E113" s="67" t="s">
        <v>1242</v>
      </c>
      <c r="F113" s="67" t="s">
        <v>1600</v>
      </c>
      <c r="G113" s="67" t="s">
        <v>7</v>
      </c>
      <c r="H113" s="68">
        <v>1.9333333333333331</v>
      </c>
      <c r="I113" s="68">
        <v>1.9333333333333331</v>
      </c>
      <c r="J113" s="68"/>
      <c r="K113" s="67" t="s">
        <v>1718</v>
      </c>
      <c r="L113" s="67" t="s">
        <v>1198</v>
      </c>
      <c r="M113" s="67" t="s">
        <v>1242</v>
      </c>
    </row>
    <row r="114" spans="1:13" ht="12" customHeight="1" x14ac:dyDescent="0.2">
      <c r="A114" s="78">
        <v>201881</v>
      </c>
      <c r="B114" s="67" t="s">
        <v>167</v>
      </c>
      <c r="C114" s="67" t="s">
        <v>1196</v>
      </c>
      <c r="D114" s="67" t="s">
        <v>1198</v>
      </c>
      <c r="E114" s="67" t="s">
        <v>1245</v>
      </c>
      <c r="F114" s="67" t="s">
        <v>1602</v>
      </c>
      <c r="G114" s="67" t="s">
        <v>7</v>
      </c>
      <c r="H114" s="68">
        <v>0.66666666666666663</v>
      </c>
      <c r="I114" s="68">
        <v>0.66666666666666663</v>
      </c>
      <c r="J114" s="68"/>
      <c r="K114" s="67" t="s">
        <v>1721</v>
      </c>
      <c r="L114" s="67" t="s">
        <v>1198</v>
      </c>
      <c r="M114" s="67" t="s">
        <v>1245</v>
      </c>
    </row>
    <row r="115" spans="1:13" ht="12" customHeight="1" x14ac:dyDescent="0.2">
      <c r="A115" s="78">
        <v>224507</v>
      </c>
      <c r="B115" s="67" t="s">
        <v>168</v>
      </c>
      <c r="C115" s="67" t="s">
        <v>1196</v>
      </c>
      <c r="D115" s="67" t="s">
        <v>1198</v>
      </c>
      <c r="E115" s="67" t="s">
        <v>1242</v>
      </c>
      <c r="F115" s="67" t="s">
        <v>1600</v>
      </c>
      <c r="G115" s="67" t="s">
        <v>7</v>
      </c>
      <c r="H115" s="68">
        <v>0.51736111111111105</v>
      </c>
      <c r="I115" s="68">
        <v>0.51736111111111105</v>
      </c>
      <c r="J115" s="68"/>
      <c r="K115" s="67" t="s">
        <v>1718</v>
      </c>
      <c r="L115" s="67" t="s">
        <v>1198</v>
      </c>
      <c r="M115" s="67" t="s">
        <v>1242</v>
      </c>
    </row>
    <row r="116" spans="1:13" ht="12" customHeight="1" x14ac:dyDescent="0.2">
      <c r="A116" s="78">
        <v>238087</v>
      </c>
      <c r="B116" s="67" t="s">
        <v>169</v>
      </c>
      <c r="C116" s="67" t="s">
        <v>1196</v>
      </c>
      <c r="D116" s="67" t="s">
        <v>1198</v>
      </c>
      <c r="E116" s="67" t="s">
        <v>1246</v>
      </c>
      <c r="F116" s="67" t="s">
        <v>1603</v>
      </c>
      <c r="G116" s="67" t="s">
        <v>7</v>
      </c>
      <c r="H116" s="68">
        <v>0.33055555555555555</v>
      </c>
      <c r="I116" s="68">
        <v>0.33055555555555555</v>
      </c>
      <c r="J116" s="68"/>
      <c r="K116" s="67" t="s">
        <v>1718</v>
      </c>
      <c r="L116" s="67" t="s">
        <v>1198</v>
      </c>
      <c r="M116" s="67" t="s">
        <v>1246</v>
      </c>
    </row>
    <row r="117" spans="1:13" ht="12" customHeight="1" x14ac:dyDescent="0.2">
      <c r="A117" s="78">
        <v>230181</v>
      </c>
      <c r="B117" s="67" t="s">
        <v>170</v>
      </c>
      <c r="C117" s="67" t="s">
        <v>1196</v>
      </c>
      <c r="D117" s="67" t="s">
        <v>1198</v>
      </c>
      <c r="E117" s="67" t="s">
        <v>1247</v>
      </c>
      <c r="F117" s="67" t="s">
        <v>1601</v>
      </c>
      <c r="G117" s="67" t="s">
        <v>7</v>
      </c>
      <c r="H117" s="68">
        <v>2.8416666666666668</v>
      </c>
      <c r="I117" s="68">
        <v>2.8416666666666668</v>
      </c>
      <c r="J117" s="68"/>
      <c r="K117" s="67" t="s">
        <v>1718</v>
      </c>
      <c r="L117" s="67" t="s">
        <v>1198</v>
      </c>
      <c r="M117" s="67" t="s">
        <v>1247</v>
      </c>
    </row>
    <row r="118" spans="1:13" ht="12" customHeight="1" x14ac:dyDescent="0.2">
      <c r="A118" s="78">
        <v>237176</v>
      </c>
      <c r="B118" s="67" t="s">
        <v>171</v>
      </c>
      <c r="C118" s="67" t="s">
        <v>1196</v>
      </c>
      <c r="D118" s="67" t="s">
        <v>1198</v>
      </c>
      <c r="E118" s="67" t="s">
        <v>1248</v>
      </c>
      <c r="F118" s="67" t="s">
        <v>1599</v>
      </c>
      <c r="G118" s="67" t="s">
        <v>7</v>
      </c>
      <c r="H118" s="68">
        <v>15.293749999999999</v>
      </c>
      <c r="I118" s="68">
        <v>15.293749999999999</v>
      </c>
      <c r="J118" s="68"/>
      <c r="K118" s="67" t="s">
        <v>1720</v>
      </c>
      <c r="L118" s="67" t="s">
        <v>1198</v>
      </c>
      <c r="M118" s="67" t="s">
        <v>1248</v>
      </c>
    </row>
    <row r="119" spans="1:13" ht="12" customHeight="1" x14ac:dyDescent="0.2">
      <c r="A119" s="78">
        <v>230025</v>
      </c>
      <c r="B119" s="67" t="s">
        <v>172</v>
      </c>
      <c r="C119" s="67" t="s">
        <v>1196</v>
      </c>
      <c r="D119" s="67" t="s">
        <v>1198</v>
      </c>
      <c r="E119" s="67" t="s">
        <v>1249</v>
      </c>
      <c r="F119" s="67" t="s">
        <v>1604</v>
      </c>
      <c r="G119" s="67" t="s">
        <v>7</v>
      </c>
      <c r="H119" s="68">
        <v>0.77777777777777779</v>
      </c>
      <c r="I119" s="68">
        <v>0.77777777777777779</v>
      </c>
      <c r="J119" s="68"/>
      <c r="K119" s="67" t="s">
        <v>1718</v>
      </c>
      <c r="L119" s="67" t="s">
        <v>1198</v>
      </c>
      <c r="M119" s="67" t="s">
        <v>1249</v>
      </c>
    </row>
    <row r="120" spans="1:13" ht="12" customHeight="1" x14ac:dyDescent="0.2">
      <c r="A120" s="78">
        <v>225158</v>
      </c>
      <c r="B120" s="67" t="s">
        <v>173</v>
      </c>
      <c r="C120" s="67" t="s">
        <v>1196</v>
      </c>
      <c r="D120" s="67" t="s">
        <v>1198</v>
      </c>
      <c r="E120" s="67" t="s">
        <v>1247</v>
      </c>
      <c r="F120" s="67" t="s">
        <v>1601</v>
      </c>
      <c r="G120" s="67" t="s">
        <v>7</v>
      </c>
      <c r="H120" s="68">
        <v>1.0736111111111111</v>
      </c>
      <c r="I120" s="68">
        <v>1.0736111111111111</v>
      </c>
      <c r="J120" s="68"/>
      <c r="K120" s="67" t="s">
        <v>1718</v>
      </c>
      <c r="L120" s="67" t="s">
        <v>1198</v>
      </c>
      <c r="M120" s="67" t="s">
        <v>1247</v>
      </c>
    </row>
    <row r="121" spans="1:13" ht="12" customHeight="1" x14ac:dyDescent="0.2">
      <c r="A121" s="78">
        <v>233181</v>
      </c>
      <c r="B121" s="67" t="s">
        <v>174</v>
      </c>
      <c r="C121" s="67" t="s">
        <v>1196</v>
      </c>
      <c r="D121" s="67" t="s">
        <v>1198</v>
      </c>
      <c r="E121" s="67" t="s">
        <v>1245</v>
      </c>
      <c r="F121" s="67" t="s">
        <v>1602</v>
      </c>
      <c r="G121" s="67" t="s">
        <v>7</v>
      </c>
      <c r="H121" s="68">
        <v>0.42430555555555555</v>
      </c>
      <c r="I121" s="68">
        <v>0.42430555555555555</v>
      </c>
      <c r="J121" s="68"/>
      <c r="K121" s="67" t="s">
        <v>1720</v>
      </c>
      <c r="L121" s="67" t="s">
        <v>1198</v>
      </c>
      <c r="M121" s="67" t="s">
        <v>1245</v>
      </c>
    </row>
    <row r="122" spans="1:13" ht="12" customHeight="1" x14ac:dyDescent="0.2">
      <c r="A122" s="78">
        <v>229668</v>
      </c>
      <c r="B122" s="67" t="s">
        <v>175</v>
      </c>
      <c r="C122" s="67" t="s">
        <v>1196</v>
      </c>
      <c r="D122" s="67" t="s">
        <v>1198</v>
      </c>
      <c r="E122" s="67" t="s">
        <v>1244</v>
      </c>
      <c r="F122" s="67" t="s">
        <v>1601</v>
      </c>
      <c r="G122" s="67" t="s">
        <v>7</v>
      </c>
      <c r="H122" s="68">
        <v>4.2249999999999996</v>
      </c>
      <c r="I122" s="68">
        <v>4.2249999999999996</v>
      </c>
      <c r="J122" s="68"/>
      <c r="K122" s="67" t="s">
        <v>1720</v>
      </c>
      <c r="L122" s="67" t="s">
        <v>1198</v>
      </c>
      <c r="M122" s="67" t="s">
        <v>1244</v>
      </c>
    </row>
    <row r="123" spans="1:13" ht="12" customHeight="1" x14ac:dyDescent="0.2">
      <c r="A123" s="78">
        <v>236872</v>
      </c>
      <c r="B123" s="67" t="s">
        <v>176</v>
      </c>
      <c r="C123" s="67" t="s">
        <v>1196</v>
      </c>
      <c r="D123" s="67" t="s">
        <v>1198</v>
      </c>
      <c r="E123" s="67" t="s">
        <v>1245</v>
      </c>
      <c r="F123" s="67" t="s">
        <v>1602</v>
      </c>
      <c r="G123" s="67" t="s">
        <v>7</v>
      </c>
      <c r="H123" s="68">
        <v>0.68888888888888899</v>
      </c>
      <c r="I123" s="68">
        <v>0.68888888888888899</v>
      </c>
      <c r="J123" s="68"/>
      <c r="K123" s="67" t="s">
        <v>1720</v>
      </c>
      <c r="L123" s="67" t="s">
        <v>1198</v>
      </c>
      <c r="M123" s="67" t="s">
        <v>1245</v>
      </c>
    </row>
    <row r="124" spans="1:13" ht="12" customHeight="1" x14ac:dyDescent="0.2">
      <c r="A124" s="78">
        <v>237593</v>
      </c>
      <c r="B124" s="67" t="s">
        <v>177</v>
      </c>
      <c r="C124" s="67" t="s">
        <v>1196</v>
      </c>
      <c r="D124" s="67" t="s">
        <v>1198</v>
      </c>
      <c r="E124" s="67" t="s">
        <v>1250</v>
      </c>
      <c r="F124" s="67" t="s">
        <v>1605</v>
      </c>
      <c r="G124" s="67" t="s">
        <v>7</v>
      </c>
      <c r="H124" s="68">
        <v>0.16388888888888889</v>
      </c>
      <c r="I124" s="68">
        <v>0.16388888888888889</v>
      </c>
      <c r="J124" s="68"/>
      <c r="K124" s="67" t="s">
        <v>1718</v>
      </c>
      <c r="L124" s="67" t="s">
        <v>1198</v>
      </c>
      <c r="M124" s="67" t="s">
        <v>1250</v>
      </c>
    </row>
    <row r="125" spans="1:13" ht="12" customHeight="1" x14ac:dyDescent="0.2">
      <c r="A125" s="78">
        <v>236234</v>
      </c>
      <c r="B125" s="67" t="s">
        <v>178</v>
      </c>
      <c r="C125" s="67" t="s">
        <v>1196</v>
      </c>
      <c r="D125" s="67" t="s">
        <v>1198</v>
      </c>
      <c r="E125" s="67" t="s">
        <v>1241</v>
      </c>
      <c r="F125" s="67" t="s">
        <v>1599</v>
      </c>
      <c r="G125" s="67" t="s">
        <v>7</v>
      </c>
      <c r="H125" s="68">
        <v>7.5</v>
      </c>
      <c r="I125" s="68">
        <v>7.5</v>
      </c>
      <c r="J125" s="68"/>
      <c r="K125" s="67" t="s">
        <v>1718</v>
      </c>
      <c r="L125" s="67" t="s">
        <v>1198</v>
      </c>
      <c r="M125" s="67" t="s">
        <v>1241</v>
      </c>
    </row>
    <row r="126" spans="1:13" ht="12" customHeight="1" x14ac:dyDescent="0.2">
      <c r="A126" s="78">
        <v>202075</v>
      </c>
      <c r="B126" s="67" t="s">
        <v>179</v>
      </c>
      <c r="C126" s="67" t="s">
        <v>1196</v>
      </c>
      <c r="D126" s="67" t="s">
        <v>1198</v>
      </c>
      <c r="E126" s="67" t="s">
        <v>1250</v>
      </c>
      <c r="F126" s="67" t="s">
        <v>1605</v>
      </c>
      <c r="G126" s="67" t="s">
        <v>7</v>
      </c>
      <c r="H126" s="68">
        <v>7.6388888888888895E-2</v>
      </c>
      <c r="I126" s="68">
        <v>7.6388888888888895E-2</v>
      </c>
      <c r="J126" s="68"/>
      <c r="K126" s="67" t="s">
        <v>1718</v>
      </c>
      <c r="L126" s="67" t="s">
        <v>1198</v>
      </c>
      <c r="M126" s="67" t="s">
        <v>1250</v>
      </c>
    </row>
    <row r="127" spans="1:13" ht="12" customHeight="1" x14ac:dyDescent="0.2">
      <c r="A127" s="78">
        <v>219966</v>
      </c>
      <c r="B127" s="67" t="s">
        <v>180</v>
      </c>
      <c r="C127" s="67" t="s">
        <v>1196</v>
      </c>
      <c r="D127" s="67" t="s">
        <v>1198</v>
      </c>
      <c r="E127" s="67" t="s">
        <v>1251</v>
      </c>
      <c r="F127" s="67" t="s">
        <v>1597</v>
      </c>
      <c r="G127" s="67" t="s">
        <v>7</v>
      </c>
      <c r="H127" s="68">
        <v>0.77500000000000002</v>
      </c>
      <c r="I127" s="68">
        <v>0.77500000000000002</v>
      </c>
      <c r="J127" s="68"/>
      <c r="K127" s="67" t="s">
        <v>1721</v>
      </c>
      <c r="L127" s="67" t="s">
        <v>1198</v>
      </c>
      <c r="M127" s="67" t="s">
        <v>1251</v>
      </c>
    </row>
    <row r="128" spans="1:13" ht="12" customHeight="1" x14ac:dyDescent="0.2">
      <c r="A128" s="78">
        <v>201568</v>
      </c>
      <c r="B128" s="67" t="s">
        <v>181</v>
      </c>
      <c r="C128" s="67" t="s">
        <v>1196</v>
      </c>
      <c r="D128" s="67" t="s">
        <v>1198</v>
      </c>
      <c r="E128" s="67" t="s">
        <v>1241</v>
      </c>
      <c r="F128" s="67" t="s">
        <v>1599</v>
      </c>
      <c r="G128" s="67" t="s">
        <v>7</v>
      </c>
      <c r="H128" s="68">
        <v>3.5194444444444444</v>
      </c>
      <c r="I128" s="68">
        <v>3.5194444444444444</v>
      </c>
      <c r="J128" s="68"/>
      <c r="K128" s="67" t="s">
        <v>1718</v>
      </c>
      <c r="L128" s="67" t="s">
        <v>1198</v>
      </c>
      <c r="M128" s="67" t="s">
        <v>1241</v>
      </c>
    </row>
    <row r="129" spans="1:13" ht="12" customHeight="1" x14ac:dyDescent="0.2">
      <c r="A129" s="78">
        <v>224559</v>
      </c>
      <c r="B129" s="67" t="s">
        <v>182</v>
      </c>
      <c r="C129" s="67" t="s">
        <v>1196</v>
      </c>
      <c r="D129" s="67" t="s">
        <v>1198</v>
      </c>
      <c r="E129" s="67" t="s">
        <v>1248</v>
      </c>
      <c r="F129" s="67" t="s">
        <v>1599</v>
      </c>
      <c r="G129" s="67" t="s">
        <v>7</v>
      </c>
      <c r="H129" s="68">
        <v>1.0277777777777777</v>
      </c>
      <c r="I129" s="68">
        <v>1.0277777777777777</v>
      </c>
      <c r="J129" s="68"/>
      <c r="K129" s="67" t="s">
        <v>1721</v>
      </c>
      <c r="L129" s="67" t="s">
        <v>1198</v>
      </c>
      <c r="M129" s="67" t="s">
        <v>1248</v>
      </c>
    </row>
    <row r="130" spans="1:13" ht="12" customHeight="1" x14ac:dyDescent="0.2">
      <c r="A130" s="78">
        <v>232706</v>
      </c>
      <c r="B130" s="67" t="s">
        <v>183</v>
      </c>
      <c r="C130" s="67" t="s">
        <v>1196</v>
      </c>
      <c r="D130" s="67" t="s">
        <v>1198</v>
      </c>
      <c r="E130" s="67" t="s">
        <v>1252</v>
      </c>
      <c r="F130" s="67" t="s">
        <v>1602</v>
      </c>
      <c r="G130" s="67" t="s">
        <v>7</v>
      </c>
      <c r="H130" s="68">
        <v>0.47916666666666669</v>
      </c>
      <c r="I130" s="68">
        <v>0.47916666666666669</v>
      </c>
      <c r="J130" s="68"/>
      <c r="K130" s="67" t="s">
        <v>1718</v>
      </c>
      <c r="L130" s="67" t="s">
        <v>1198</v>
      </c>
      <c r="M130" s="67" t="s">
        <v>1252</v>
      </c>
    </row>
    <row r="131" spans="1:13" ht="12" customHeight="1" x14ac:dyDescent="0.2">
      <c r="A131" s="78">
        <v>222975</v>
      </c>
      <c r="B131" s="67" t="s">
        <v>184</v>
      </c>
      <c r="C131" s="67" t="s">
        <v>1196</v>
      </c>
      <c r="D131" s="67" t="s">
        <v>1198</v>
      </c>
      <c r="E131" s="67" t="s">
        <v>1253</v>
      </c>
      <c r="F131" s="67" t="s">
        <v>1598</v>
      </c>
      <c r="G131" s="67" t="s">
        <v>7</v>
      </c>
      <c r="H131" s="68">
        <v>0.14861111111111111</v>
      </c>
      <c r="I131" s="68">
        <v>0.14861111111111111</v>
      </c>
      <c r="J131" s="68"/>
      <c r="K131" s="67" t="s">
        <v>1719</v>
      </c>
      <c r="L131" s="67" t="s">
        <v>1198</v>
      </c>
      <c r="M131" s="67" t="s">
        <v>1253</v>
      </c>
    </row>
    <row r="132" spans="1:13" ht="12" customHeight="1" x14ac:dyDescent="0.2">
      <c r="A132" s="78">
        <v>236333</v>
      </c>
      <c r="B132" s="67" t="s">
        <v>185</v>
      </c>
      <c r="C132" s="67" t="s">
        <v>1196</v>
      </c>
      <c r="D132" s="67" t="s">
        <v>1198</v>
      </c>
      <c r="E132" s="67" t="s">
        <v>1247</v>
      </c>
      <c r="F132" s="67" t="s">
        <v>1601</v>
      </c>
      <c r="G132" s="67" t="s">
        <v>7</v>
      </c>
      <c r="H132" s="68">
        <v>0.31180555555555556</v>
      </c>
      <c r="I132" s="68">
        <v>0.31180555555555556</v>
      </c>
      <c r="J132" s="68"/>
      <c r="K132" s="67" t="s">
        <v>1718</v>
      </c>
      <c r="L132" s="67" t="s">
        <v>1198</v>
      </c>
      <c r="M132" s="67" t="s">
        <v>1247</v>
      </c>
    </row>
    <row r="133" spans="1:13" ht="12" customHeight="1" x14ac:dyDescent="0.2">
      <c r="A133" s="78">
        <v>237203</v>
      </c>
      <c r="B133" s="67" t="s">
        <v>186</v>
      </c>
      <c r="C133" s="67" t="s">
        <v>1196</v>
      </c>
      <c r="D133" s="67" t="s">
        <v>1198</v>
      </c>
      <c r="E133" s="67" t="s">
        <v>1254</v>
      </c>
      <c r="F133" s="67" t="s">
        <v>1606</v>
      </c>
      <c r="G133" s="67" t="s">
        <v>7</v>
      </c>
      <c r="H133" s="68">
        <v>7.8472222222222221E-2</v>
      </c>
      <c r="I133" s="68">
        <v>7.8472222222222221E-2</v>
      </c>
      <c r="J133" s="68"/>
      <c r="K133" s="67" t="s">
        <v>1720</v>
      </c>
      <c r="L133" s="67" t="s">
        <v>1198</v>
      </c>
      <c r="M133" s="67" t="s">
        <v>1254</v>
      </c>
    </row>
    <row r="134" spans="1:13" ht="12" customHeight="1" x14ac:dyDescent="0.2">
      <c r="A134" s="78">
        <v>236819</v>
      </c>
      <c r="B134" s="67" t="s">
        <v>187</v>
      </c>
      <c r="C134" s="67" t="s">
        <v>1196</v>
      </c>
      <c r="D134" s="67" t="s">
        <v>1198</v>
      </c>
      <c r="E134" s="67" t="s">
        <v>1238</v>
      </c>
      <c r="F134" s="67" t="s">
        <v>1597</v>
      </c>
      <c r="G134" s="67" t="s">
        <v>7</v>
      </c>
      <c r="H134" s="68">
        <v>4.8076388888888886</v>
      </c>
      <c r="I134" s="68">
        <v>4.8076388888888886</v>
      </c>
      <c r="J134" s="68"/>
      <c r="K134" s="67" t="s">
        <v>1718</v>
      </c>
      <c r="L134" s="67" t="s">
        <v>1198</v>
      </c>
      <c r="M134" s="67" t="s">
        <v>1238</v>
      </c>
    </row>
    <row r="135" spans="1:13" ht="12" customHeight="1" x14ac:dyDescent="0.2">
      <c r="A135" s="78">
        <v>202070</v>
      </c>
      <c r="B135" s="67" t="s">
        <v>188</v>
      </c>
      <c r="C135" s="67" t="s">
        <v>1196</v>
      </c>
      <c r="D135" s="67" t="s">
        <v>1198</v>
      </c>
      <c r="E135" s="67" t="s">
        <v>1255</v>
      </c>
      <c r="F135" s="67" t="s">
        <v>1605</v>
      </c>
      <c r="G135" s="67" t="s">
        <v>7</v>
      </c>
      <c r="H135" s="68">
        <v>0.26180555555555557</v>
      </c>
      <c r="I135" s="68">
        <v>0.26180555555555557</v>
      </c>
      <c r="J135" s="68"/>
      <c r="K135" s="67" t="s">
        <v>1721</v>
      </c>
      <c r="L135" s="67" t="s">
        <v>1198</v>
      </c>
      <c r="M135" s="67" t="s">
        <v>1255</v>
      </c>
    </row>
    <row r="136" spans="1:13" ht="12" customHeight="1" x14ac:dyDescent="0.2">
      <c r="A136" s="78">
        <v>238045</v>
      </c>
      <c r="B136" s="67" t="s">
        <v>189</v>
      </c>
      <c r="C136" s="67" t="s">
        <v>1196</v>
      </c>
      <c r="D136" s="67" t="s">
        <v>1198</v>
      </c>
      <c r="E136" s="67" t="s">
        <v>1246</v>
      </c>
      <c r="F136" s="67" t="s">
        <v>1603</v>
      </c>
      <c r="G136" s="67" t="s">
        <v>7</v>
      </c>
      <c r="H136" s="68">
        <v>0.7006944444444444</v>
      </c>
      <c r="I136" s="68">
        <v>0.7006944444444444</v>
      </c>
      <c r="J136" s="68"/>
      <c r="K136" s="67" t="s">
        <v>1718</v>
      </c>
      <c r="L136" s="67" t="s">
        <v>1198</v>
      </c>
      <c r="M136" s="67" t="s">
        <v>1246</v>
      </c>
    </row>
    <row r="137" spans="1:13" ht="12" customHeight="1" x14ac:dyDescent="0.2">
      <c r="A137" s="78">
        <v>236997</v>
      </c>
      <c r="B137" s="67" t="s">
        <v>190</v>
      </c>
      <c r="C137" s="67" t="s">
        <v>1196</v>
      </c>
      <c r="D137" s="67" t="s">
        <v>1198</v>
      </c>
      <c r="E137" s="67" t="s">
        <v>1243</v>
      </c>
      <c r="F137" s="67" t="s">
        <v>1598</v>
      </c>
      <c r="G137" s="67" t="s">
        <v>7</v>
      </c>
      <c r="H137" s="68">
        <v>0.5541666666666667</v>
      </c>
      <c r="I137" s="68">
        <v>0.5541666666666667</v>
      </c>
      <c r="J137" s="68"/>
      <c r="K137" s="67" t="s">
        <v>1719</v>
      </c>
      <c r="L137" s="67" t="s">
        <v>1198</v>
      </c>
      <c r="M137" s="67" t="s">
        <v>1243</v>
      </c>
    </row>
    <row r="138" spans="1:13" ht="12" customHeight="1" x14ac:dyDescent="0.2">
      <c r="A138" s="78">
        <v>234795</v>
      </c>
      <c r="B138" s="67" t="s">
        <v>191</v>
      </c>
      <c r="C138" s="67" t="s">
        <v>1196</v>
      </c>
      <c r="D138" s="67" t="s">
        <v>1198</v>
      </c>
      <c r="E138" s="67" t="s">
        <v>1256</v>
      </c>
      <c r="F138" s="67" t="s">
        <v>1607</v>
      </c>
      <c r="G138" s="67" t="s">
        <v>7</v>
      </c>
      <c r="H138" s="68">
        <v>4.2868055555555555</v>
      </c>
      <c r="I138" s="68">
        <v>4.2868055555555555</v>
      </c>
      <c r="J138" s="68"/>
      <c r="K138" s="67" t="s">
        <v>1718</v>
      </c>
      <c r="L138" s="67" t="s">
        <v>1198</v>
      </c>
      <c r="M138" s="67" t="s">
        <v>1256</v>
      </c>
    </row>
    <row r="139" spans="1:13" ht="12" customHeight="1" x14ac:dyDescent="0.2">
      <c r="A139" s="78">
        <v>231222</v>
      </c>
      <c r="B139" s="67" t="s">
        <v>192</v>
      </c>
      <c r="C139" s="67" t="s">
        <v>1196</v>
      </c>
      <c r="D139" s="67" t="s">
        <v>1198</v>
      </c>
      <c r="E139" s="67" t="s">
        <v>1254</v>
      </c>
      <c r="F139" s="67" t="s">
        <v>1606</v>
      </c>
      <c r="G139" s="67" t="s">
        <v>7</v>
      </c>
      <c r="H139" s="68">
        <v>1.1812499999999999</v>
      </c>
      <c r="I139" s="68">
        <v>1.1812499999999999</v>
      </c>
      <c r="J139" s="68"/>
      <c r="K139" s="67" t="s">
        <v>1721</v>
      </c>
      <c r="L139" s="67" t="s">
        <v>1198</v>
      </c>
      <c r="M139" s="67" t="s">
        <v>1254</v>
      </c>
    </row>
    <row r="140" spans="1:13" ht="12" customHeight="1" x14ac:dyDescent="0.2">
      <c r="A140" s="78">
        <v>237379</v>
      </c>
      <c r="B140" s="67" t="s">
        <v>193</v>
      </c>
      <c r="C140" s="67" t="s">
        <v>1196</v>
      </c>
      <c r="D140" s="67" t="s">
        <v>1198</v>
      </c>
      <c r="E140" s="67" t="s">
        <v>1257</v>
      </c>
      <c r="F140" s="67" t="s">
        <v>1606</v>
      </c>
      <c r="G140" s="67" t="s">
        <v>7</v>
      </c>
      <c r="H140" s="68">
        <v>0.17430555555555557</v>
      </c>
      <c r="I140" s="68">
        <v>0.17430555555555557</v>
      </c>
      <c r="J140" s="68"/>
      <c r="K140" s="67" t="s">
        <v>1718</v>
      </c>
      <c r="L140" s="67" t="s">
        <v>1198</v>
      </c>
      <c r="M140" s="67" t="s">
        <v>1257</v>
      </c>
    </row>
    <row r="141" spans="1:13" ht="12" customHeight="1" x14ac:dyDescent="0.2">
      <c r="A141" s="78">
        <v>233322</v>
      </c>
      <c r="B141" s="67" t="s">
        <v>194</v>
      </c>
      <c r="C141" s="67" t="s">
        <v>1196</v>
      </c>
      <c r="D141" s="67" t="s">
        <v>1198</v>
      </c>
      <c r="E141" s="67" t="s">
        <v>1258</v>
      </c>
      <c r="F141" s="67" t="s">
        <v>1603</v>
      </c>
      <c r="G141" s="67" t="s">
        <v>7</v>
      </c>
      <c r="H141" s="68">
        <v>0.45347222222222222</v>
      </c>
      <c r="I141" s="68">
        <v>0.45347222222222222</v>
      </c>
      <c r="J141" s="68"/>
      <c r="K141" s="67" t="s">
        <v>1720</v>
      </c>
      <c r="L141" s="67" t="s">
        <v>1198</v>
      </c>
      <c r="M141" s="67" t="s">
        <v>1258</v>
      </c>
    </row>
    <row r="142" spans="1:13" ht="12" customHeight="1" x14ac:dyDescent="0.2">
      <c r="A142" s="78">
        <v>225048</v>
      </c>
      <c r="B142" s="67" t="s">
        <v>195</v>
      </c>
      <c r="C142" s="67" t="s">
        <v>1196</v>
      </c>
      <c r="D142" s="67" t="s">
        <v>1198</v>
      </c>
      <c r="E142" s="67" t="s">
        <v>1252</v>
      </c>
      <c r="F142" s="67" t="s">
        <v>1602</v>
      </c>
      <c r="G142" s="67" t="s">
        <v>7</v>
      </c>
      <c r="H142" s="68">
        <v>0.15902777777777777</v>
      </c>
      <c r="I142" s="68">
        <v>0.15902777777777777</v>
      </c>
      <c r="J142" s="68"/>
      <c r="K142" s="67" t="s">
        <v>1718</v>
      </c>
      <c r="L142" s="67" t="s">
        <v>1198</v>
      </c>
      <c r="M142" s="67" t="s">
        <v>1252</v>
      </c>
    </row>
    <row r="143" spans="1:13" ht="12" customHeight="1" x14ac:dyDescent="0.2">
      <c r="A143" s="78">
        <v>232824</v>
      </c>
      <c r="B143" s="67" t="s">
        <v>196</v>
      </c>
      <c r="C143" s="67" t="s">
        <v>1196</v>
      </c>
      <c r="D143" s="67" t="s">
        <v>1198</v>
      </c>
      <c r="E143" s="67" t="s">
        <v>1251</v>
      </c>
      <c r="F143" s="67" t="s">
        <v>1597</v>
      </c>
      <c r="G143" s="67" t="s">
        <v>7</v>
      </c>
      <c r="H143" s="68">
        <v>1.0895833333333333</v>
      </c>
      <c r="I143" s="68">
        <v>1.0895833333333333</v>
      </c>
      <c r="J143" s="68"/>
      <c r="K143" s="67" t="s">
        <v>1720</v>
      </c>
      <c r="L143" s="67" t="s">
        <v>1198</v>
      </c>
      <c r="M143" s="67" t="s">
        <v>1251</v>
      </c>
    </row>
    <row r="144" spans="1:13" ht="12" customHeight="1" x14ac:dyDescent="0.2">
      <c r="A144" s="78">
        <v>202844</v>
      </c>
      <c r="B144" s="67" t="s">
        <v>197</v>
      </c>
      <c r="C144" s="67" t="s">
        <v>1196</v>
      </c>
      <c r="D144" s="67" t="s">
        <v>1198</v>
      </c>
      <c r="E144" s="67" t="s">
        <v>1244</v>
      </c>
      <c r="F144" s="67" t="s">
        <v>1601</v>
      </c>
      <c r="G144" s="67" t="s">
        <v>7</v>
      </c>
      <c r="H144" s="68">
        <v>3.5645833333333332</v>
      </c>
      <c r="I144" s="68">
        <v>3.5645833333333332</v>
      </c>
      <c r="J144" s="68"/>
      <c r="K144" s="67" t="s">
        <v>1721</v>
      </c>
      <c r="L144" s="67" t="s">
        <v>1198</v>
      </c>
      <c r="M144" s="67" t="s">
        <v>1244</v>
      </c>
    </row>
    <row r="145" spans="1:13" ht="12" customHeight="1" x14ac:dyDescent="0.2">
      <c r="A145" s="78">
        <v>232810</v>
      </c>
      <c r="B145" s="67" t="s">
        <v>198</v>
      </c>
      <c r="C145" s="67" t="s">
        <v>1196</v>
      </c>
      <c r="D145" s="67" t="s">
        <v>1198</v>
      </c>
      <c r="E145" s="67" t="s">
        <v>1241</v>
      </c>
      <c r="F145" s="67" t="s">
        <v>1599</v>
      </c>
      <c r="G145" s="67" t="s">
        <v>7</v>
      </c>
      <c r="H145" s="68">
        <v>0.94236111111111109</v>
      </c>
      <c r="I145" s="68">
        <v>0.94236111111111109</v>
      </c>
      <c r="J145" s="68"/>
      <c r="K145" s="67" t="s">
        <v>1718</v>
      </c>
      <c r="L145" s="67" t="s">
        <v>1198</v>
      </c>
      <c r="M145" s="67" t="s">
        <v>1241</v>
      </c>
    </row>
    <row r="146" spans="1:13" ht="12" customHeight="1" x14ac:dyDescent="0.2">
      <c r="A146" s="78">
        <v>233797</v>
      </c>
      <c r="B146" s="67" t="s">
        <v>199</v>
      </c>
      <c r="C146" s="67" t="s">
        <v>1196</v>
      </c>
      <c r="D146" s="67" t="s">
        <v>1198</v>
      </c>
      <c r="E146" s="67" t="s">
        <v>1248</v>
      </c>
      <c r="F146" s="67" t="s">
        <v>1599</v>
      </c>
      <c r="G146" s="67" t="s">
        <v>7</v>
      </c>
      <c r="H146" s="68">
        <v>3.6666666666666665</v>
      </c>
      <c r="I146" s="68">
        <v>3.6666666666666665</v>
      </c>
      <c r="J146" s="68"/>
      <c r="K146" s="67" t="s">
        <v>1720</v>
      </c>
      <c r="L146" s="67" t="s">
        <v>1198</v>
      </c>
      <c r="M146" s="67" t="s">
        <v>1248</v>
      </c>
    </row>
    <row r="147" spans="1:13" ht="12" customHeight="1" x14ac:dyDescent="0.2">
      <c r="A147" s="78">
        <v>225474</v>
      </c>
      <c r="B147" s="67" t="s">
        <v>200</v>
      </c>
      <c r="C147" s="67" t="s">
        <v>1196</v>
      </c>
      <c r="D147" s="67" t="s">
        <v>1198</v>
      </c>
      <c r="E147" s="67" t="s">
        <v>1258</v>
      </c>
      <c r="F147" s="67" t="s">
        <v>1603</v>
      </c>
      <c r="G147" s="67" t="s">
        <v>8</v>
      </c>
      <c r="H147" s="68">
        <v>10.60138888888889</v>
      </c>
      <c r="I147" s="68"/>
      <c r="J147" s="68">
        <v>10.60138888888889</v>
      </c>
      <c r="K147" s="67" t="s">
        <v>1721</v>
      </c>
      <c r="L147" s="67" t="s">
        <v>1198</v>
      </c>
      <c r="M147" s="67" t="s">
        <v>1258</v>
      </c>
    </row>
    <row r="148" spans="1:13" ht="12" customHeight="1" x14ac:dyDescent="0.2">
      <c r="A148" s="78">
        <v>223943</v>
      </c>
      <c r="B148" s="67" t="s">
        <v>201</v>
      </c>
      <c r="C148" s="67" t="s">
        <v>1196</v>
      </c>
      <c r="D148" s="67" t="s">
        <v>1198</v>
      </c>
      <c r="E148" s="67" t="s">
        <v>1252</v>
      </c>
      <c r="F148" s="67" t="s">
        <v>1602</v>
      </c>
      <c r="G148" s="67" t="s">
        <v>8</v>
      </c>
      <c r="H148" s="68">
        <v>6.656944444444445</v>
      </c>
      <c r="I148" s="68"/>
      <c r="J148" s="68">
        <v>6.656944444444445</v>
      </c>
      <c r="K148" s="67" t="s">
        <v>1718</v>
      </c>
      <c r="L148" s="67" t="s">
        <v>1198</v>
      </c>
      <c r="M148" s="67" t="s">
        <v>1252</v>
      </c>
    </row>
    <row r="149" spans="1:13" ht="12" customHeight="1" x14ac:dyDescent="0.2">
      <c r="A149" s="78">
        <v>235040</v>
      </c>
      <c r="B149" s="67" t="s">
        <v>202</v>
      </c>
      <c r="C149" s="67" t="s">
        <v>1196</v>
      </c>
      <c r="D149" s="67" t="s">
        <v>1198</v>
      </c>
      <c r="E149" s="67" t="s">
        <v>1256</v>
      </c>
      <c r="F149" s="67" t="s">
        <v>1607</v>
      </c>
      <c r="G149" s="67" t="s">
        <v>8</v>
      </c>
      <c r="H149" s="68">
        <v>6.4909722222222221</v>
      </c>
      <c r="I149" s="68"/>
      <c r="J149" s="68">
        <v>6.4909722222222221</v>
      </c>
      <c r="K149" s="67" t="s">
        <v>1718</v>
      </c>
      <c r="L149" s="67" t="s">
        <v>1198</v>
      </c>
      <c r="M149" s="67" t="s">
        <v>1256</v>
      </c>
    </row>
    <row r="150" spans="1:13" ht="12" customHeight="1" x14ac:dyDescent="0.2">
      <c r="A150" s="78">
        <v>234858</v>
      </c>
      <c r="B150" s="67" t="s">
        <v>203</v>
      </c>
      <c r="C150" s="67" t="s">
        <v>1196</v>
      </c>
      <c r="D150" s="67" t="s">
        <v>1198</v>
      </c>
      <c r="E150" s="67" t="s">
        <v>1257</v>
      </c>
      <c r="F150" s="67" t="s">
        <v>1606</v>
      </c>
      <c r="G150" s="67" t="s">
        <v>8</v>
      </c>
      <c r="H150" s="68">
        <v>6.05</v>
      </c>
      <c r="I150" s="68"/>
      <c r="J150" s="68">
        <v>6.05</v>
      </c>
      <c r="K150" s="67" t="s">
        <v>1718</v>
      </c>
      <c r="L150" s="67" t="s">
        <v>1198</v>
      </c>
      <c r="M150" s="67" t="s">
        <v>1257</v>
      </c>
    </row>
    <row r="151" spans="1:13" ht="12" customHeight="1" x14ac:dyDescent="0.2">
      <c r="A151" s="78">
        <v>236436</v>
      </c>
      <c r="B151" s="67" t="s">
        <v>204</v>
      </c>
      <c r="C151" s="67" t="s">
        <v>1196</v>
      </c>
      <c r="D151" s="67" t="s">
        <v>1198</v>
      </c>
      <c r="E151" s="67" t="s">
        <v>1257</v>
      </c>
      <c r="F151" s="67" t="s">
        <v>1606</v>
      </c>
      <c r="G151" s="67" t="s">
        <v>8</v>
      </c>
      <c r="H151" s="68">
        <v>5.5645833333333341</v>
      </c>
      <c r="I151" s="68"/>
      <c r="J151" s="68">
        <v>5.5645833333333341</v>
      </c>
      <c r="K151" s="67" t="s">
        <v>1718</v>
      </c>
      <c r="L151" s="67" t="s">
        <v>1198</v>
      </c>
      <c r="M151" s="67" t="s">
        <v>1257</v>
      </c>
    </row>
    <row r="152" spans="1:13" ht="12" customHeight="1" x14ac:dyDescent="0.2">
      <c r="A152" s="78">
        <v>232793</v>
      </c>
      <c r="B152" s="67" t="s">
        <v>205</v>
      </c>
      <c r="C152" s="67" t="s">
        <v>1196</v>
      </c>
      <c r="D152" s="67" t="s">
        <v>1198</v>
      </c>
      <c r="E152" s="67" t="s">
        <v>1259</v>
      </c>
      <c r="F152" s="67" t="s">
        <v>1603</v>
      </c>
      <c r="G152" s="67" t="s">
        <v>8</v>
      </c>
      <c r="H152" s="68">
        <v>4.759722222222222</v>
      </c>
      <c r="I152" s="68"/>
      <c r="J152" s="68">
        <v>4.759722222222222</v>
      </c>
      <c r="K152" s="67" t="s">
        <v>1718</v>
      </c>
      <c r="L152" s="67" t="s">
        <v>1198</v>
      </c>
      <c r="M152" s="67" t="s">
        <v>1259</v>
      </c>
    </row>
    <row r="153" spans="1:13" ht="12" customHeight="1" x14ac:dyDescent="0.2">
      <c r="A153" s="78">
        <v>231144</v>
      </c>
      <c r="B153" s="67" t="s">
        <v>206</v>
      </c>
      <c r="C153" s="67" t="s">
        <v>1196</v>
      </c>
      <c r="D153" s="67" t="s">
        <v>1198</v>
      </c>
      <c r="E153" s="67" t="s">
        <v>1257</v>
      </c>
      <c r="F153" s="67" t="s">
        <v>1606</v>
      </c>
      <c r="G153" s="67" t="s">
        <v>8</v>
      </c>
      <c r="H153" s="68">
        <v>4.5736111111111111</v>
      </c>
      <c r="I153" s="68"/>
      <c r="J153" s="68">
        <v>4.5736111111111111</v>
      </c>
      <c r="K153" s="67" t="s">
        <v>1718</v>
      </c>
      <c r="L153" s="67" t="s">
        <v>1198</v>
      </c>
      <c r="M153" s="67" t="s">
        <v>1257</v>
      </c>
    </row>
    <row r="154" spans="1:13" ht="12" customHeight="1" x14ac:dyDescent="0.2">
      <c r="A154" s="78">
        <v>234733</v>
      </c>
      <c r="B154" s="67" t="s">
        <v>207</v>
      </c>
      <c r="C154" s="67" t="s">
        <v>1196</v>
      </c>
      <c r="D154" s="67" t="s">
        <v>1198</v>
      </c>
      <c r="E154" s="67" t="s">
        <v>1256</v>
      </c>
      <c r="F154" s="67" t="s">
        <v>1607</v>
      </c>
      <c r="G154" s="67" t="s">
        <v>8</v>
      </c>
      <c r="H154" s="68">
        <v>4.1402777777777775</v>
      </c>
      <c r="I154" s="68"/>
      <c r="J154" s="68">
        <v>4.1402777777777775</v>
      </c>
      <c r="K154" s="67" t="s">
        <v>1718</v>
      </c>
      <c r="L154" s="67" t="s">
        <v>1198</v>
      </c>
      <c r="M154" s="67" t="s">
        <v>1256</v>
      </c>
    </row>
    <row r="155" spans="1:13" ht="12" customHeight="1" x14ac:dyDescent="0.2">
      <c r="A155" s="78">
        <v>223849</v>
      </c>
      <c r="B155" s="67" t="s">
        <v>208</v>
      </c>
      <c r="C155" s="67" t="s">
        <v>1196</v>
      </c>
      <c r="D155" s="67" t="s">
        <v>1198</v>
      </c>
      <c r="E155" s="67" t="s">
        <v>1238</v>
      </c>
      <c r="F155" s="67" t="s">
        <v>1597</v>
      </c>
      <c r="G155" s="67" t="s">
        <v>8</v>
      </c>
      <c r="H155" s="68">
        <v>3.5770833333333329</v>
      </c>
      <c r="I155" s="68"/>
      <c r="J155" s="68">
        <v>3.5770833333333329</v>
      </c>
      <c r="K155" s="67" t="s">
        <v>1718</v>
      </c>
      <c r="L155" s="67" t="s">
        <v>1198</v>
      </c>
      <c r="M155" s="67" t="s">
        <v>1238</v>
      </c>
    </row>
    <row r="156" spans="1:13" ht="12" customHeight="1" x14ac:dyDescent="0.2">
      <c r="A156" s="78">
        <v>232882</v>
      </c>
      <c r="B156" s="67" t="s">
        <v>209</v>
      </c>
      <c r="C156" s="67" t="s">
        <v>1196</v>
      </c>
      <c r="D156" s="67" t="s">
        <v>1198</v>
      </c>
      <c r="E156" s="67" t="s">
        <v>1246</v>
      </c>
      <c r="F156" s="67" t="s">
        <v>1603</v>
      </c>
      <c r="G156" s="67" t="s">
        <v>8</v>
      </c>
      <c r="H156" s="68">
        <v>2.7798611111111113</v>
      </c>
      <c r="I156" s="68"/>
      <c r="J156" s="68">
        <v>2.7798611111111113</v>
      </c>
      <c r="K156" s="67" t="s">
        <v>1718</v>
      </c>
      <c r="L156" s="67" t="s">
        <v>1198</v>
      </c>
      <c r="M156" s="67" t="s">
        <v>1246</v>
      </c>
    </row>
    <row r="157" spans="1:13" ht="12" customHeight="1" x14ac:dyDescent="0.2">
      <c r="A157" s="78">
        <v>202746</v>
      </c>
      <c r="B157" s="67" t="s">
        <v>210</v>
      </c>
      <c r="C157" s="67" t="s">
        <v>1196</v>
      </c>
      <c r="D157" s="67" t="s">
        <v>1198</v>
      </c>
      <c r="E157" s="67" t="s">
        <v>1252</v>
      </c>
      <c r="F157" s="67" t="s">
        <v>1602</v>
      </c>
      <c r="G157" s="67" t="s">
        <v>8</v>
      </c>
      <c r="H157" s="68">
        <v>2.7423611111111108</v>
      </c>
      <c r="I157" s="68"/>
      <c r="J157" s="68">
        <v>2.7423611111111108</v>
      </c>
      <c r="K157" s="67" t="s">
        <v>1718</v>
      </c>
      <c r="L157" s="67" t="s">
        <v>1198</v>
      </c>
      <c r="M157" s="67" t="s">
        <v>1252</v>
      </c>
    </row>
    <row r="158" spans="1:13" ht="12" customHeight="1" x14ac:dyDescent="0.2">
      <c r="A158" s="78">
        <v>237413</v>
      </c>
      <c r="B158" s="67" t="s">
        <v>211</v>
      </c>
      <c r="C158" s="67" t="s">
        <v>1196</v>
      </c>
      <c r="D158" s="67" t="s">
        <v>1198</v>
      </c>
      <c r="E158" s="67" t="s">
        <v>1238</v>
      </c>
      <c r="F158" s="67" t="s">
        <v>1597</v>
      </c>
      <c r="G158" s="67" t="s">
        <v>8</v>
      </c>
      <c r="H158" s="68">
        <v>1.9784722222222222</v>
      </c>
      <c r="I158" s="68"/>
      <c r="J158" s="68">
        <v>1.9784722222222222</v>
      </c>
      <c r="K158" s="67" t="s">
        <v>1718</v>
      </c>
      <c r="L158" s="67" t="s">
        <v>1198</v>
      </c>
      <c r="M158" s="67" t="s">
        <v>1238</v>
      </c>
    </row>
    <row r="159" spans="1:13" ht="12" customHeight="1" x14ac:dyDescent="0.2">
      <c r="A159" s="78">
        <v>231747</v>
      </c>
      <c r="B159" s="67" t="s">
        <v>212</v>
      </c>
      <c r="C159" s="67" t="s">
        <v>1196</v>
      </c>
      <c r="D159" s="67" t="s">
        <v>1198</v>
      </c>
      <c r="E159" s="67" t="s">
        <v>1249</v>
      </c>
      <c r="F159" s="67" t="s">
        <v>1604</v>
      </c>
      <c r="G159" s="67" t="s">
        <v>8</v>
      </c>
      <c r="H159" s="68">
        <v>1.8020833333333333</v>
      </c>
      <c r="I159" s="68"/>
      <c r="J159" s="68">
        <v>1.8020833333333333</v>
      </c>
      <c r="K159" s="67" t="s">
        <v>1718</v>
      </c>
      <c r="L159" s="67" t="s">
        <v>1198</v>
      </c>
      <c r="M159" s="67" t="s">
        <v>1249</v>
      </c>
    </row>
    <row r="160" spans="1:13" ht="12" customHeight="1" x14ac:dyDescent="0.2">
      <c r="A160" s="78">
        <v>222047</v>
      </c>
      <c r="B160" s="67" t="s">
        <v>213</v>
      </c>
      <c r="C160" s="67" t="s">
        <v>1196</v>
      </c>
      <c r="D160" s="67" t="s">
        <v>1198</v>
      </c>
      <c r="E160" s="67" t="s">
        <v>1252</v>
      </c>
      <c r="F160" s="67" t="s">
        <v>1602</v>
      </c>
      <c r="G160" s="67" t="s">
        <v>8</v>
      </c>
      <c r="H160" s="68">
        <v>1.7597222222222222</v>
      </c>
      <c r="I160" s="68"/>
      <c r="J160" s="68">
        <v>1.7597222222222222</v>
      </c>
      <c r="K160" s="67" t="s">
        <v>1718</v>
      </c>
      <c r="L160" s="67" t="s">
        <v>1198</v>
      </c>
      <c r="M160" s="67" t="s">
        <v>1252</v>
      </c>
    </row>
    <row r="161" spans="1:13" ht="12" customHeight="1" x14ac:dyDescent="0.2">
      <c r="A161" s="78">
        <v>237417</v>
      </c>
      <c r="B161" s="67" t="s">
        <v>214</v>
      </c>
      <c r="C161" s="67" t="s">
        <v>1196</v>
      </c>
      <c r="D161" s="67" t="s">
        <v>1198</v>
      </c>
      <c r="E161" s="67" t="s">
        <v>1256</v>
      </c>
      <c r="F161" s="67" t="s">
        <v>1607</v>
      </c>
      <c r="G161" s="67" t="s">
        <v>8</v>
      </c>
      <c r="H161" s="68">
        <v>1.75</v>
      </c>
      <c r="I161" s="68"/>
      <c r="J161" s="68">
        <v>1.75</v>
      </c>
      <c r="K161" s="67" t="s">
        <v>1718</v>
      </c>
      <c r="L161" s="67" t="s">
        <v>1198</v>
      </c>
      <c r="M161" s="67" t="s">
        <v>1256</v>
      </c>
    </row>
    <row r="162" spans="1:13" ht="12" customHeight="1" x14ac:dyDescent="0.2">
      <c r="A162" s="78">
        <v>229602</v>
      </c>
      <c r="B162" s="67" t="s">
        <v>215</v>
      </c>
      <c r="C162" s="67" t="s">
        <v>1196</v>
      </c>
      <c r="D162" s="67" t="s">
        <v>1198</v>
      </c>
      <c r="E162" s="67" t="s">
        <v>1242</v>
      </c>
      <c r="F162" s="67" t="s">
        <v>1600</v>
      </c>
      <c r="G162" s="67" t="s">
        <v>8</v>
      </c>
      <c r="H162" s="68">
        <v>1.5506944444444446</v>
      </c>
      <c r="I162" s="68"/>
      <c r="J162" s="68">
        <v>1.5506944444444446</v>
      </c>
      <c r="K162" s="67" t="s">
        <v>1718</v>
      </c>
      <c r="L162" s="67" t="s">
        <v>1198</v>
      </c>
      <c r="M162" s="67" t="s">
        <v>1242</v>
      </c>
    </row>
    <row r="163" spans="1:13" ht="12" customHeight="1" x14ac:dyDescent="0.2">
      <c r="A163" s="78">
        <v>232811</v>
      </c>
      <c r="B163" s="67" t="s">
        <v>216</v>
      </c>
      <c r="C163" s="67" t="s">
        <v>1196</v>
      </c>
      <c r="D163" s="67" t="s">
        <v>1198</v>
      </c>
      <c r="E163" s="67" t="s">
        <v>1252</v>
      </c>
      <c r="F163" s="67" t="s">
        <v>1602</v>
      </c>
      <c r="G163" s="67" t="s">
        <v>8</v>
      </c>
      <c r="H163" s="68">
        <v>1.4645833333333333</v>
      </c>
      <c r="I163" s="68"/>
      <c r="J163" s="68">
        <v>1.4645833333333333</v>
      </c>
      <c r="K163" s="67" t="s">
        <v>1718</v>
      </c>
      <c r="L163" s="67" t="s">
        <v>1198</v>
      </c>
      <c r="M163" s="67" t="s">
        <v>1252</v>
      </c>
    </row>
    <row r="164" spans="1:13" ht="12" customHeight="1" x14ac:dyDescent="0.2">
      <c r="A164" s="78">
        <v>223220</v>
      </c>
      <c r="B164" s="67" t="s">
        <v>217</v>
      </c>
      <c r="C164" s="67" t="s">
        <v>1196</v>
      </c>
      <c r="D164" s="67" t="s">
        <v>1198</v>
      </c>
      <c r="E164" s="67" t="s">
        <v>1258</v>
      </c>
      <c r="F164" s="67" t="s">
        <v>1603</v>
      </c>
      <c r="G164" s="67" t="s">
        <v>8</v>
      </c>
      <c r="H164" s="68">
        <v>1.273611111111111</v>
      </c>
      <c r="I164" s="68"/>
      <c r="J164" s="68">
        <v>1.273611111111111</v>
      </c>
      <c r="K164" s="67" t="s">
        <v>1720</v>
      </c>
      <c r="L164" s="67" t="s">
        <v>1198</v>
      </c>
      <c r="M164" s="67" t="s">
        <v>1258</v>
      </c>
    </row>
    <row r="165" spans="1:13" ht="12" customHeight="1" x14ac:dyDescent="0.2">
      <c r="A165" s="78">
        <v>201736</v>
      </c>
      <c r="B165" s="67" t="s">
        <v>218</v>
      </c>
      <c r="C165" s="67" t="s">
        <v>1196</v>
      </c>
      <c r="D165" s="67" t="s">
        <v>1198</v>
      </c>
      <c r="E165" s="67" t="s">
        <v>1260</v>
      </c>
      <c r="F165" s="67" t="s">
        <v>1604</v>
      </c>
      <c r="G165" s="67" t="s">
        <v>8</v>
      </c>
      <c r="H165" s="68">
        <v>1.2229166666666667</v>
      </c>
      <c r="I165" s="68"/>
      <c r="J165" s="68">
        <v>1.2229166666666667</v>
      </c>
      <c r="K165" s="67" t="s">
        <v>1720</v>
      </c>
      <c r="L165" s="67" t="s">
        <v>1198</v>
      </c>
      <c r="M165" s="67" t="s">
        <v>1260</v>
      </c>
    </row>
    <row r="166" spans="1:13" ht="12" customHeight="1" x14ac:dyDescent="0.2">
      <c r="A166" s="78">
        <v>235185</v>
      </c>
      <c r="B166" s="67" t="s">
        <v>219</v>
      </c>
      <c r="C166" s="67" t="s">
        <v>1196</v>
      </c>
      <c r="D166" s="67" t="s">
        <v>1198</v>
      </c>
      <c r="E166" s="67" t="s">
        <v>1247</v>
      </c>
      <c r="F166" s="67" t="s">
        <v>1601</v>
      </c>
      <c r="G166" s="67" t="s">
        <v>8</v>
      </c>
      <c r="H166" s="68">
        <v>1.2131944444444445</v>
      </c>
      <c r="I166" s="68"/>
      <c r="J166" s="68">
        <v>1.2131944444444445</v>
      </c>
      <c r="K166" s="67" t="s">
        <v>1718</v>
      </c>
      <c r="L166" s="67" t="s">
        <v>1198</v>
      </c>
      <c r="M166" s="67" t="s">
        <v>1247</v>
      </c>
    </row>
    <row r="167" spans="1:13" ht="12" customHeight="1" x14ac:dyDescent="0.2">
      <c r="A167" s="78">
        <v>202770</v>
      </c>
      <c r="B167" s="67" t="s">
        <v>220</v>
      </c>
      <c r="C167" s="67" t="s">
        <v>1196</v>
      </c>
      <c r="D167" s="67" t="s">
        <v>1198</v>
      </c>
      <c r="E167" s="67" t="s">
        <v>1260</v>
      </c>
      <c r="F167" s="67" t="s">
        <v>1604</v>
      </c>
      <c r="G167" s="67" t="s">
        <v>8</v>
      </c>
      <c r="H167" s="68">
        <v>1.0868055555555556</v>
      </c>
      <c r="I167" s="68"/>
      <c r="J167" s="68">
        <v>1.0868055555555556</v>
      </c>
      <c r="K167" s="67" t="s">
        <v>1720</v>
      </c>
      <c r="L167" s="67" t="s">
        <v>1198</v>
      </c>
      <c r="M167" s="67" t="s">
        <v>1260</v>
      </c>
    </row>
    <row r="168" spans="1:13" ht="12" customHeight="1" x14ac:dyDescent="0.2">
      <c r="A168" s="78">
        <v>232007</v>
      </c>
      <c r="B168" s="67" t="s">
        <v>221</v>
      </c>
      <c r="C168" s="67" t="s">
        <v>1196</v>
      </c>
      <c r="D168" s="67" t="s">
        <v>1198</v>
      </c>
      <c r="E168" s="67" t="s">
        <v>1249</v>
      </c>
      <c r="F168" s="67" t="s">
        <v>1604</v>
      </c>
      <c r="G168" s="67" t="s">
        <v>8</v>
      </c>
      <c r="H168" s="68">
        <v>1.0819444444444444</v>
      </c>
      <c r="I168" s="68"/>
      <c r="J168" s="68">
        <v>1.0819444444444444</v>
      </c>
      <c r="K168" s="67" t="s">
        <v>1718</v>
      </c>
      <c r="L168" s="67" t="s">
        <v>1198</v>
      </c>
      <c r="M168" s="67" t="s">
        <v>1249</v>
      </c>
    </row>
    <row r="169" spans="1:13" ht="12" customHeight="1" x14ac:dyDescent="0.2">
      <c r="A169" s="78">
        <v>229582</v>
      </c>
      <c r="B169" s="67" t="s">
        <v>222</v>
      </c>
      <c r="C169" s="67" t="s">
        <v>1196</v>
      </c>
      <c r="D169" s="67" t="s">
        <v>1198</v>
      </c>
      <c r="E169" s="67" t="s">
        <v>1260</v>
      </c>
      <c r="F169" s="67" t="s">
        <v>1604</v>
      </c>
      <c r="G169" s="67" t="s">
        <v>8</v>
      </c>
      <c r="H169" s="68">
        <v>1.0652777777777778</v>
      </c>
      <c r="I169" s="68"/>
      <c r="J169" s="68">
        <v>1.0652777777777778</v>
      </c>
      <c r="K169" s="67" t="s">
        <v>1727</v>
      </c>
      <c r="L169" s="67" t="s">
        <v>1198</v>
      </c>
      <c r="M169" s="67" t="s">
        <v>1260</v>
      </c>
    </row>
    <row r="170" spans="1:13" ht="12" customHeight="1" x14ac:dyDescent="0.2">
      <c r="A170" s="78">
        <v>232271</v>
      </c>
      <c r="B170" s="67" t="s">
        <v>223</v>
      </c>
      <c r="C170" s="67" t="s">
        <v>1196</v>
      </c>
      <c r="D170" s="67" t="s">
        <v>1198</v>
      </c>
      <c r="E170" s="67" t="s">
        <v>1250</v>
      </c>
      <c r="F170" s="67" t="s">
        <v>1605</v>
      </c>
      <c r="G170" s="67" t="s">
        <v>8</v>
      </c>
      <c r="H170" s="68">
        <v>0.83472222222222225</v>
      </c>
      <c r="I170" s="68"/>
      <c r="J170" s="68">
        <v>0.83472222222222225</v>
      </c>
      <c r="K170" s="67" t="s">
        <v>1718</v>
      </c>
      <c r="L170" s="67" t="s">
        <v>1198</v>
      </c>
      <c r="M170" s="67" t="s">
        <v>1250</v>
      </c>
    </row>
    <row r="171" spans="1:13" ht="12" customHeight="1" x14ac:dyDescent="0.2">
      <c r="A171" s="78">
        <v>201272</v>
      </c>
      <c r="B171" s="67" t="s">
        <v>224</v>
      </c>
      <c r="C171" s="67" t="s">
        <v>1196</v>
      </c>
      <c r="D171" s="67" t="s">
        <v>1198</v>
      </c>
      <c r="E171" s="67" t="s">
        <v>1249</v>
      </c>
      <c r="F171" s="67" t="s">
        <v>1604</v>
      </c>
      <c r="G171" s="67" t="s">
        <v>8</v>
      </c>
      <c r="H171" s="68">
        <v>0.74375000000000002</v>
      </c>
      <c r="I171" s="68"/>
      <c r="J171" s="68">
        <v>0.74375000000000002</v>
      </c>
      <c r="K171" s="67" t="s">
        <v>1718</v>
      </c>
      <c r="L171" s="67" t="s">
        <v>1198</v>
      </c>
      <c r="M171" s="67" t="s">
        <v>1249</v>
      </c>
    </row>
    <row r="172" spans="1:13" ht="12" customHeight="1" x14ac:dyDescent="0.2">
      <c r="A172" s="78">
        <v>235260</v>
      </c>
      <c r="B172" s="67" t="s">
        <v>225</v>
      </c>
      <c r="C172" s="67" t="s">
        <v>1196</v>
      </c>
      <c r="D172" s="67" t="s">
        <v>1198</v>
      </c>
      <c r="E172" s="67" t="s">
        <v>1261</v>
      </c>
      <c r="F172" s="67" t="s">
        <v>1600</v>
      </c>
      <c r="G172" s="67" t="s">
        <v>8</v>
      </c>
      <c r="H172" s="68">
        <v>0.73541666666666661</v>
      </c>
      <c r="I172" s="68"/>
      <c r="J172" s="68">
        <v>0.73541666666666661</v>
      </c>
      <c r="K172" s="67" t="s">
        <v>1720</v>
      </c>
      <c r="L172" s="67" t="s">
        <v>1198</v>
      </c>
      <c r="M172" s="67" t="s">
        <v>1261</v>
      </c>
    </row>
    <row r="173" spans="1:13" ht="12" customHeight="1" x14ac:dyDescent="0.2">
      <c r="A173" s="78">
        <v>230516</v>
      </c>
      <c r="B173" s="67" t="s">
        <v>226</v>
      </c>
      <c r="C173" s="67" t="s">
        <v>1196</v>
      </c>
      <c r="D173" s="67" t="s">
        <v>1198</v>
      </c>
      <c r="E173" s="67" t="s">
        <v>1250</v>
      </c>
      <c r="F173" s="67" t="s">
        <v>1605</v>
      </c>
      <c r="G173" s="67" t="s">
        <v>8</v>
      </c>
      <c r="H173" s="68">
        <v>0.70763888888888893</v>
      </c>
      <c r="I173" s="68"/>
      <c r="J173" s="68">
        <v>0.70763888888888893</v>
      </c>
      <c r="K173" s="67" t="s">
        <v>1718</v>
      </c>
      <c r="L173" s="67" t="s">
        <v>1198</v>
      </c>
      <c r="M173" s="67" t="s">
        <v>1250</v>
      </c>
    </row>
    <row r="174" spans="1:13" ht="12" customHeight="1" x14ac:dyDescent="0.2">
      <c r="A174" s="78">
        <v>235076</v>
      </c>
      <c r="B174" s="67" t="s">
        <v>227</v>
      </c>
      <c r="C174" s="67" t="s">
        <v>1196</v>
      </c>
      <c r="D174" s="67" t="s">
        <v>1198</v>
      </c>
      <c r="E174" s="67" t="s">
        <v>1262</v>
      </c>
      <c r="F174" s="67" t="s">
        <v>1607</v>
      </c>
      <c r="G174" s="67" t="s">
        <v>8</v>
      </c>
      <c r="H174" s="68">
        <v>0.60625000000000007</v>
      </c>
      <c r="I174" s="68"/>
      <c r="J174" s="68">
        <v>0.60625000000000007</v>
      </c>
      <c r="K174" s="67" t="s">
        <v>1720</v>
      </c>
      <c r="L174" s="67" t="s">
        <v>1198</v>
      </c>
      <c r="M174" s="67" t="s">
        <v>1262</v>
      </c>
    </row>
    <row r="175" spans="1:13" ht="12" customHeight="1" x14ac:dyDescent="0.2">
      <c r="A175" s="78">
        <v>234861</v>
      </c>
      <c r="B175" s="67" t="s">
        <v>228</v>
      </c>
      <c r="C175" s="67" t="s">
        <v>1196</v>
      </c>
      <c r="D175" s="67" t="s">
        <v>1198</v>
      </c>
      <c r="E175" s="67" t="s">
        <v>1262</v>
      </c>
      <c r="F175" s="67" t="s">
        <v>1607</v>
      </c>
      <c r="G175" s="67" t="s">
        <v>8</v>
      </c>
      <c r="H175" s="68">
        <v>0.53472222222222221</v>
      </c>
      <c r="I175" s="68"/>
      <c r="J175" s="68">
        <v>0.53472222222222221</v>
      </c>
      <c r="K175" s="67" t="s">
        <v>1721</v>
      </c>
      <c r="L175" s="67" t="s">
        <v>1198</v>
      </c>
      <c r="M175" s="67" t="s">
        <v>1262</v>
      </c>
    </row>
    <row r="176" spans="1:13" ht="12" customHeight="1" x14ac:dyDescent="0.2">
      <c r="A176" s="78">
        <v>231145</v>
      </c>
      <c r="B176" s="67" t="s">
        <v>229</v>
      </c>
      <c r="C176" s="67" t="s">
        <v>1196</v>
      </c>
      <c r="D176" s="67" t="s">
        <v>1198</v>
      </c>
      <c r="E176" s="67" t="s">
        <v>1263</v>
      </c>
      <c r="F176" s="67" t="s">
        <v>1598</v>
      </c>
      <c r="G176" s="67" t="s">
        <v>8</v>
      </c>
      <c r="H176" s="68">
        <v>0.53333333333333333</v>
      </c>
      <c r="I176" s="68"/>
      <c r="J176" s="68">
        <v>0.53333333333333333</v>
      </c>
      <c r="K176" s="67" t="s">
        <v>1719</v>
      </c>
      <c r="L176" s="67" t="s">
        <v>1198</v>
      </c>
      <c r="M176" s="67" t="s">
        <v>1263</v>
      </c>
    </row>
    <row r="177" spans="1:13" ht="12" customHeight="1" x14ac:dyDescent="0.2">
      <c r="A177" s="78">
        <v>215092</v>
      </c>
      <c r="B177" s="67" t="s">
        <v>230</v>
      </c>
      <c r="C177" s="67" t="s">
        <v>1196</v>
      </c>
      <c r="D177" s="67" t="s">
        <v>1198</v>
      </c>
      <c r="E177" s="67" t="s">
        <v>1264</v>
      </c>
      <c r="F177" s="67" t="s">
        <v>1598</v>
      </c>
      <c r="G177" s="67" t="s">
        <v>8</v>
      </c>
      <c r="H177" s="68">
        <v>0.4368055555555555</v>
      </c>
      <c r="I177" s="68"/>
      <c r="J177" s="68">
        <v>0.4368055555555555</v>
      </c>
      <c r="K177" s="67" t="s">
        <v>1726</v>
      </c>
      <c r="L177" s="67" t="s">
        <v>1198</v>
      </c>
      <c r="M177" s="67" t="s">
        <v>1264</v>
      </c>
    </row>
    <row r="178" spans="1:13" ht="12" customHeight="1" x14ac:dyDescent="0.2">
      <c r="A178" s="78">
        <v>238194</v>
      </c>
      <c r="B178" s="67" t="s">
        <v>231</v>
      </c>
      <c r="C178" s="67" t="s">
        <v>1196</v>
      </c>
      <c r="D178" s="67" t="s">
        <v>1198</v>
      </c>
      <c r="E178" s="67" t="s">
        <v>1247</v>
      </c>
      <c r="F178" s="67" t="s">
        <v>1601</v>
      </c>
      <c r="G178" s="67" t="s">
        <v>8</v>
      </c>
      <c r="H178" s="68">
        <v>0.3888888888888889</v>
      </c>
      <c r="I178" s="68"/>
      <c r="J178" s="68">
        <v>0.3888888888888889</v>
      </c>
      <c r="K178" s="67" t="s">
        <v>1718</v>
      </c>
      <c r="L178" s="67" t="s">
        <v>1198</v>
      </c>
      <c r="M178" s="67" t="s">
        <v>1247</v>
      </c>
    </row>
    <row r="179" spans="1:13" ht="12" customHeight="1" x14ac:dyDescent="0.2">
      <c r="A179" s="78">
        <v>221686</v>
      </c>
      <c r="B179" s="67" t="s">
        <v>232</v>
      </c>
      <c r="C179" s="67" t="s">
        <v>1196</v>
      </c>
      <c r="D179" s="67" t="s">
        <v>1198</v>
      </c>
      <c r="E179" s="67" t="s">
        <v>1255</v>
      </c>
      <c r="F179" s="67" t="s">
        <v>1605</v>
      </c>
      <c r="G179" s="67" t="s">
        <v>8</v>
      </c>
      <c r="H179" s="68">
        <v>0.31180555555555556</v>
      </c>
      <c r="I179" s="68"/>
      <c r="J179" s="68">
        <v>0.31180555555555556</v>
      </c>
      <c r="K179" s="67" t="s">
        <v>1720</v>
      </c>
      <c r="L179" s="67" t="s">
        <v>1198</v>
      </c>
      <c r="M179" s="67" t="s">
        <v>1255</v>
      </c>
    </row>
    <row r="180" spans="1:13" ht="12" customHeight="1" x14ac:dyDescent="0.2">
      <c r="A180" s="78">
        <v>233706</v>
      </c>
      <c r="B180" s="67" t="s">
        <v>233</v>
      </c>
      <c r="C180" s="67" t="s">
        <v>1196</v>
      </c>
      <c r="D180" s="67" t="s">
        <v>1198</v>
      </c>
      <c r="E180" s="67" t="s">
        <v>1247</v>
      </c>
      <c r="F180" s="67" t="s">
        <v>1601</v>
      </c>
      <c r="G180" s="67" t="s">
        <v>8</v>
      </c>
      <c r="H180" s="68">
        <v>0.30902777777777779</v>
      </c>
      <c r="I180" s="68"/>
      <c r="J180" s="68">
        <v>0.30902777777777779</v>
      </c>
      <c r="K180" s="67" t="s">
        <v>1718</v>
      </c>
      <c r="L180" s="67" t="s">
        <v>1198</v>
      </c>
      <c r="M180" s="67" t="s">
        <v>1247</v>
      </c>
    </row>
    <row r="181" spans="1:13" ht="12" customHeight="1" x14ac:dyDescent="0.2">
      <c r="A181" s="78">
        <v>216613</v>
      </c>
      <c r="B181" s="67" t="s">
        <v>234</v>
      </c>
      <c r="C181" s="67" t="s">
        <v>1196</v>
      </c>
      <c r="D181" s="67" t="s">
        <v>1198</v>
      </c>
      <c r="E181" s="67" t="s">
        <v>1265</v>
      </c>
      <c r="F181" s="67" t="s">
        <v>1598</v>
      </c>
      <c r="G181" s="67" t="s">
        <v>8</v>
      </c>
      <c r="H181" s="68">
        <v>0.29791666666666666</v>
      </c>
      <c r="I181" s="68"/>
      <c r="J181" s="68">
        <v>0.29791666666666666</v>
      </c>
      <c r="K181" s="67" t="s">
        <v>1726</v>
      </c>
      <c r="L181" s="67" t="s">
        <v>1198</v>
      </c>
      <c r="M181" s="67" t="s">
        <v>1265</v>
      </c>
    </row>
    <row r="182" spans="1:13" ht="12" customHeight="1" x14ac:dyDescent="0.2">
      <c r="A182" s="78">
        <v>221582</v>
      </c>
      <c r="B182" s="67" t="s">
        <v>235</v>
      </c>
      <c r="C182" s="67" t="s">
        <v>1196</v>
      </c>
      <c r="D182" s="67" t="s">
        <v>1198</v>
      </c>
      <c r="E182" s="67" t="s">
        <v>1266</v>
      </c>
      <c r="F182" s="67" t="s">
        <v>1598</v>
      </c>
      <c r="G182" s="67" t="s">
        <v>8</v>
      </c>
      <c r="H182" s="68">
        <v>0.27847222222222223</v>
      </c>
      <c r="I182" s="68"/>
      <c r="J182" s="68">
        <v>0.27847222222222223</v>
      </c>
      <c r="K182" s="67" t="s">
        <v>1719</v>
      </c>
      <c r="L182" s="67" t="s">
        <v>1198</v>
      </c>
      <c r="M182" s="67" t="s">
        <v>1266</v>
      </c>
    </row>
    <row r="183" spans="1:13" ht="12" customHeight="1" x14ac:dyDescent="0.2">
      <c r="A183" s="78">
        <v>222376</v>
      </c>
      <c r="B183" s="67" t="s">
        <v>236</v>
      </c>
      <c r="C183" s="67" t="s">
        <v>1196</v>
      </c>
      <c r="D183" s="67" t="s">
        <v>1198</v>
      </c>
      <c r="E183" s="67" t="s">
        <v>1267</v>
      </c>
      <c r="F183" s="67" t="s">
        <v>1598</v>
      </c>
      <c r="G183" s="67" t="s">
        <v>8</v>
      </c>
      <c r="H183" s="68">
        <v>0.25694444444444448</v>
      </c>
      <c r="I183" s="68"/>
      <c r="J183" s="68">
        <v>0.25694444444444448</v>
      </c>
      <c r="K183" s="67" t="s">
        <v>1726</v>
      </c>
      <c r="L183" s="67" t="s">
        <v>1198</v>
      </c>
      <c r="M183" s="67" t="s">
        <v>1267</v>
      </c>
    </row>
    <row r="184" spans="1:13" ht="12" customHeight="1" x14ac:dyDescent="0.2">
      <c r="A184" s="78">
        <v>229805</v>
      </c>
      <c r="B184" s="67" t="s">
        <v>237</v>
      </c>
      <c r="C184" s="67" t="s">
        <v>1196</v>
      </c>
      <c r="D184" s="67" t="s">
        <v>1198</v>
      </c>
      <c r="E184" s="67" t="s">
        <v>1250</v>
      </c>
      <c r="F184" s="67" t="s">
        <v>1605</v>
      </c>
      <c r="G184" s="67" t="s">
        <v>8</v>
      </c>
      <c r="H184" s="68">
        <v>0.15902777777777777</v>
      </c>
      <c r="I184" s="68"/>
      <c r="J184" s="68">
        <v>0.15902777777777777</v>
      </c>
      <c r="K184" s="67" t="s">
        <v>1718</v>
      </c>
      <c r="L184" s="67" t="s">
        <v>1198</v>
      </c>
      <c r="M184" s="67" t="s">
        <v>1250</v>
      </c>
    </row>
    <row r="185" spans="1:13" ht="12" customHeight="1" x14ac:dyDescent="0.2">
      <c r="A185" s="78">
        <v>223004</v>
      </c>
      <c r="B185" s="67" t="s">
        <v>238</v>
      </c>
      <c r="C185" s="67" t="s">
        <v>1196</v>
      </c>
      <c r="D185" s="67" t="s">
        <v>1198</v>
      </c>
      <c r="E185" s="67" t="s">
        <v>1261</v>
      </c>
      <c r="F185" s="67" t="s">
        <v>1600</v>
      </c>
      <c r="G185" s="67" t="s">
        <v>8</v>
      </c>
      <c r="H185" s="68">
        <v>0.12986111111111112</v>
      </c>
      <c r="I185" s="68"/>
      <c r="J185" s="68">
        <v>0.12986111111111112</v>
      </c>
      <c r="K185" s="67" t="s">
        <v>1721</v>
      </c>
      <c r="L185" s="67" t="s">
        <v>1198</v>
      </c>
      <c r="M185" s="67" t="s">
        <v>1261</v>
      </c>
    </row>
    <row r="186" spans="1:13" ht="12" customHeight="1" x14ac:dyDescent="0.2">
      <c r="A186" s="78">
        <v>233740</v>
      </c>
      <c r="B186" s="67" t="s">
        <v>239</v>
      </c>
      <c r="C186" s="67" t="s">
        <v>1196</v>
      </c>
      <c r="D186" s="67" t="s">
        <v>1198</v>
      </c>
      <c r="E186" s="67" t="s">
        <v>1249</v>
      </c>
      <c r="F186" s="67" t="s">
        <v>1604</v>
      </c>
      <c r="G186" s="67" t="s">
        <v>8</v>
      </c>
      <c r="H186" s="68">
        <v>9.2361111111111116E-2</v>
      </c>
      <c r="I186" s="68"/>
      <c r="J186" s="68">
        <v>9.2361111111111116E-2</v>
      </c>
      <c r="K186" s="67" t="s">
        <v>1718</v>
      </c>
      <c r="L186" s="67" t="s">
        <v>1198</v>
      </c>
      <c r="M186" s="67" t="s">
        <v>1249</v>
      </c>
    </row>
    <row r="187" spans="1:13" ht="12" customHeight="1" x14ac:dyDescent="0.2">
      <c r="A187" s="78">
        <v>200557</v>
      </c>
      <c r="B187" s="67" t="s">
        <v>240</v>
      </c>
      <c r="C187" s="67" t="s">
        <v>1196</v>
      </c>
      <c r="D187" s="67" t="s">
        <v>1198</v>
      </c>
      <c r="E187" s="67" t="s">
        <v>1260</v>
      </c>
      <c r="F187" s="67" t="s">
        <v>1604</v>
      </c>
      <c r="G187" s="67" t="s">
        <v>8</v>
      </c>
      <c r="H187" s="68">
        <v>6.25E-2</v>
      </c>
      <c r="I187" s="68"/>
      <c r="J187" s="68">
        <v>6.25E-2</v>
      </c>
      <c r="K187" s="67" t="s">
        <v>1721</v>
      </c>
      <c r="L187" s="67" t="s">
        <v>1198</v>
      </c>
      <c r="M187" s="67" t="s">
        <v>1260</v>
      </c>
    </row>
    <row r="188" spans="1:13" ht="12" customHeight="1" x14ac:dyDescent="0.2">
      <c r="A188" s="78">
        <v>203524</v>
      </c>
      <c r="B188" s="67" t="s">
        <v>241</v>
      </c>
      <c r="C188" s="67" t="s">
        <v>1196</v>
      </c>
      <c r="D188" s="67" t="s">
        <v>1198</v>
      </c>
      <c r="E188" s="67" t="s">
        <v>1252</v>
      </c>
      <c r="F188" s="67" t="s">
        <v>1602</v>
      </c>
      <c r="G188" s="67" t="s">
        <v>8</v>
      </c>
      <c r="H188" s="68">
        <v>1.9444444444444445E-2</v>
      </c>
      <c r="I188" s="68"/>
      <c r="J188" s="68">
        <v>1.9444444444444445E-2</v>
      </c>
      <c r="K188" s="67" t="s">
        <v>1718</v>
      </c>
      <c r="L188" s="67" t="s">
        <v>1198</v>
      </c>
      <c r="M188" s="67" t="s">
        <v>1252</v>
      </c>
    </row>
    <row r="189" spans="1:13" ht="12" customHeight="1" x14ac:dyDescent="0.2">
      <c r="A189" s="78">
        <v>224532</v>
      </c>
      <c r="B189" s="67" t="s">
        <v>242</v>
      </c>
      <c r="C189" s="67" t="s">
        <v>1196</v>
      </c>
      <c r="D189" s="67" t="s">
        <v>1198</v>
      </c>
      <c r="E189" s="67" t="s">
        <v>1255</v>
      </c>
      <c r="F189" s="67" t="s">
        <v>1605</v>
      </c>
      <c r="G189" s="67" t="s">
        <v>8</v>
      </c>
      <c r="H189" s="68">
        <v>7.6388888888888886E-3</v>
      </c>
      <c r="I189" s="68"/>
      <c r="J189" s="68">
        <v>7.6388888888888886E-3</v>
      </c>
      <c r="K189" s="67" t="s">
        <v>1720</v>
      </c>
      <c r="L189" s="67" t="s">
        <v>1198</v>
      </c>
      <c r="M189" s="67" t="s">
        <v>1255</v>
      </c>
    </row>
    <row r="190" spans="1:13" ht="12" customHeight="1" x14ac:dyDescent="0.2">
      <c r="A190" s="78">
        <v>201688</v>
      </c>
      <c r="B190" s="67" t="s">
        <v>243</v>
      </c>
      <c r="C190" s="67" t="s">
        <v>1196</v>
      </c>
      <c r="D190" s="67" t="s">
        <v>1199</v>
      </c>
      <c r="E190" s="67" t="s">
        <v>1268</v>
      </c>
      <c r="F190" s="67" t="s">
        <v>1608</v>
      </c>
      <c r="G190" s="67" t="s">
        <v>7</v>
      </c>
      <c r="H190" s="68">
        <v>0.36527777777777781</v>
      </c>
      <c r="I190" s="68">
        <v>0.36527777777777781</v>
      </c>
      <c r="J190" s="68"/>
      <c r="K190" s="67" t="s">
        <v>1721</v>
      </c>
      <c r="L190" s="67" t="s">
        <v>1199</v>
      </c>
      <c r="M190" s="67" t="s">
        <v>1268</v>
      </c>
    </row>
    <row r="191" spans="1:13" ht="12" customHeight="1" x14ac:dyDescent="0.2">
      <c r="A191" s="78">
        <v>202952</v>
      </c>
      <c r="B191" s="67" t="s">
        <v>244</v>
      </c>
      <c r="C191" s="67" t="s">
        <v>1196</v>
      </c>
      <c r="D191" s="67" t="s">
        <v>1199</v>
      </c>
      <c r="E191" s="67" t="s">
        <v>1269</v>
      </c>
      <c r="F191" s="67" t="s">
        <v>1609</v>
      </c>
      <c r="G191" s="67" t="s">
        <v>7</v>
      </c>
      <c r="H191" s="68">
        <v>1.0166666666666666</v>
      </c>
      <c r="I191" s="68">
        <v>1.0166666666666666</v>
      </c>
      <c r="J191" s="68"/>
      <c r="K191" s="67" t="s">
        <v>1718</v>
      </c>
      <c r="L191" s="67" t="s">
        <v>1199</v>
      </c>
      <c r="M191" s="67" t="s">
        <v>1269</v>
      </c>
    </row>
    <row r="192" spans="1:13" ht="12" customHeight="1" x14ac:dyDescent="0.2">
      <c r="A192" s="78">
        <v>235731</v>
      </c>
      <c r="B192" s="67" t="s">
        <v>245</v>
      </c>
      <c r="C192" s="67" t="s">
        <v>1196</v>
      </c>
      <c r="D192" s="67" t="s">
        <v>1199</v>
      </c>
      <c r="E192" s="67" t="s">
        <v>1270</v>
      </c>
      <c r="F192" s="67" t="s">
        <v>1610</v>
      </c>
      <c r="G192" s="67" t="s">
        <v>7</v>
      </c>
      <c r="H192" s="68">
        <v>0.53402777777777777</v>
      </c>
      <c r="I192" s="68">
        <v>0.53402777777777777</v>
      </c>
      <c r="J192" s="68"/>
      <c r="K192" s="67" t="s">
        <v>1718</v>
      </c>
      <c r="L192" s="67" t="s">
        <v>1199</v>
      </c>
      <c r="M192" s="67" t="s">
        <v>1270</v>
      </c>
    </row>
    <row r="193" spans="1:13" ht="12" customHeight="1" x14ac:dyDescent="0.2">
      <c r="A193" s="78">
        <v>233464</v>
      </c>
      <c r="B193" s="67" t="s">
        <v>246</v>
      </c>
      <c r="C193" s="67" t="s">
        <v>1196</v>
      </c>
      <c r="D193" s="67" t="s">
        <v>1199</v>
      </c>
      <c r="E193" s="67" t="s">
        <v>1271</v>
      </c>
      <c r="F193" s="67" t="s">
        <v>1611</v>
      </c>
      <c r="G193" s="67" t="s">
        <v>7</v>
      </c>
      <c r="H193" s="68">
        <v>0.50208333333333333</v>
      </c>
      <c r="I193" s="68">
        <v>0.50208333333333333</v>
      </c>
      <c r="J193" s="68"/>
      <c r="K193" s="67" t="s">
        <v>1718</v>
      </c>
      <c r="L193" s="67" t="s">
        <v>1199</v>
      </c>
      <c r="M193" s="67" t="s">
        <v>1271</v>
      </c>
    </row>
    <row r="194" spans="1:13" ht="12" customHeight="1" x14ac:dyDescent="0.2">
      <c r="A194" s="78">
        <v>201821</v>
      </c>
      <c r="B194" s="67" t="s">
        <v>247</v>
      </c>
      <c r="C194" s="67" t="s">
        <v>1196</v>
      </c>
      <c r="D194" s="67" t="s">
        <v>1199</v>
      </c>
      <c r="E194" s="67" t="s">
        <v>1272</v>
      </c>
      <c r="F194" s="67" t="s">
        <v>1612</v>
      </c>
      <c r="G194" s="67" t="s">
        <v>7</v>
      </c>
      <c r="H194" s="68">
        <v>0.50347222222222221</v>
      </c>
      <c r="I194" s="68">
        <v>0.50347222222222221</v>
      </c>
      <c r="J194" s="68"/>
      <c r="K194" s="67" t="s">
        <v>1718</v>
      </c>
      <c r="L194" s="67" t="s">
        <v>1199</v>
      </c>
      <c r="M194" s="67" t="s">
        <v>1272</v>
      </c>
    </row>
    <row r="195" spans="1:13" ht="12" customHeight="1" x14ac:dyDescent="0.2">
      <c r="A195" s="78">
        <v>232920</v>
      </c>
      <c r="B195" s="67" t="s">
        <v>248</v>
      </c>
      <c r="C195" s="67" t="s">
        <v>1196</v>
      </c>
      <c r="D195" s="67" t="s">
        <v>1199</v>
      </c>
      <c r="E195" s="67" t="s">
        <v>1273</v>
      </c>
      <c r="F195" s="67" t="s">
        <v>1613</v>
      </c>
      <c r="G195" s="67" t="s">
        <v>7</v>
      </c>
      <c r="H195" s="68">
        <v>0.57222222222222219</v>
      </c>
      <c r="I195" s="68">
        <v>0.57222222222222219</v>
      </c>
      <c r="J195" s="68"/>
      <c r="K195" s="67" t="s">
        <v>1722</v>
      </c>
      <c r="L195" s="67" t="s">
        <v>1199</v>
      </c>
      <c r="M195" s="67" t="s">
        <v>1273</v>
      </c>
    </row>
    <row r="196" spans="1:13" ht="12" customHeight="1" x14ac:dyDescent="0.2">
      <c r="A196" s="78">
        <v>212201</v>
      </c>
      <c r="B196" s="67" t="s">
        <v>249</v>
      </c>
      <c r="C196" s="67" t="s">
        <v>1196</v>
      </c>
      <c r="D196" s="67" t="s">
        <v>1199</v>
      </c>
      <c r="E196" s="67" t="s">
        <v>1274</v>
      </c>
      <c r="F196" s="67" t="s">
        <v>1614</v>
      </c>
      <c r="G196" s="67" t="s">
        <v>7</v>
      </c>
      <c r="H196" s="68">
        <v>1.2020833333333334</v>
      </c>
      <c r="I196" s="68">
        <v>1.2020833333333334</v>
      </c>
      <c r="J196" s="68"/>
      <c r="K196" s="67" t="s">
        <v>1724</v>
      </c>
      <c r="L196" s="67" t="s">
        <v>1199</v>
      </c>
      <c r="M196" s="67" t="s">
        <v>1274</v>
      </c>
    </row>
    <row r="197" spans="1:13" ht="12" customHeight="1" x14ac:dyDescent="0.2">
      <c r="A197" s="78">
        <v>203589</v>
      </c>
      <c r="B197" s="67" t="s">
        <v>250</v>
      </c>
      <c r="C197" s="67" t="s">
        <v>1196</v>
      </c>
      <c r="D197" s="67" t="s">
        <v>1199</v>
      </c>
      <c r="E197" s="67" t="s">
        <v>1269</v>
      </c>
      <c r="F197" s="67" t="s">
        <v>1609</v>
      </c>
      <c r="G197" s="67" t="s">
        <v>7</v>
      </c>
      <c r="H197" s="68">
        <v>1.0222222222222221</v>
      </c>
      <c r="I197" s="68">
        <v>1.0222222222222221</v>
      </c>
      <c r="J197" s="68"/>
      <c r="K197" s="67" t="s">
        <v>1718</v>
      </c>
      <c r="L197" s="67" t="s">
        <v>1199</v>
      </c>
      <c r="M197" s="67" t="s">
        <v>1269</v>
      </c>
    </row>
    <row r="198" spans="1:13" ht="12" customHeight="1" x14ac:dyDescent="0.2">
      <c r="A198" s="78">
        <v>201457</v>
      </c>
      <c r="B198" s="67" t="s">
        <v>251</v>
      </c>
      <c r="C198" s="67" t="s">
        <v>1196</v>
      </c>
      <c r="D198" s="67" t="s">
        <v>1199</v>
      </c>
      <c r="E198" s="67" t="s">
        <v>1268</v>
      </c>
      <c r="F198" s="67" t="s">
        <v>1608</v>
      </c>
      <c r="G198" s="67" t="s">
        <v>7</v>
      </c>
      <c r="H198" s="68">
        <v>1.04375</v>
      </c>
      <c r="I198" s="68">
        <v>1.04375</v>
      </c>
      <c r="J198" s="68"/>
      <c r="K198" s="67" t="s">
        <v>1720</v>
      </c>
      <c r="L198" s="67" t="s">
        <v>1199</v>
      </c>
      <c r="M198" s="67" t="s">
        <v>1268</v>
      </c>
    </row>
    <row r="199" spans="1:13" ht="12" customHeight="1" x14ac:dyDescent="0.2">
      <c r="A199" s="78">
        <v>222487</v>
      </c>
      <c r="B199" s="67" t="s">
        <v>252</v>
      </c>
      <c r="C199" s="67" t="s">
        <v>1196</v>
      </c>
      <c r="D199" s="67" t="s">
        <v>1199</v>
      </c>
      <c r="E199" s="67" t="s">
        <v>1275</v>
      </c>
      <c r="F199" s="67" t="s">
        <v>1614</v>
      </c>
      <c r="G199" s="67" t="s">
        <v>7</v>
      </c>
      <c r="H199" s="68">
        <v>0.36458333333333331</v>
      </c>
      <c r="I199" s="68">
        <v>0.36458333333333331</v>
      </c>
      <c r="J199" s="68"/>
      <c r="K199" s="67" t="s">
        <v>1719</v>
      </c>
      <c r="L199" s="67" t="s">
        <v>1199</v>
      </c>
      <c r="M199" s="67" t="s">
        <v>1275</v>
      </c>
    </row>
    <row r="200" spans="1:13" ht="12" customHeight="1" x14ac:dyDescent="0.2">
      <c r="A200" s="78">
        <v>232916</v>
      </c>
      <c r="B200" s="67" t="s">
        <v>253</v>
      </c>
      <c r="C200" s="67" t="s">
        <v>1196</v>
      </c>
      <c r="D200" s="67" t="s">
        <v>1199</v>
      </c>
      <c r="E200" s="67" t="s">
        <v>1276</v>
      </c>
      <c r="F200" s="67" t="s">
        <v>1615</v>
      </c>
      <c r="G200" s="67" t="s">
        <v>7</v>
      </c>
      <c r="H200" s="68">
        <v>7.5</v>
      </c>
      <c r="I200" s="68">
        <v>7.5</v>
      </c>
      <c r="J200" s="68"/>
      <c r="K200" s="67" t="s">
        <v>1718</v>
      </c>
      <c r="L200" s="67" t="s">
        <v>1199</v>
      </c>
      <c r="M200" s="67" t="s">
        <v>1276</v>
      </c>
    </row>
    <row r="201" spans="1:13" ht="12" customHeight="1" x14ac:dyDescent="0.2">
      <c r="A201" s="78">
        <v>201614</v>
      </c>
      <c r="B201" s="67" t="s">
        <v>254</v>
      </c>
      <c r="C201" s="67" t="s">
        <v>1196</v>
      </c>
      <c r="D201" s="67" t="s">
        <v>1199</v>
      </c>
      <c r="E201" s="67" t="s">
        <v>1277</v>
      </c>
      <c r="F201" s="67" t="s">
        <v>1616</v>
      </c>
      <c r="G201" s="67" t="s">
        <v>7</v>
      </c>
      <c r="H201" s="68">
        <v>0.16666666666666666</v>
      </c>
      <c r="I201" s="68">
        <v>0.16666666666666666</v>
      </c>
      <c r="J201" s="68"/>
      <c r="K201" s="67" t="s">
        <v>1720</v>
      </c>
      <c r="L201" s="67" t="s">
        <v>1199</v>
      </c>
      <c r="M201" s="67" t="s">
        <v>1277</v>
      </c>
    </row>
    <row r="202" spans="1:13" ht="12" customHeight="1" x14ac:dyDescent="0.2">
      <c r="A202" s="78">
        <v>233935</v>
      </c>
      <c r="B202" s="67" t="s">
        <v>255</v>
      </c>
      <c r="C202" s="67" t="s">
        <v>1196</v>
      </c>
      <c r="D202" s="67" t="s">
        <v>1199</v>
      </c>
      <c r="E202" s="67" t="s">
        <v>1278</v>
      </c>
      <c r="F202" s="67" t="s">
        <v>1617</v>
      </c>
      <c r="G202" s="67" t="s">
        <v>7</v>
      </c>
      <c r="H202" s="68">
        <v>0.20069444444444443</v>
      </c>
      <c r="I202" s="68">
        <v>0.20069444444444443</v>
      </c>
      <c r="J202" s="68"/>
      <c r="K202" s="67" t="s">
        <v>1718</v>
      </c>
      <c r="L202" s="67" t="s">
        <v>1199</v>
      </c>
      <c r="M202" s="67" t="s">
        <v>1278</v>
      </c>
    </row>
    <row r="203" spans="1:13" ht="12" customHeight="1" x14ac:dyDescent="0.2">
      <c r="A203" s="78">
        <v>219749</v>
      </c>
      <c r="B203" s="67" t="s">
        <v>256</v>
      </c>
      <c r="C203" s="67" t="s">
        <v>1196</v>
      </c>
      <c r="D203" s="67" t="s">
        <v>1199</v>
      </c>
      <c r="E203" s="67" t="s">
        <v>1279</v>
      </c>
      <c r="F203" s="67" t="s">
        <v>1618</v>
      </c>
      <c r="G203" s="67" t="s">
        <v>7</v>
      </c>
      <c r="H203" s="68">
        <v>2.5965277777777778</v>
      </c>
      <c r="I203" s="68">
        <v>2.5965277777777778</v>
      </c>
      <c r="J203" s="68"/>
      <c r="K203" s="67" t="s">
        <v>1720</v>
      </c>
      <c r="L203" s="67" t="s">
        <v>1199</v>
      </c>
      <c r="M203" s="67" t="s">
        <v>1279</v>
      </c>
    </row>
    <row r="204" spans="1:13" ht="12" customHeight="1" x14ac:dyDescent="0.2">
      <c r="A204" s="78">
        <v>223801</v>
      </c>
      <c r="B204" s="67" t="s">
        <v>257</v>
      </c>
      <c r="C204" s="67" t="s">
        <v>1196</v>
      </c>
      <c r="D204" s="67" t="s">
        <v>1199</v>
      </c>
      <c r="E204" s="67" t="s">
        <v>1280</v>
      </c>
      <c r="F204" s="67" t="s">
        <v>1618</v>
      </c>
      <c r="G204" s="67" t="s">
        <v>7</v>
      </c>
      <c r="H204" s="68">
        <v>0.76736111111111116</v>
      </c>
      <c r="I204" s="68">
        <v>0.76736111111111116</v>
      </c>
      <c r="J204" s="68"/>
      <c r="K204" s="67" t="s">
        <v>1718</v>
      </c>
      <c r="L204" s="67" t="s">
        <v>1199</v>
      </c>
      <c r="M204" s="67" t="s">
        <v>1280</v>
      </c>
    </row>
    <row r="205" spans="1:13" ht="12" customHeight="1" x14ac:dyDescent="0.2">
      <c r="A205" s="78">
        <v>217786</v>
      </c>
      <c r="B205" s="67" t="s">
        <v>258</v>
      </c>
      <c r="C205" s="67" t="s">
        <v>1196</v>
      </c>
      <c r="D205" s="67" t="s">
        <v>1199</v>
      </c>
      <c r="E205" s="67" t="s">
        <v>1268</v>
      </c>
      <c r="F205" s="67" t="s">
        <v>1608</v>
      </c>
      <c r="G205" s="67" t="s">
        <v>7</v>
      </c>
      <c r="H205" s="68">
        <v>0.89166666666666661</v>
      </c>
      <c r="I205" s="68">
        <v>0.89166666666666661</v>
      </c>
      <c r="J205" s="68"/>
      <c r="K205" s="67" t="s">
        <v>1720</v>
      </c>
      <c r="L205" s="67" t="s">
        <v>1199</v>
      </c>
      <c r="M205" s="67" t="s">
        <v>1268</v>
      </c>
    </row>
    <row r="206" spans="1:13" ht="12" customHeight="1" x14ac:dyDescent="0.2">
      <c r="A206" s="78">
        <v>237751</v>
      </c>
      <c r="B206" s="67" t="s">
        <v>259</v>
      </c>
      <c r="C206" s="67" t="s">
        <v>1196</v>
      </c>
      <c r="D206" s="67" t="s">
        <v>1199</v>
      </c>
      <c r="E206" s="67" t="s">
        <v>1281</v>
      </c>
      <c r="F206" s="67" t="s">
        <v>1619</v>
      </c>
      <c r="G206" s="67" t="s">
        <v>7</v>
      </c>
      <c r="H206" s="68">
        <v>0.19097222222222221</v>
      </c>
      <c r="I206" s="68">
        <v>0.19097222222222221</v>
      </c>
      <c r="J206" s="68"/>
      <c r="K206" s="67" t="s">
        <v>1720</v>
      </c>
      <c r="L206" s="67" t="s">
        <v>1199</v>
      </c>
      <c r="M206" s="67" t="s">
        <v>1281</v>
      </c>
    </row>
    <row r="207" spans="1:13" ht="12" customHeight="1" x14ac:dyDescent="0.2">
      <c r="A207" s="78">
        <v>232864</v>
      </c>
      <c r="B207" s="67" t="s">
        <v>260</v>
      </c>
      <c r="C207" s="67" t="s">
        <v>1196</v>
      </c>
      <c r="D207" s="67" t="s">
        <v>1199</v>
      </c>
      <c r="E207" s="67" t="s">
        <v>1282</v>
      </c>
      <c r="F207" s="67" t="s">
        <v>1620</v>
      </c>
      <c r="G207" s="67" t="s">
        <v>7</v>
      </c>
      <c r="H207" s="68">
        <v>1.0416666666666666E-2</v>
      </c>
      <c r="I207" s="68">
        <v>1.0416666666666666E-2</v>
      </c>
      <c r="J207" s="68"/>
      <c r="K207" s="67" t="s">
        <v>1718</v>
      </c>
      <c r="L207" s="67" t="s">
        <v>1199</v>
      </c>
      <c r="M207" s="67" t="s">
        <v>1282</v>
      </c>
    </row>
    <row r="208" spans="1:13" ht="12" customHeight="1" x14ac:dyDescent="0.2">
      <c r="A208" s="78">
        <v>203648</v>
      </c>
      <c r="B208" s="67" t="s">
        <v>261</v>
      </c>
      <c r="C208" s="67" t="s">
        <v>1196</v>
      </c>
      <c r="D208" s="67" t="s">
        <v>1199</v>
      </c>
      <c r="E208" s="67" t="s">
        <v>1283</v>
      </c>
      <c r="F208" s="67" t="s">
        <v>1616</v>
      </c>
      <c r="G208" s="67" t="s">
        <v>7</v>
      </c>
      <c r="H208" s="68">
        <v>1.1736111111111112</v>
      </c>
      <c r="I208" s="68">
        <v>1.1736111111111112</v>
      </c>
      <c r="J208" s="68"/>
      <c r="K208" s="67" t="s">
        <v>1718</v>
      </c>
      <c r="L208" s="67" t="s">
        <v>1199</v>
      </c>
      <c r="M208" s="67" t="s">
        <v>1283</v>
      </c>
    </row>
    <row r="209" spans="1:13" ht="12" customHeight="1" x14ac:dyDescent="0.2">
      <c r="A209" s="78">
        <v>232736</v>
      </c>
      <c r="B209" s="67" t="s">
        <v>262</v>
      </c>
      <c r="C209" s="67" t="s">
        <v>1196</v>
      </c>
      <c r="D209" s="67" t="s">
        <v>1199</v>
      </c>
      <c r="E209" s="67" t="s">
        <v>1284</v>
      </c>
      <c r="F209" s="67" t="s">
        <v>1614</v>
      </c>
      <c r="G209" s="67" t="s">
        <v>7</v>
      </c>
      <c r="H209" s="68">
        <v>0.1986111111111111</v>
      </c>
      <c r="I209" s="68">
        <v>0.1986111111111111</v>
      </c>
      <c r="J209" s="68"/>
      <c r="K209" s="67" t="s">
        <v>1719</v>
      </c>
      <c r="L209" s="67" t="s">
        <v>1199</v>
      </c>
      <c r="M209" s="67" t="s">
        <v>1284</v>
      </c>
    </row>
    <row r="210" spans="1:13" ht="12" customHeight="1" x14ac:dyDescent="0.2">
      <c r="A210" s="78">
        <v>230827</v>
      </c>
      <c r="B210" s="67" t="s">
        <v>263</v>
      </c>
      <c r="C210" s="67" t="s">
        <v>1196</v>
      </c>
      <c r="D210" s="67" t="s">
        <v>1199</v>
      </c>
      <c r="E210" s="67" t="s">
        <v>1285</v>
      </c>
      <c r="F210" s="67" t="s">
        <v>1621</v>
      </c>
      <c r="G210" s="67" t="s">
        <v>7</v>
      </c>
      <c r="H210" s="68">
        <v>1.9305555555555554</v>
      </c>
      <c r="I210" s="68">
        <v>1.9305555555555554</v>
      </c>
      <c r="J210" s="68"/>
      <c r="K210" s="67" t="s">
        <v>1718</v>
      </c>
      <c r="L210" s="67" t="s">
        <v>1199</v>
      </c>
      <c r="M210" s="67" t="s">
        <v>1285</v>
      </c>
    </row>
    <row r="211" spans="1:13" ht="12" customHeight="1" x14ac:dyDescent="0.2">
      <c r="A211" s="78">
        <v>237800</v>
      </c>
      <c r="B211" s="67" t="s">
        <v>264</v>
      </c>
      <c r="C211" s="67" t="s">
        <v>1196</v>
      </c>
      <c r="D211" s="67" t="s">
        <v>1199</v>
      </c>
      <c r="E211" s="67" t="s">
        <v>1286</v>
      </c>
      <c r="F211" s="67" t="s">
        <v>1622</v>
      </c>
      <c r="G211" s="67" t="s">
        <v>7</v>
      </c>
      <c r="H211" s="68">
        <v>8.7500000000000008E-2</v>
      </c>
      <c r="I211" s="68">
        <v>8.7500000000000008E-2</v>
      </c>
      <c r="J211" s="68"/>
      <c r="K211" s="67" t="s">
        <v>1720</v>
      </c>
      <c r="L211" s="67" t="s">
        <v>1199</v>
      </c>
      <c r="M211" s="67" t="s">
        <v>1286</v>
      </c>
    </row>
    <row r="212" spans="1:13" ht="12" customHeight="1" x14ac:dyDescent="0.2">
      <c r="A212" s="78">
        <v>235411</v>
      </c>
      <c r="B212" s="67" t="s">
        <v>265</v>
      </c>
      <c r="C212" s="67" t="s">
        <v>1196</v>
      </c>
      <c r="D212" s="67" t="s">
        <v>1199</v>
      </c>
      <c r="E212" s="67" t="s">
        <v>1278</v>
      </c>
      <c r="F212" s="67" t="s">
        <v>1617</v>
      </c>
      <c r="G212" s="67" t="s">
        <v>7</v>
      </c>
      <c r="H212" s="68">
        <v>1.7965277777777779</v>
      </c>
      <c r="I212" s="68">
        <v>1.7965277777777779</v>
      </c>
      <c r="J212" s="68"/>
      <c r="K212" s="67" t="s">
        <v>1718</v>
      </c>
      <c r="L212" s="67" t="s">
        <v>1199</v>
      </c>
      <c r="M212" s="67" t="s">
        <v>1278</v>
      </c>
    </row>
    <row r="213" spans="1:13" ht="12" customHeight="1" x14ac:dyDescent="0.2">
      <c r="A213" s="78">
        <v>201474</v>
      </c>
      <c r="B213" s="67" t="s">
        <v>266</v>
      </c>
      <c r="C213" s="67" t="s">
        <v>1196</v>
      </c>
      <c r="D213" s="67" t="s">
        <v>1199</v>
      </c>
      <c r="E213" s="67" t="s">
        <v>1285</v>
      </c>
      <c r="F213" s="67" t="s">
        <v>1621</v>
      </c>
      <c r="G213" s="67" t="s">
        <v>7</v>
      </c>
      <c r="H213" s="68">
        <v>1.117361111111111</v>
      </c>
      <c r="I213" s="68">
        <v>1.117361111111111</v>
      </c>
      <c r="J213" s="68"/>
      <c r="K213" s="67" t="s">
        <v>1718</v>
      </c>
      <c r="L213" s="67" t="s">
        <v>1199</v>
      </c>
      <c r="M213" s="67" t="s">
        <v>1285</v>
      </c>
    </row>
    <row r="214" spans="1:13" ht="12" customHeight="1" x14ac:dyDescent="0.2">
      <c r="A214" s="78">
        <v>234609</v>
      </c>
      <c r="B214" s="67" t="s">
        <v>267</v>
      </c>
      <c r="C214" s="67" t="s">
        <v>1196</v>
      </c>
      <c r="D214" s="67" t="s">
        <v>1199</v>
      </c>
      <c r="E214" s="67" t="s">
        <v>1272</v>
      </c>
      <c r="F214" s="67" t="s">
        <v>1612</v>
      </c>
      <c r="G214" s="67" t="s">
        <v>7</v>
      </c>
      <c r="H214" s="68">
        <v>0.74930555555555556</v>
      </c>
      <c r="I214" s="68">
        <v>0.74930555555555556</v>
      </c>
      <c r="J214" s="68"/>
      <c r="K214" s="67" t="s">
        <v>1718</v>
      </c>
      <c r="L214" s="67" t="s">
        <v>1199</v>
      </c>
      <c r="M214" s="67" t="s">
        <v>1272</v>
      </c>
    </row>
    <row r="215" spans="1:13" ht="12" customHeight="1" x14ac:dyDescent="0.2">
      <c r="A215" s="78">
        <v>233895</v>
      </c>
      <c r="B215" s="67" t="s">
        <v>268</v>
      </c>
      <c r="C215" s="67" t="s">
        <v>1196</v>
      </c>
      <c r="D215" s="67" t="s">
        <v>1199</v>
      </c>
      <c r="E215" s="67" t="s">
        <v>1271</v>
      </c>
      <c r="F215" s="67" t="s">
        <v>1611</v>
      </c>
      <c r="G215" s="67" t="s">
        <v>7</v>
      </c>
      <c r="H215" s="68">
        <v>0.14097222222222222</v>
      </c>
      <c r="I215" s="68">
        <v>0.14097222222222222</v>
      </c>
      <c r="J215" s="68"/>
      <c r="K215" s="67" t="s">
        <v>1718</v>
      </c>
      <c r="L215" s="67" t="s">
        <v>1199</v>
      </c>
      <c r="M215" s="67" t="s">
        <v>1271</v>
      </c>
    </row>
    <row r="216" spans="1:13" ht="12" customHeight="1" x14ac:dyDescent="0.2">
      <c r="A216" s="78">
        <v>203354</v>
      </c>
      <c r="B216" s="67" t="s">
        <v>269</v>
      </c>
      <c r="C216" s="67" t="s">
        <v>1196</v>
      </c>
      <c r="D216" s="67" t="s">
        <v>1199</v>
      </c>
      <c r="E216" s="67" t="s">
        <v>1287</v>
      </c>
      <c r="F216" s="67" t="s">
        <v>1608</v>
      </c>
      <c r="G216" s="67" t="s">
        <v>7</v>
      </c>
      <c r="H216" s="68">
        <v>0.60138888888888886</v>
      </c>
      <c r="I216" s="68">
        <v>0.60138888888888886</v>
      </c>
      <c r="J216" s="68"/>
      <c r="K216" s="67" t="s">
        <v>1718</v>
      </c>
      <c r="L216" s="67" t="s">
        <v>1199</v>
      </c>
      <c r="M216" s="67" t="s">
        <v>1287</v>
      </c>
    </row>
    <row r="217" spans="1:13" ht="12" customHeight="1" x14ac:dyDescent="0.2">
      <c r="A217" s="78">
        <v>230912</v>
      </c>
      <c r="B217" s="67" t="s">
        <v>270</v>
      </c>
      <c r="C217" s="67" t="s">
        <v>1196</v>
      </c>
      <c r="D217" s="67" t="s">
        <v>1199</v>
      </c>
      <c r="E217" s="67" t="s">
        <v>1280</v>
      </c>
      <c r="F217" s="67" t="s">
        <v>1618</v>
      </c>
      <c r="G217" s="67" t="s">
        <v>7</v>
      </c>
      <c r="H217" s="68">
        <v>0.20486111111111113</v>
      </c>
      <c r="I217" s="68">
        <v>0.20486111111111113</v>
      </c>
      <c r="J217" s="68"/>
      <c r="K217" s="67" t="s">
        <v>1718</v>
      </c>
      <c r="L217" s="67" t="s">
        <v>1199</v>
      </c>
      <c r="M217" s="67" t="s">
        <v>1280</v>
      </c>
    </row>
    <row r="218" spans="1:13" ht="12" customHeight="1" x14ac:dyDescent="0.2">
      <c r="A218" s="78">
        <v>234151</v>
      </c>
      <c r="B218" s="67" t="s">
        <v>271</v>
      </c>
      <c r="C218" s="67" t="s">
        <v>1196</v>
      </c>
      <c r="D218" s="67" t="s">
        <v>1199</v>
      </c>
      <c r="E218" s="67" t="s">
        <v>1288</v>
      </c>
      <c r="F218" s="67" t="s">
        <v>1622</v>
      </c>
      <c r="G218" s="67" t="s">
        <v>7</v>
      </c>
      <c r="H218" s="68">
        <v>1.3423611111111111</v>
      </c>
      <c r="I218" s="68">
        <v>1.3423611111111111</v>
      </c>
      <c r="J218" s="68"/>
      <c r="K218" s="67" t="s">
        <v>1718</v>
      </c>
      <c r="L218" s="67" t="s">
        <v>1199</v>
      </c>
      <c r="M218" s="67" t="s">
        <v>1288</v>
      </c>
    </row>
    <row r="219" spans="1:13" ht="12" customHeight="1" x14ac:dyDescent="0.2">
      <c r="A219" s="78">
        <v>235730</v>
      </c>
      <c r="B219" s="67" t="s">
        <v>272</v>
      </c>
      <c r="C219" s="67" t="s">
        <v>1196</v>
      </c>
      <c r="D219" s="67" t="s">
        <v>1199</v>
      </c>
      <c r="E219" s="67" t="s">
        <v>1270</v>
      </c>
      <c r="F219" s="67" t="s">
        <v>1610</v>
      </c>
      <c r="G219" s="67" t="s">
        <v>7</v>
      </c>
      <c r="H219" s="68">
        <v>0.26458333333333334</v>
      </c>
      <c r="I219" s="68">
        <v>0.26458333333333334</v>
      </c>
      <c r="J219" s="68"/>
      <c r="K219" s="67" t="s">
        <v>1718</v>
      </c>
      <c r="L219" s="67" t="s">
        <v>1199</v>
      </c>
      <c r="M219" s="67" t="s">
        <v>1270</v>
      </c>
    </row>
    <row r="220" spans="1:13" ht="12" customHeight="1" x14ac:dyDescent="0.2">
      <c r="A220" s="78">
        <v>201012</v>
      </c>
      <c r="B220" s="67" t="s">
        <v>273</v>
      </c>
      <c r="C220" s="67" t="s">
        <v>1196</v>
      </c>
      <c r="D220" s="67" t="s">
        <v>1199</v>
      </c>
      <c r="E220" s="67" t="s">
        <v>1277</v>
      </c>
      <c r="F220" s="67" t="s">
        <v>1616</v>
      </c>
      <c r="G220" s="67" t="s">
        <v>7</v>
      </c>
      <c r="H220" s="68">
        <v>7.0833333333333331E-2</v>
      </c>
      <c r="I220" s="68">
        <v>7.0833333333333331E-2</v>
      </c>
      <c r="J220" s="68"/>
      <c r="K220" s="67" t="s">
        <v>1721</v>
      </c>
      <c r="L220" s="67" t="s">
        <v>1199</v>
      </c>
      <c r="M220" s="67" t="s">
        <v>1277</v>
      </c>
    </row>
    <row r="221" spans="1:13" ht="12" customHeight="1" x14ac:dyDescent="0.2">
      <c r="A221" s="78">
        <v>222516</v>
      </c>
      <c r="B221" s="67" t="s">
        <v>274</v>
      </c>
      <c r="C221" s="67" t="s">
        <v>1196</v>
      </c>
      <c r="D221" s="67" t="s">
        <v>1199</v>
      </c>
      <c r="E221" s="67" t="s">
        <v>1289</v>
      </c>
      <c r="F221" s="67" t="s">
        <v>1610</v>
      </c>
      <c r="G221" s="67" t="s">
        <v>7</v>
      </c>
      <c r="H221" s="68">
        <v>0.23333333333333331</v>
      </c>
      <c r="I221" s="68">
        <v>0.23333333333333331</v>
      </c>
      <c r="J221" s="68"/>
      <c r="K221" s="67" t="s">
        <v>1721</v>
      </c>
      <c r="L221" s="67" t="s">
        <v>1199</v>
      </c>
      <c r="M221" s="67" t="s">
        <v>1289</v>
      </c>
    </row>
    <row r="222" spans="1:13" ht="12" customHeight="1" x14ac:dyDescent="0.2">
      <c r="A222" s="78">
        <v>235704</v>
      </c>
      <c r="B222" s="67" t="s">
        <v>275</v>
      </c>
      <c r="C222" s="67" t="s">
        <v>1196</v>
      </c>
      <c r="D222" s="67" t="s">
        <v>1199</v>
      </c>
      <c r="E222" s="67" t="s">
        <v>1276</v>
      </c>
      <c r="F222" s="67" t="s">
        <v>1615</v>
      </c>
      <c r="G222" s="67" t="s">
        <v>7</v>
      </c>
      <c r="H222" s="68">
        <v>6.7</v>
      </c>
      <c r="I222" s="68">
        <v>6.7</v>
      </c>
      <c r="J222" s="68"/>
      <c r="K222" s="67" t="s">
        <v>1718</v>
      </c>
      <c r="L222" s="67" t="s">
        <v>1199</v>
      </c>
      <c r="M222" s="67" t="s">
        <v>1276</v>
      </c>
    </row>
    <row r="223" spans="1:13" ht="12" customHeight="1" x14ac:dyDescent="0.2">
      <c r="A223" s="78">
        <v>203017</v>
      </c>
      <c r="B223" s="67" t="s">
        <v>276</v>
      </c>
      <c r="C223" s="67" t="s">
        <v>1196</v>
      </c>
      <c r="D223" s="67" t="s">
        <v>1199</v>
      </c>
      <c r="E223" s="67" t="s">
        <v>1269</v>
      </c>
      <c r="F223" s="67" t="s">
        <v>1609</v>
      </c>
      <c r="G223" s="67" t="s">
        <v>7</v>
      </c>
      <c r="H223" s="68">
        <v>0.10625</v>
      </c>
      <c r="I223" s="68">
        <v>0.10625</v>
      </c>
      <c r="J223" s="68"/>
      <c r="K223" s="67" t="s">
        <v>1718</v>
      </c>
      <c r="L223" s="67" t="s">
        <v>1199</v>
      </c>
      <c r="M223" s="67" t="s">
        <v>1269</v>
      </c>
    </row>
    <row r="224" spans="1:13" ht="12" customHeight="1" x14ac:dyDescent="0.2">
      <c r="A224" s="78">
        <v>219390</v>
      </c>
      <c r="B224" s="67" t="s">
        <v>277</v>
      </c>
      <c r="C224" s="67" t="s">
        <v>1196</v>
      </c>
      <c r="D224" s="67" t="s">
        <v>1199</v>
      </c>
      <c r="E224" s="67" t="s">
        <v>1279</v>
      </c>
      <c r="F224" s="67" t="s">
        <v>1618</v>
      </c>
      <c r="G224" s="67" t="s">
        <v>7</v>
      </c>
      <c r="H224" s="68">
        <v>0.58263888888888882</v>
      </c>
      <c r="I224" s="68">
        <v>0.58263888888888882</v>
      </c>
      <c r="J224" s="68"/>
      <c r="K224" s="67" t="s">
        <v>1720</v>
      </c>
      <c r="L224" s="67" t="s">
        <v>1199</v>
      </c>
      <c r="M224" s="67" t="s">
        <v>1279</v>
      </c>
    </row>
    <row r="225" spans="1:13" ht="12" customHeight="1" x14ac:dyDescent="0.2">
      <c r="A225" s="78">
        <v>201227</v>
      </c>
      <c r="B225" s="67" t="s">
        <v>278</v>
      </c>
      <c r="C225" s="67" t="s">
        <v>1196</v>
      </c>
      <c r="D225" s="67" t="s">
        <v>1199</v>
      </c>
      <c r="E225" s="67" t="s">
        <v>1290</v>
      </c>
      <c r="F225" s="67" t="s">
        <v>1612</v>
      </c>
      <c r="G225" s="67" t="s">
        <v>7</v>
      </c>
      <c r="H225" s="68">
        <v>0.40416666666666662</v>
      </c>
      <c r="I225" s="68">
        <v>0.40416666666666662</v>
      </c>
      <c r="J225" s="68"/>
      <c r="K225" s="67" t="s">
        <v>1720</v>
      </c>
      <c r="L225" s="67" t="s">
        <v>1199</v>
      </c>
      <c r="M225" s="67" t="s">
        <v>1290</v>
      </c>
    </row>
    <row r="226" spans="1:13" ht="12" customHeight="1" x14ac:dyDescent="0.2">
      <c r="A226" s="78">
        <v>236227</v>
      </c>
      <c r="B226" s="67" t="s">
        <v>279</v>
      </c>
      <c r="C226" s="67" t="s">
        <v>1196</v>
      </c>
      <c r="D226" s="67" t="s">
        <v>1199</v>
      </c>
      <c r="E226" s="67" t="s">
        <v>1269</v>
      </c>
      <c r="F226" s="67" t="s">
        <v>1609</v>
      </c>
      <c r="G226" s="67" t="s">
        <v>7</v>
      </c>
      <c r="H226" s="68">
        <v>0.29375000000000001</v>
      </c>
      <c r="I226" s="68">
        <v>0.29375000000000001</v>
      </c>
      <c r="J226" s="68"/>
      <c r="K226" s="67" t="s">
        <v>1718</v>
      </c>
      <c r="L226" s="67" t="s">
        <v>1199</v>
      </c>
      <c r="M226" s="67" t="s">
        <v>1269</v>
      </c>
    </row>
    <row r="227" spans="1:13" ht="12" customHeight="1" x14ac:dyDescent="0.2">
      <c r="A227" s="78">
        <v>201985</v>
      </c>
      <c r="B227" s="67" t="s">
        <v>280</v>
      </c>
      <c r="C227" s="67" t="s">
        <v>1196</v>
      </c>
      <c r="D227" s="67" t="s">
        <v>1199</v>
      </c>
      <c r="E227" s="67" t="s">
        <v>1291</v>
      </c>
      <c r="F227" s="67" t="s">
        <v>1621</v>
      </c>
      <c r="G227" s="67" t="s">
        <v>7</v>
      </c>
      <c r="H227" s="68">
        <v>6.0229166666666663</v>
      </c>
      <c r="I227" s="68">
        <v>6.0229166666666663</v>
      </c>
      <c r="J227" s="68"/>
      <c r="K227" s="67" t="s">
        <v>1720</v>
      </c>
      <c r="L227" s="67" t="s">
        <v>1199</v>
      </c>
      <c r="M227" s="67" t="s">
        <v>1291</v>
      </c>
    </row>
    <row r="228" spans="1:13" ht="12" customHeight="1" x14ac:dyDescent="0.2">
      <c r="A228" s="78">
        <v>203405</v>
      </c>
      <c r="B228" s="67" t="s">
        <v>281</v>
      </c>
      <c r="C228" s="67" t="s">
        <v>1196</v>
      </c>
      <c r="D228" s="67" t="s">
        <v>1199</v>
      </c>
      <c r="E228" s="67" t="s">
        <v>1280</v>
      </c>
      <c r="F228" s="67" t="s">
        <v>1618</v>
      </c>
      <c r="G228" s="67" t="s">
        <v>7</v>
      </c>
      <c r="H228" s="68">
        <v>4.7916666666666663E-2</v>
      </c>
      <c r="I228" s="68">
        <v>4.7916666666666663E-2</v>
      </c>
      <c r="J228" s="68"/>
      <c r="K228" s="67" t="s">
        <v>1718</v>
      </c>
      <c r="L228" s="67" t="s">
        <v>1199</v>
      </c>
      <c r="M228" s="67" t="s">
        <v>1280</v>
      </c>
    </row>
    <row r="229" spans="1:13" ht="12" customHeight="1" x14ac:dyDescent="0.2">
      <c r="A229" s="78">
        <v>201347</v>
      </c>
      <c r="B229" s="67" t="s">
        <v>282</v>
      </c>
      <c r="C229" s="67" t="s">
        <v>1196</v>
      </c>
      <c r="D229" s="67" t="s">
        <v>1199</v>
      </c>
      <c r="E229" s="67" t="s">
        <v>1291</v>
      </c>
      <c r="F229" s="67" t="s">
        <v>1621</v>
      </c>
      <c r="G229" s="67" t="s">
        <v>7</v>
      </c>
      <c r="H229" s="68">
        <v>1.6055555555555556</v>
      </c>
      <c r="I229" s="68">
        <v>1.6055555555555556</v>
      </c>
      <c r="J229" s="68"/>
      <c r="K229" s="67" t="s">
        <v>1720</v>
      </c>
      <c r="L229" s="67" t="s">
        <v>1199</v>
      </c>
      <c r="M229" s="67" t="s">
        <v>1291</v>
      </c>
    </row>
    <row r="230" spans="1:13" ht="12" customHeight="1" x14ac:dyDescent="0.2">
      <c r="A230" s="78">
        <v>230822</v>
      </c>
      <c r="B230" s="67" t="s">
        <v>283</v>
      </c>
      <c r="C230" s="67" t="s">
        <v>1196</v>
      </c>
      <c r="D230" s="67" t="s">
        <v>1199</v>
      </c>
      <c r="E230" s="67" t="s">
        <v>1285</v>
      </c>
      <c r="F230" s="67" t="s">
        <v>1621</v>
      </c>
      <c r="G230" s="67" t="s">
        <v>7</v>
      </c>
      <c r="H230" s="68">
        <v>4.396527777777778</v>
      </c>
      <c r="I230" s="68">
        <v>4.396527777777778</v>
      </c>
      <c r="J230" s="68"/>
      <c r="K230" s="67" t="s">
        <v>1718</v>
      </c>
      <c r="L230" s="67" t="s">
        <v>1199</v>
      </c>
      <c r="M230" s="67" t="s">
        <v>1285</v>
      </c>
    </row>
    <row r="231" spans="1:13" ht="12" customHeight="1" x14ac:dyDescent="0.2">
      <c r="A231" s="78">
        <v>223744</v>
      </c>
      <c r="B231" s="67" t="s">
        <v>284</v>
      </c>
      <c r="C231" s="67" t="s">
        <v>1196</v>
      </c>
      <c r="D231" s="67" t="s">
        <v>1199</v>
      </c>
      <c r="E231" s="67" t="s">
        <v>1281</v>
      </c>
      <c r="F231" s="67" t="s">
        <v>1619</v>
      </c>
      <c r="G231" s="67" t="s">
        <v>7</v>
      </c>
      <c r="H231" s="68">
        <v>1.6416666666666666</v>
      </c>
      <c r="I231" s="68">
        <v>1.6416666666666666</v>
      </c>
      <c r="J231" s="68"/>
      <c r="K231" s="67" t="s">
        <v>1720</v>
      </c>
      <c r="L231" s="67" t="s">
        <v>1199</v>
      </c>
      <c r="M231" s="67" t="s">
        <v>1281</v>
      </c>
    </row>
    <row r="232" spans="1:13" ht="12" customHeight="1" x14ac:dyDescent="0.2">
      <c r="A232" s="78">
        <v>212530</v>
      </c>
      <c r="B232" s="67" t="s">
        <v>285</v>
      </c>
      <c r="C232" s="67" t="s">
        <v>1196</v>
      </c>
      <c r="D232" s="67" t="s">
        <v>1199</v>
      </c>
      <c r="E232" s="67" t="s">
        <v>1292</v>
      </c>
      <c r="F232" s="67" t="s">
        <v>1614</v>
      </c>
      <c r="G232" s="67" t="s">
        <v>7</v>
      </c>
      <c r="H232" s="68">
        <v>0.15347222222222223</v>
      </c>
      <c r="I232" s="68">
        <v>0.15347222222222223</v>
      </c>
      <c r="J232" s="68"/>
      <c r="K232" s="67" t="s">
        <v>1719</v>
      </c>
      <c r="L232" s="67" t="s">
        <v>1199</v>
      </c>
      <c r="M232" s="67" t="s">
        <v>1292</v>
      </c>
    </row>
    <row r="233" spans="1:13" ht="12" customHeight="1" x14ac:dyDescent="0.2">
      <c r="A233" s="78">
        <v>212713</v>
      </c>
      <c r="B233" s="67" t="s">
        <v>286</v>
      </c>
      <c r="C233" s="67" t="s">
        <v>1196</v>
      </c>
      <c r="D233" s="67" t="s">
        <v>1199</v>
      </c>
      <c r="E233" s="67" t="s">
        <v>1293</v>
      </c>
      <c r="F233" s="67" t="s">
        <v>1614</v>
      </c>
      <c r="G233" s="67" t="s">
        <v>7</v>
      </c>
      <c r="H233" s="68">
        <v>0.10902777777777778</v>
      </c>
      <c r="I233" s="68">
        <v>0.10902777777777778</v>
      </c>
      <c r="J233" s="68"/>
      <c r="K233" s="67" t="s">
        <v>1724</v>
      </c>
      <c r="L233" s="67" t="s">
        <v>1199</v>
      </c>
      <c r="M233" s="67" t="s">
        <v>1293</v>
      </c>
    </row>
    <row r="234" spans="1:13" ht="12" customHeight="1" x14ac:dyDescent="0.2">
      <c r="A234" s="78">
        <v>201241</v>
      </c>
      <c r="B234" s="67" t="s">
        <v>287</v>
      </c>
      <c r="C234" s="67" t="s">
        <v>1196</v>
      </c>
      <c r="D234" s="67" t="s">
        <v>1199</v>
      </c>
      <c r="E234" s="67" t="s">
        <v>1290</v>
      </c>
      <c r="F234" s="67" t="s">
        <v>1612</v>
      </c>
      <c r="G234" s="67" t="s">
        <v>7</v>
      </c>
      <c r="H234" s="68">
        <v>0.49513888888888885</v>
      </c>
      <c r="I234" s="68">
        <v>0.49513888888888885</v>
      </c>
      <c r="J234" s="68"/>
      <c r="K234" s="67" t="s">
        <v>1721</v>
      </c>
      <c r="L234" s="67" t="s">
        <v>1199</v>
      </c>
      <c r="M234" s="67" t="s">
        <v>1290</v>
      </c>
    </row>
    <row r="235" spans="1:13" ht="12" customHeight="1" x14ac:dyDescent="0.2">
      <c r="A235" s="78">
        <v>232098</v>
      </c>
      <c r="B235" s="67" t="s">
        <v>288</v>
      </c>
      <c r="C235" s="67" t="s">
        <v>1196</v>
      </c>
      <c r="D235" s="67" t="s">
        <v>1199</v>
      </c>
      <c r="E235" s="67" t="s">
        <v>1272</v>
      </c>
      <c r="F235" s="67" t="s">
        <v>1612</v>
      </c>
      <c r="G235" s="67" t="s">
        <v>7</v>
      </c>
      <c r="H235" s="68">
        <v>1.101388888888889</v>
      </c>
      <c r="I235" s="68">
        <v>1.101388888888889</v>
      </c>
      <c r="J235" s="68"/>
      <c r="K235" s="67" t="s">
        <v>1718</v>
      </c>
      <c r="L235" s="67" t="s">
        <v>1199</v>
      </c>
      <c r="M235" s="67" t="s">
        <v>1272</v>
      </c>
    </row>
    <row r="236" spans="1:13" ht="12" customHeight="1" x14ac:dyDescent="0.2">
      <c r="A236" s="78">
        <v>201242</v>
      </c>
      <c r="B236" s="67" t="s">
        <v>289</v>
      </c>
      <c r="C236" s="67" t="s">
        <v>1196</v>
      </c>
      <c r="D236" s="67" t="s">
        <v>1199</v>
      </c>
      <c r="E236" s="67" t="s">
        <v>1279</v>
      </c>
      <c r="F236" s="67" t="s">
        <v>1618</v>
      </c>
      <c r="G236" s="67" t="s">
        <v>7</v>
      </c>
      <c r="H236" s="68">
        <v>1.3902777777777777</v>
      </c>
      <c r="I236" s="68">
        <v>1.3902777777777777</v>
      </c>
      <c r="J236" s="68"/>
      <c r="K236" s="67" t="s">
        <v>1722</v>
      </c>
      <c r="L236" s="67" t="s">
        <v>1199</v>
      </c>
      <c r="M236" s="67" t="s">
        <v>1279</v>
      </c>
    </row>
    <row r="237" spans="1:13" ht="12" customHeight="1" x14ac:dyDescent="0.2">
      <c r="A237" s="78">
        <v>233248</v>
      </c>
      <c r="B237" s="67" t="s">
        <v>290</v>
      </c>
      <c r="C237" s="67" t="s">
        <v>1196</v>
      </c>
      <c r="D237" s="67" t="s">
        <v>1199</v>
      </c>
      <c r="E237" s="67" t="s">
        <v>1294</v>
      </c>
      <c r="F237" s="67" t="s">
        <v>1611</v>
      </c>
      <c r="G237" s="67" t="s">
        <v>7</v>
      </c>
      <c r="H237" s="68">
        <v>0.30972222222222223</v>
      </c>
      <c r="I237" s="68">
        <v>0.30972222222222223</v>
      </c>
      <c r="J237" s="68"/>
      <c r="K237" s="67" t="s">
        <v>1720</v>
      </c>
      <c r="L237" s="67" t="s">
        <v>1199</v>
      </c>
      <c r="M237" s="67" t="s">
        <v>1294</v>
      </c>
    </row>
    <row r="238" spans="1:13" ht="12" customHeight="1" x14ac:dyDescent="0.2">
      <c r="A238" s="78">
        <v>201042</v>
      </c>
      <c r="B238" s="67" t="s">
        <v>291</v>
      </c>
      <c r="C238" s="67" t="s">
        <v>1196</v>
      </c>
      <c r="D238" s="67" t="s">
        <v>1199</v>
      </c>
      <c r="E238" s="67" t="s">
        <v>1294</v>
      </c>
      <c r="F238" s="67" t="s">
        <v>1611</v>
      </c>
      <c r="G238" s="67" t="s">
        <v>7</v>
      </c>
      <c r="H238" s="68">
        <v>2.0833333333333333E-3</v>
      </c>
      <c r="I238" s="68">
        <v>2.0833333333333333E-3</v>
      </c>
      <c r="J238" s="68"/>
      <c r="K238" s="67" t="s">
        <v>1721</v>
      </c>
      <c r="L238" s="67" t="s">
        <v>1199</v>
      </c>
      <c r="M238" s="67" t="s">
        <v>1294</v>
      </c>
    </row>
    <row r="239" spans="1:13" ht="12" customHeight="1" x14ac:dyDescent="0.2">
      <c r="A239" s="78">
        <v>236898</v>
      </c>
      <c r="B239" s="67" t="s">
        <v>292</v>
      </c>
      <c r="C239" s="67" t="s">
        <v>1196</v>
      </c>
      <c r="D239" s="67" t="s">
        <v>1199</v>
      </c>
      <c r="E239" s="67" t="s">
        <v>1273</v>
      </c>
      <c r="F239" s="67" t="s">
        <v>1613</v>
      </c>
      <c r="G239" s="67" t="s">
        <v>7</v>
      </c>
      <c r="H239" s="68">
        <v>1.0180555555555555</v>
      </c>
      <c r="I239" s="68">
        <v>1.0180555555555555</v>
      </c>
      <c r="J239" s="68"/>
      <c r="K239" s="67" t="s">
        <v>1721</v>
      </c>
      <c r="L239" s="67" t="s">
        <v>1199</v>
      </c>
      <c r="M239" s="67" t="s">
        <v>1273</v>
      </c>
    </row>
    <row r="240" spans="1:13" ht="12" customHeight="1" x14ac:dyDescent="0.2">
      <c r="A240" s="78">
        <v>232272</v>
      </c>
      <c r="B240" s="67" t="s">
        <v>293</v>
      </c>
      <c r="C240" s="67" t="s">
        <v>1196</v>
      </c>
      <c r="D240" s="67" t="s">
        <v>1199</v>
      </c>
      <c r="E240" s="67" t="s">
        <v>1280</v>
      </c>
      <c r="F240" s="67" t="s">
        <v>1618</v>
      </c>
      <c r="G240" s="67" t="s">
        <v>7</v>
      </c>
      <c r="H240" s="68">
        <v>0.22430555555555556</v>
      </c>
      <c r="I240" s="68">
        <v>0.22430555555555556</v>
      </c>
      <c r="J240" s="68"/>
      <c r="K240" s="67" t="s">
        <v>1718</v>
      </c>
      <c r="L240" s="67" t="s">
        <v>1199</v>
      </c>
      <c r="M240" s="67" t="s">
        <v>1280</v>
      </c>
    </row>
    <row r="241" spans="1:13" ht="12" customHeight="1" x14ac:dyDescent="0.2">
      <c r="A241" s="78">
        <v>235556</v>
      </c>
      <c r="B241" s="67" t="s">
        <v>294</v>
      </c>
      <c r="C241" s="67" t="s">
        <v>1196</v>
      </c>
      <c r="D241" s="67" t="s">
        <v>1199</v>
      </c>
      <c r="E241" s="67" t="s">
        <v>1295</v>
      </c>
      <c r="F241" s="67" t="s">
        <v>1614</v>
      </c>
      <c r="G241" s="67" t="s">
        <v>7</v>
      </c>
      <c r="H241" s="68">
        <v>0.58750000000000002</v>
      </c>
      <c r="I241" s="68">
        <v>0.58750000000000002</v>
      </c>
      <c r="J241" s="68"/>
      <c r="K241" s="67" t="s">
        <v>1719</v>
      </c>
      <c r="L241" s="67" t="s">
        <v>1199</v>
      </c>
      <c r="M241" s="67" t="s">
        <v>1295</v>
      </c>
    </row>
    <row r="242" spans="1:13" ht="12" customHeight="1" x14ac:dyDescent="0.2">
      <c r="A242" s="78">
        <v>201221</v>
      </c>
      <c r="B242" s="67" t="s">
        <v>295</v>
      </c>
      <c r="C242" s="67" t="s">
        <v>1196</v>
      </c>
      <c r="D242" s="67" t="s">
        <v>1199</v>
      </c>
      <c r="E242" s="67" t="s">
        <v>1285</v>
      </c>
      <c r="F242" s="67" t="s">
        <v>1621</v>
      </c>
      <c r="G242" s="67" t="s">
        <v>7</v>
      </c>
      <c r="H242" s="68">
        <v>0.22638888888888889</v>
      </c>
      <c r="I242" s="68">
        <v>0.22638888888888889</v>
      </c>
      <c r="J242" s="68"/>
      <c r="K242" s="67" t="s">
        <v>1718</v>
      </c>
      <c r="L242" s="67" t="s">
        <v>1199</v>
      </c>
      <c r="M242" s="67" t="s">
        <v>1285</v>
      </c>
    </row>
    <row r="243" spans="1:13" ht="12" customHeight="1" x14ac:dyDescent="0.2">
      <c r="A243" s="78">
        <v>200445</v>
      </c>
      <c r="B243" s="67" t="s">
        <v>296</v>
      </c>
      <c r="C243" s="67" t="s">
        <v>1196</v>
      </c>
      <c r="D243" s="67" t="s">
        <v>1199</v>
      </c>
      <c r="E243" s="67" t="s">
        <v>1290</v>
      </c>
      <c r="F243" s="67" t="s">
        <v>1612</v>
      </c>
      <c r="G243" s="67" t="s">
        <v>7</v>
      </c>
      <c r="H243" s="68">
        <v>0.4381944444444445</v>
      </c>
      <c r="I243" s="68">
        <v>0.4381944444444445</v>
      </c>
      <c r="J243" s="68"/>
      <c r="K243" s="67" t="s">
        <v>1720</v>
      </c>
      <c r="L243" s="67" t="s">
        <v>1199</v>
      </c>
      <c r="M243" s="67" t="s">
        <v>1290</v>
      </c>
    </row>
    <row r="244" spans="1:13" ht="12" customHeight="1" x14ac:dyDescent="0.2">
      <c r="A244" s="78">
        <v>230026</v>
      </c>
      <c r="B244" s="67" t="s">
        <v>297</v>
      </c>
      <c r="C244" s="67" t="s">
        <v>1196</v>
      </c>
      <c r="D244" s="67" t="s">
        <v>1199</v>
      </c>
      <c r="E244" s="67" t="s">
        <v>1294</v>
      </c>
      <c r="F244" s="67" t="s">
        <v>1611</v>
      </c>
      <c r="G244" s="67" t="s">
        <v>7</v>
      </c>
      <c r="H244" s="68">
        <v>1.1499999999999999</v>
      </c>
      <c r="I244" s="68">
        <v>1.1499999999999999</v>
      </c>
      <c r="J244" s="68"/>
      <c r="K244" s="67" t="s">
        <v>1720</v>
      </c>
      <c r="L244" s="67" t="s">
        <v>1199</v>
      </c>
      <c r="M244" s="67" t="s">
        <v>1294</v>
      </c>
    </row>
    <row r="245" spans="1:13" ht="12" customHeight="1" x14ac:dyDescent="0.2">
      <c r="A245" s="78">
        <v>230262</v>
      </c>
      <c r="B245" s="67" t="s">
        <v>298</v>
      </c>
      <c r="C245" s="67" t="s">
        <v>1196</v>
      </c>
      <c r="D245" s="67" t="s">
        <v>1199</v>
      </c>
      <c r="E245" s="67" t="s">
        <v>1272</v>
      </c>
      <c r="F245" s="67" t="s">
        <v>1612</v>
      </c>
      <c r="G245" s="67" t="s">
        <v>7</v>
      </c>
      <c r="H245" s="68">
        <v>3.4027777777777775E-2</v>
      </c>
      <c r="I245" s="68">
        <v>3.4027777777777775E-2</v>
      </c>
      <c r="J245" s="68"/>
      <c r="K245" s="67" t="s">
        <v>1718</v>
      </c>
      <c r="L245" s="67" t="s">
        <v>1199</v>
      </c>
      <c r="M245" s="67" t="s">
        <v>1272</v>
      </c>
    </row>
    <row r="246" spans="1:13" ht="12" customHeight="1" x14ac:dyDescent="0.2">
      <c r="A246" s="78">
        <v>229614</v>
      </c>
      <c r="B246" s="67" t="s">
        <v>299</v>
      </c>
      <c r="C246" s="67" t="s">
        <v>1196</v>
      </c>
      <c r="D246" s="67" t="s">
        <v>1199</v>
      </c>
      <c r="E246" s="67" t="s">
        <v>1273</v>
      </c>
      <c r="F246" s="67" t="s">
        <v>1613</v>
      </c>
      <c r="G246" s="67" t="s">
        <v>7</v>
      </c>
      <c r="H246" s="68">
        <v>0.96666666666666667</v>
      </c>
      <c r="I246" s="68">
        <v>0.96666666666666667</v>
      </c>
      <c r="J246" s="68"/>
      <c r="K246" s="67" t="s">
        <v>1720</v>
      </c>
      <c r="L246" s="67" t="s">
        <v>1199</v>
      </c>
      <c r="M246" s="67" t="s">
        <v>1273</v>
      </c>
    </row>
    <row r="247" spans="1:13" ht="12" customHeight="1" x14ac:dyDescent="0.2">
      <c r="A247" s="78">
        <v>218029</v>
      </c>
      <c r="B247" s="67" t="s">
        <v>300</v>
      </c>
      <c r="C247" s="67" t="s">
        <v>1196</v>
      </c>
      <c r="D247" s="67" t="s">
        <v>1199</v>
      </c>
      <c r="E247" s="67" t="s">
        <v>1296</v>
      </c>
      <c r="F247" s="67" t="s">
        <v>1609</v>
      </c>
      <c r="G247" s="67" t="s">
        <v>7</v>
      </c>
      <c r="H247" s="68">
        <v>1.0486111111111112</v>
      </c>
      <c r="I247" s="68">
        <v>1.0486111111111112</v>
      </c>
      <c r="J247" s="68"/>
      <c r="K247" s="67" t="s">
        <v>1720</v>
      </c>
      <c r="L247" s="67" t="s">
        <v>1199</v>
      </c>
      <c r="M247" s="67" t="s">
        <v>1296</v>
      </c>
    </row>
    <row r="248" spans="1:13" ht="12" customHeight="1" x14ac:dyDescent="0.2">
      <c r="A248" s="78">
        <v>223821</v>
      </c>
      <c r="B248" s="67" t="s">
        <v>301</v>
      </c>
      <c r="C248" s="67" t="s">
        <v>1196</v>
      </c>
      <c r="D248" s="67" t="s">
        <v>1199</v>
      </c>
      <c r="E248" s="67" t="s">
        <v>1281</v>
      </c>
      <c r="F248" s="67" t="s">
        <v>1619</v>
      </c>
      <c r="G248" s="67" t="s">
        <v>7</v>
      </c>
      <c r="H248" s="68">
        <v>0.15555555555555556</v>
      </c>
      <c r="I248" s="68">
        <v>0.15555555555555556</v>
      </c>
      <c r="J248" s="68"/>
      <c r="K248" s="67" t="s">
        <v>1721</v>
      </c>
      <c r="L248" s="67" t="s">
        <v>1199</v>
      </c>
      <c r="M248" s="67" t="s">
        <v>1281</v>
      </c>
    </row>
    <row r="249" spans="1:13" ht="12" customHeight="1" x14ac:dyDescent="0.2">
      <c r="A249" s="78">
        <v>235488</v>
      </c>
      <c r="B249" s="67" t="s">
        <v>302</v>
      </c>
      <c r="C249" s="67" t="s">
        <v>1196</v>
      </c>
      <c r="D249" s="67" t="s">
        <v>1199</v>
      </c>
      <c r="E249" s="67" t="s">
        <v>1276</v>
      </c>
      <c r="F249" s="67" t="s">
        <v>1615</v>
      </c>
      <c r="G249" s="67" t="s">
        <v>7</v>
      </c>
      <c r="H249" s="68">
        <v>7.5</v>
      </c>
      <c r="I249" s="68">
        <v>7.5</v>
      </c>
      <c r="J249" s="68"/>
      <c r="K249" s="67" t="s">
        <v>1718</v>
      </c>
      <c r="L249" s="67" t="s">
        <v>1199</v>
      </c>
      <c r="M249" s="67" t="s">
        <v>1276</v>
      </c>
    </row>
    <row r="250" spans="1:13" ht="12" customHeight="1" x14ac:dyDescent="0.2">
      <c r="A250" s="78">
        <v>202863</v>
      </c>
      <c r="B250" s="67" t="s">
        <v>303</v>
      </c>
      <c r="C250" s="67" t="s">
        <v>1196</v>
      </c>
      <c r="D250" s="67" t="s">
        <v>1199</v>
      </c>
      <c r="E250" s="67" t="s">
        <v>1280</v>
      </c>
      <c r="F250" s="67" t="s">
        <v>1618</v>
      </c>
      <c r="G250" s="67" t="s">
        <v>7</v>
      </c>
      <c r="H250" s="68">
        <v>0.31180555555555556</v>
      </c>
      <c r="I250" s="68">
        <v>0.31180555555555556</v>
      </c>
      <c r="J250" s="68"/>
      <c r="K250" s="67" t="s">
        <v>1718</v>
      </c>
      <c r="L250" s="67" t="s">
        <v>1199</v>
      </c>
      <c r="M250" s="67" t="s">
        <v>1280</v>
      </c>
    </row>
    <row r="251" spans="1:13" ht="12" customHeight="1" x14ac:dyDescent="0.2">
      <c r="A251" s="78">
        <v>225501</v>
      </c>
      <c r="B251" s="67" t="s">
        <v>304</v>
      </c>
      <c r="C251" s="67" t="s">
        <v>1196</v>
      </c>
      <c r="D251" s="67" t="s">
        <v>1199</v>
      </c>
      <c r="E251" s="67" t="s">
        <v>1296</v>
      </c>
      <c r="F251" s="67" t="s">
        <v>1609</v>
      </c>
      <c r="G251" s="67" t="s">
        <v>7</v>
      </c>
      <c r="H251" s="68">
        <v>0.10347222222222223</v>
      </c>
      <c r="I251" s="68">
        <v>0.10347222222222223</v>
      </c>
      <c r="J251" s="68"/>
      <c r="K251" s="67" t="s">
        <v>1721</v>
      </c>
      <c r="L251" s="67" t="s">
        <v>1199</v>
      </c>
      <c r="M251" s="67" t="s">
        <v>1296</v>
      </c>
    </row>
    <row r="252" spans="1:13" ht="12" customHeight="1" x14ac:dyDescent="0.2">
      <c r="A252" s="78">
        <v>229785</v>
      </c>
      <c r="B252" s="67" t="s">
        <v>305</v>
      </c>
      <c r="C252" s="67" t="s">
        <v>1196</v>
      </c>
      <c r="D252" s="67" t="s">
        <v>1199</v>
      </c>
      <c r="E252" s="67" t="s">
        <v>1297</v>
      </c>
      <c r="F252" s="67" t="s">
        <v>1614</v>
      </c>
      <c r="G252" s="67" t="s">
        <v>7</v>
      </c>
      <c r="H252" s="68">
        <v>2.2916666666666669E-2</v>
      </c>
      <c r="I252" s="68">
        <v>2.2916666666666669E-2</v>
      </c>
      <c r="J252" s="68"/>
      <c r="K252" s="67" t="s">
        <v>1719</v>
      </c>
      <c r="L252" s="67" t="s">
        <v>1199</v>
      </c>
      <c r="M252" s="67" t="s">
        <v>1297</v>
      </c>
    </row>
    <row r="253" spans="1:13" ht="12" customHeight="1" x14ac:dyDescent="0.2">
      <c r="A253" s="78">
        <v>202938</v>
      </c>
      <c r="B253" s="67" t="s">
        <v>306</v>
      </c>
      <c r="C253" s="67" t="s">
        <v>1196</v>
      </c>
      <c r="D253" s="67" t="s">
        <v>1199</v>
      </c>
      <c r="E253" s="67" t="s">
        <v>1296</v>
      </c>
      <c r="F253" s="67" t="s">
        <v>1609</v>
      </c>
      <c r="G253" s="67" t="s">
        <v>7</v>
      </c>
      <c r="H253" s="68">
        <v>9.3611111111111107</v>
      </c>
      <c r="I253" s="68">
        <v>9.3611111111111107</v>
      </c>
      <c r="J253" s="68"/>
      <c r="K253" s="67" t="s">
        <v>1720</v>
      </c>
      <c r="L253" s="67" t="s">
        <v>1199</v>
      </c>
      <c r="M253" s="67" t="s">
        <v>1296</v>
      </c>
    </row>
    <row r="254" spans="1:13" ht="12" customHeight="1" x14ac:dyDescent="0.2">
      <c r="A254" s="78">
        <v>233901</v>
      </c>
      <c r="B254" s="67" t="s">
        <v>307</v>
      </c>
      <c r="C254" s="67" t="s">
        <v>1196</v>
      </c>
      <c r="D254" s="67" t="s">
        <v>1199</v>
      </c>
      <c r="E254" s="67" t="s">
        <v>1270</v>
      </c>
      <c r="F254" s="67" t="s">
        <v>1610</v>
      </c>
      <c r="G254" s="67" t="s">
        <v>7</v>
      </c>
      <c r="H254" s="68">
        <v>9.1666666666666674E-2</v>
      </c>
      <c r="I254" s="68">
        <v>9.1666666666666674E-2</v>
      </c>
      <c r="J254" s="68"/>
      <c r="K254" s="67" t="s">
        <v>1718</v>
      </c>
      <c r="L254" s="67" t="s">
        <v>1199</v>
      </c>
      <c r="M254" s="67" t="s">
        <v>1270</v>
      </c>
    </row>
    <row r="255" spans="1:13" ht="12" customHeight="1" x14ac:dyDescent="0.2">
      <c r="A255" s="78">
        <v>229853</v>
      </c>
      <c r="B255" s="67" t="s">
        <v>308</v>
      </c>
      <c r="C255" s="67" t="s">
        <v>1196</v>
      </c>
      <c r="D255" s="67" t="s">
        <v>1199</v>
      </c>
      <c r="E255" s="67" t="s">
        <v>1298</v>
      </c>
      <c r="F255" s="67" t="s">
        <v>1620</v>
      </c>
      <c r="G255" s="67" t="s">
        <v>7</v>
      </c>
      <c r="H255" s="68">
        <v>3.6805555555555557E-2</v>
      </c>
      <c r="I255" s="68">
        <v>3.6805555555555557E-2</v>
      </c>
      <c r="J255" s="68"/>
      <c r="K255" s="67" t="s">
        <v>1721</v>
      </c>
      <c r="L255" s="67" t="s">
        <v>1199</v>
      </c>
      <c r="M255" s="67" t="s">
        <v>1298</v>
      </c>
    </row>
    <row r="256" spans="1:13" ht="12" customHeight="1" x14ac:dyDescent="0.2">
      <c r="A256" s="78">
        <v>222524</v>
      </c>
      <c r="B256" s="67" t="s">
        <v>309</v>
      </c>
      <c r="C256" s="67" t="s">
        <v>1196</v>
      </c>
      <c r="D256" s="67" t="s">
        <v>1199</v>
      </c>
      <c r="E256" s="67" t="s">
        <v>1299</v>
      </c>
      <c r="F256" s="67" t="s">
        <v>1617</v>
      </c>
      <c r="G256" s="67" t="s">
        <v>7</v>
      </c>
      <c r="H256" s="68">
        <v>0.26319444444444445</v>
      </c>
      <c r="I256" s="68">
        <v>0.26319444444444445</v>
      </c>
      <c r="J256" s="68"/>
      <c r="K256" s="67" t="s">
        <v>1721</v>
      </c>
      <c r="L256" s="67" t="s">
        <v>1199</v>
      </c>
      <c r="M256" s="67" t="s">
        <v>1299</v>
      </c>
    </row>
    <row r="257" spans="1:13" ht="12" customHeight="1" x14ac:dyDescent="0.2">
      <c r="A257" s="78">
        <v>201377</v>
      </c>
      <c r="B257" s="67" t="s">
        <v>310</v>
      </c>
      <c r="C257" s="67" t="s">
        <v>1196</v>
      </c>
      <c r="D257" s="67" t="s">
        <v>1199</v>
      </c>
      <c r="E257" s="67" t="s">
        <v>1285</v>
      </c>
      <c r="F257" s="67" t="s">
        <v>1621</v>
      </c>
      <c r="G257" s="67" t="s">
        <v>7</v>
      </c>
      <c r="H257" s="68">
        <v>10.866666666666667</v>
      </c>
      <c r="I257" s="68">
        <v>10.866666666666667</v>
      </c>
      <c r="J257" s="68"/>
      <c r="K257" s="67" t="s">
        <v>1718</v>
      </c>
      <c r="L257" s="67" t="s">
        <v>1199</v>
      </c>
      <c r="M257" s="67" t="s">
        <v>1285</v>
      </c>
    </row>
    <row r="258" spans="1:13" ht="12" customHeight="1" x14ac:dyDescent="0.2">
      <c r="A258" s="78">
        <v>200922</v>
      </c>
      <c r="B258" s="67" t="s">
        <v>311</v>
      </c>
      <c r="C258" s="67" t="s">
        <v>1196</v>
      </c>
      <c r="D258" s="67" t="s">
        <v>1199</v>
      </c>
      <c r="E258" s="67" t="s">
        <v>1283</v>
      </c>
      <c r="F258" s="67" t="s">
        <v>1616</v>
      </c>
      <c r="G258" s="67" t="s">
        <v>7</v>
      </c>
      <c r="H258" s="68">
        <v>0.3666666666666667</v>
      </c>
      <c r="I258" s="68">
        <v>0.3666666666666667</v>
      </c>
      <c r="J258" s="68"/>
      <c r="K258" s="67" t="s">
        <v>1718</v>
      </c>
      <c r="L258" s="67" t="s">
        <v>1199</v>
      </c>
      <c r="M258" s="67" t="s">
        <v>1283</v>
      </c>
    </row>
    <row r="259" spans="1:13" ht="12" customHeight="1" x14ac:dyDescent="0.2">
      <c r="A259" s="78">
        <v>231221</v>
      </c>
      <c r="B259" s="67" t="s">
        <v>312</v>
      </c>
      <c r="C259" s="67" t="s">
        <v>1196</v>
      </c>
      <c r="D259" s="67" t="s">
        <v>1199</v>
      </c>
      <c r="E259" s="67" t="s">
        <v>1278</v>
      </c>
      <c r="F259" s="67" t="s">
        <v>1617</v>
      </c>
      <c r="G259" s="67" t="s">
        <v>7</v>
      </c>
      <c r="H259" s="68">
        <v>4.7222222222222221E-2</v>
      </c>
      <c r="I259" s="68">
        <v>4.7222222222222221E-2</v>
      </c>
      <c r="J259" s="68"/>
      <c r="K259" s="67" t="s">
        <v>1718</v>
      </c>
      <c r="L259" s="67" t="s">
        <v>1199</v>
      </c>
      <c r="M259" s="67" t="s">
        <v>1278</v>
      </c>
    </row>
    <row r="260" spans="1:13" ht="12" customHeight="1" x14ac:dyDescent="0.2">
      <c r="A260" s="78">
        <v>217970</v>
      </c>
      <c r="B260" s="67" t="s">
        <v>313</v>
      </c>
      <c r="C260" s="67" t="s">
        <v>1196</v>
      </c>
      <c r="D260" s="67" t="s">
        <v>1199</v>
      </c>
      <c r="E260" s="67" t="s">
        <v>1279</v>
      </c>
      <c r="F260" s="67" t="s">
        <v>1618</v>
      </c>
      <c r="G260" s="67" t="s">
        <v>7</v>
      </c>
      <c r="H260" s="68">
        <v>0.79652777777777783</v>
      </c>
      <c r="I260" s="68">
        <v>0.79652777777777783</v>
      </c>
      <c r="J260" s="68"/>
      <c r="K260" s="67" t="s">
        <v>1721</v>
      </c>
      <c r="L260" s="67" t="s">
        <v>1199</v>
      </c>
      <c r="M260" s="67" t="s">
        <v>1279</v>
      </c>
    </row>
    <row r="261" spans="1:13" ht="12" customHeight="1" x14ac:dyDescent="0.2">
      <c r="A261" s="78">
        <v>201996</v>
      </c>
      <c r="B261" s="67" t="s">
        <v>314</v>
      </c>
      <c r="C261" s="67" t="s">
        <v>1196</v>
      </c>
      <c r="D261" s="67" t="s">
        <v>1199</v>
      </c>
      <c r="E261" s="67" t="s">
        <v>1285</v>
      </c>
      <c r="F261" s="67" t="s">
        <v>1621</v>
      </c>
      <c r="G261" s="67" t="s">
        <v>8</v>
      </c>
      <c r="H261" s="68">
        <v>3.9493055555555556</v>
      </c>
      <c r="I261" s="68"/>
      <c r="J261" s="68">
        <v>3.9493055555555556</v>
      </c>
      <c r="K261" s="67" t="s">
        <v>1718</v>
      </c>
      <c r="L261" s="67" t="s">
        <v>1199</v>
      </c>
      <c r="M261" s="67" t="s">
        <v>1285</v>
      </c>
    </row>
    <row r="262" spans="1:13" ht="12" customHeight="1" x14ac:dyDescent="0.2">
      <c r="A262" s="78">
        <v>232027</v>
      </c>
      <c r="B262" s="67" t="s">
        <v>315</v>
      </c>
      <c r="C262" s="67" t="s">
        <v>1196</v>
      </c>
      <c r="D262" s="67" t="s">
        <v>1199</v>
      </c>
      <c r="E262" s="67" t="s">
        <v>1300</v>
      </c>
      <c r="F262" s="67" t="s">
        <v>1619</v>
      </c>
      <c r="G262" s="67" t="s">
        <v>8</v>
      </c>
      <c r="H262" s="68">
        <v>3.3201388888888892</v>
      </c>
      <c r="I262" s="68"/>
      <c r="J262" s="68">
        <v>3.3201388888888892</v>
      </c>
      <c r="K262" s="67" t="s">
        <v>1718</v>
      </c>
      <c r="L262" s="67" t="s">
        <v>1199</v>
      </c>
      <c r="M262" s="67" t="s">
        <v>1300</v>
      </c>
    </row>
    <row r="263" spans="1:13" ht="12" customHeight="1" x14ac:dyDescent="0.2">
      <c r="A263" s="78">
        <v>225337</v>
      </c>
      <c r="B263" s="67" t="s">
        <v>316</v>
      </c>
      <c r="C263" s="67" t="s">
        <v>1196</v>
      </c>
      <c r="D263" s="67" t="s">
        <v>1199</v>
      </c>
      <c r="E263" s="67" t="s">
        <v>1269</v>
      </c>
      <c r="F263" s="67" t="s">
        <v>1609</v>
      </c>
      <c r="G263" s="67" t="s">
        <v>8</v>
      </c>
      <c r="H263" s="68">
        <v>2.7347222222222225</v>
      </c>
      <c r="I263" s="68"/>
      <c r="J263" s="68">
        <v>2.7347222222222225</v>
      </c>
      <c r="K263" s="67" t="s">
        <v>1718</v>
      </c>
      <c r="L263" s="67" t="s">
        <v>1199</v>
      </c>
      <c r="M263" s="67" t="s">
        <v>1269</v>
      </c>
    </row>
    <row r="264" spans="1:13" ht="12" customHeight="1" x14ac:dyDescent="0.2">
      <c r="A264" s="78">
        <v>224588</v>
      </c>
      <c r="B264" s="67" t="s">
        <v>317</v>
      </c>
      <c r="C264" s="67" t="s">
        <v>1196</v>
      </c>
      <c r="D264" s="67" t="s">
        <v>1199</v>
      </c>
      <c r="E264" s="67" t="s">
        <v>1288</v>
      </c>
      <c r="F264" s="67" t="s">
        <v>1622</v>
      </c>
      <c r="G264" s="67" t="s">
        <v>8</v>
      </c>
      <c r="H264" s="68">
        <v>1.8361111111111112</v>
      </c>
      <c r="I264" s="68"/>
      <c r="J264" s="68">
        <v>1.8361111111111112</v>
      </c>
      <c r="K264" s="67" t="s">
        <v>1718</v>
      </c>
      <c r="L264" s="67" t="s">
        <v>1199</v>
      </c>
      <c r="M264" s="67" t="s">
        <v>1288</v>
      </c>
    </row>
    <row r="265" spans="1:13" ht="12" customHeight="1" x14ac:dyDescent="0.2">
      <c r="A265" s="78">
        <v>202098</v>
      </c>
      <c r="B265" s="67" t="s">
        <v>318</v>
      </c>
      <c r="C265" s="67" t="s">
        <v>1196</v>
      </c>
      <c r="D265" s="67" t="s">
        <v>1199</v>
      </c>
      <c r="E265" s="67" t="s">
        <v>1301</v>
      </c>
      <c r="F265" s="67" t="s">
        <v>1613</v>
      </c>
      <c r="G265" s="67" t="s">
        <v>8</v>
      </c>
      <c r="H265" s="68">
        <v>1.7715277777777778</v>
      </c>
      <c r="I265" s="68"/>
      <c r="J265" s="68">
        <v>1.7715277777777778</v>
      </c>
      <c r="K265" s="67" t="s">
        <v>1718</v>
      </c>
      <c r="L265" s="67" t="s">
        <v>1199</v>
      </c>
      <c r="M265" s="67" t="s">
        <v>1301</v>
      </c>
    </row>
    <row r="266" spans="1:13" ht="12" customHeight="1" x14ac:dyDescent="0.2">
      <c r="A266" s="78">
        <v>222698</v>
      </c>
      <c r="B266" s="67" t="s">
        <v>319</v>
      </c>
      <c r="C266" s="67" t="s">
        <v>1196</v>
      </c>
      <c r="D266" s="67" t="s">
        <v>1199</v>
      </c>
      <c r="E266" s="67" t="s">
        <v>1282</v>
      </c>
      <c r="F266" s="67" t="s">
        <v>1620</v>
      </c>
      <c r="G266" s="67" t="s">
        <v>8</v>
      </c>
      <c r="H266" s="68">
        <v>1.690277777777778</v>
      </c>
      <c r="I266" s="68"/>
      <c r="J266" s="68">
        <v>1.690277777777778</v>
      </c>
      <c r="K266" s="67" t="s">
        <v>1718</v>
      </c>
      <c r="L266" s="67" t="s">
        <v>1199</v>
      </c>
      <c r="M266" s="67" t="s">
        <v>1282</v>
      </c>
    </row>
    <row r="267" spans="1:13" ht="12" customHeight="1" x14ac:dyDescent="0.2">
      <c r="A267" s="78">
        <v>234405</v>
      </c>
      <c r="B267" s="67" t="s">
        <v>320</v>
      </c>
      <c r="C267" s="67" t="s">
        <v>1196</v>
      </c>
      <c r="D267" s="67" t="s">
        <v>1199</v>
      </c>
      <c r="E267" s="67" t="s">
        <v>1272</v>
      </c>
      <c r="F267" s="67" t="s">
        <v>1612</v>
      </c>
      <c r="G267" s="67" t="s">
        <v>8</v>
      </c>
      <c r="H267" s="68">
        <v>1.4270833333333333</v>
      </c>
      <c r="I267" s="68"/>
      <c r="J267" s="68">
        <v>1.4270833333333333</v>
      </c>
      <c r="K267" s="67" t="s">
        <v>1718</v>
      </c>
      <c r="L267" s="67" t="s">
        <v>1199</v>
      </c>
      <c r="M267" s="67" t="s">
        <v>1272</v>
      </c>
    </row>
    <row r="268" spans="1:13" ht="12" customHeight="1" x14ac:dyDescent="0.2">
      <c r="A268" s="78">
        <v>238235</v>
      </c>
      <c r="B268" s="67" t="s">
        <v>321</v>
      </c>
      <c r="C268" s="67" t="s">
        <v>1196</v>
      </c>
      <c r="D268" s="67" t="s">
        <v>1199</v>
      </c>
      <c r="E268" s="67" t="s">
        <v>1280</v>
      </c>
      <c r="F268" s="67" t="s">
        <v>1618</v>
      </c>
      <c r="G268" s="67" t="s">
        <v>8</v>
      </c>
      <c r="H268" s="68">
        <v>1.4236111111111109</v>
      </c>
      <c r="I268" s="68"/>
      <c r="J268" s="68">
        <v>1.4236111111111109</v>
      </c>
      <c r="K268" s="67" t="s">
        <v>1718</v>
      </c>
      <c r="L268" s="67" t="s">
        <v>1199</v>
      </c>
      <c r="M268" s="67" t="s">
        <v>1280</v>
      </c>
    </row>
    <row r="269" spans="1:13" ht="12" customHeight="1" x14ac:dyDescent="0.2">
      <c r="A269" s="78">
        <v>234360</v>
      </c>
      <c r="B269" s="67" t="s">
        <v>322</v>
      </c>
      <c r="C269" s="67" t="s">
        <v>1196</v>
      </c>
      <c r="D269" s="67" t="s">
        <v>1199</v>
      </c>
      <c r="E269" s="67" t="s">
        <v>1301</v>
      </c>
      <c r="F269" s="67" t="s">
        <v>1613</v>
      </c>
      <c r="G269" s="67" t="s">
        <v>8</v>
      </c>
      <c r="H269" s="68">
        <v>1.2083333333333333</v>
      </c>
      <c r="I269" s="68"/>
      <c r="J269" s="68">
        <v>1.2083333333333333</v>
      </c>
      <c r="K269" s="67" t="s">
        <v>1718</v>
      </c>
      <c r="L269" s="67" t="s">
        <v>1199</v>
      </c>
      <c r="M269" s="67" t="s">
        <v>1301</v>
      </c>
    </row>
    <row r="270" spans="1:13" ht="12" customHeight="1" x14ac:dyDescent="0.2">
      <c r="A270" s="78">
        <v>236240</v>
      </c>
      <c r="B270" s="67" t="s">
        <v>323</v>
      </c>
      <c r="C270" s="67" t="s">
        <v>1196</v>
      </c>
      <c r="D270" s="67" t="s">
        <v>1199</v>
      </c>
      <c r="E270" s="67" t="s">
        <v>1296</v>
      </c>
      <c r="F270" s="67" t="s">
        <v>1609</v>
      </c>
      <c r="G270" s="67" t="s">
        <v>8</v>
      </c>
      <c r="H270" s="68">
        <v>1.20625</v>
      </c>
      <c r="I270" s="68"/>
      <c r="J270" s="68">
        <v>1.20625</v>
      </c>
      <c r="K270" s="67" t="s">
        <v>1720</v>
      </c>
      <c r="L270" s="67" t="s">
        <v>1199</v>
      </c>
      <c r="M270" s="67" t="s">
        <v>1296</v>
      </c>
    </row>
    <row r="271" spans="1:13" ht="12" customHeight="1" x14ac:dyDescent="0.2">
      <c r="A271" s="78">
        <v>203567</v>
      </c>
      <c r="B271" s="67" t="s">
        <v>324</v>
      </c>
      <c r="C271" s="67" t="s">
        <v>1196</v>
      </c>
      <c r="D271" s="67" t="s">
        <v>1199</v>
      </c>
      <c r="E271" s="67" t="s">
        <v>1271</v>
      </c>
      <c r="F271" s="67" t="s">
        <v>1611</v>
      </c>
      <c r="G271" s="67" t="s">
        <v>8</v>
      </c>
      <c r="H271" s="68">
        <v>1.1333333333333333</v>
      </c>
      <c r="I271" s="68"/>
      <c r="J271" s="68">
        <v>1.1333333333333333</v>
      </c>
      <c r="K271" s="67" t="s">
        <v>1718</v>
      </c>
      <c r="L271" s="67" t="s">
        <v>1199</v>
      </c>
      <c r="M271" s="67" t="s">
        <v>1271</v>
      </c>
    </row>
    <row r="272" spans="1:13" ht="12" customHeight="1" x14ac:dyDescent="0.2">
      <c r="A272" s="78">
        <v>233445</v>
      </c>
      <c r="B272" s="67" t="s">
        <v>325</v>
      </c>
      <c r="C272" s="67" t="s">
        <v>1196</v>
      </c>
      <c r="D272" s="67" t="s">
        <v>1199</v>
      </c>
      <c r="E272" s="67" t="s">
        <v>1270</v>
      </c>
      <c r="F272" s="67" t="s">
        <v>1610</v>
      </c>
      <c r="G272" s="67" t="s">
        <v>8</v>
      </c>
      <c r="H272" s="68">
        <v>1.0958333333333334</v>
      </c>
      <c r="I272" s="68"/>
      <c r="J272" s="68">
        <v>1.0958333333333334</v>
      </c>
      <c r="K272" s="67" t="s">
        <v>1718</v>
      </c>
      <c r="L272" s="67" t="s">
        <v>1199</v>
      </c>
      <c r="M272" s="67" t="s">
        <v>1270</v>
      </c>
    </row>
    <row r="273" spans="1:13" ht="12" customHeight="1" x14ac:dyDescent="0.2">
      <c r="A273" s="78">
        <v>235901</v>
      </c>
      <c r="B273" s="67" t="s">
        <v>326</v>
      </c>
      <c r="C273" s="67" t="s">
        <v>1196</v>
      </c>
      <c r="D273" s="67" t="s">
        <v>1199</v>
      </c>
      <c r="E273" s="67" t="s">
        <v>1287</v>
      </c>
      <c r="F273" s="67" t="s">
        <v>1608</v>
      </c>
      <c r="G273" s="67" t="s">
        <v>8</v>
      </c>
      <c r="H273" s="68">
        <v>1.0909722222222222</v>
      </c>
      <c r="I273" s="68"/>
      <c r="J273" s="68">
        <v>1.0909722222222222</v>
      </c>
      <c r="K273" s="67" t="s">
        <v>1718</v>
      </c>
      <c r="L273" s="67" t="s">
        <v>1199</v>
      </c>
      <c r="M273" s="67" t="s">
        <v>1287</v>
      </c>
    </row>
    <row r="274" spans="1:13" ht="12" customHeight="1" x14ac:dyDescent="0.2">
      <c r="A274" s="78">
        <v>223024</v>
      </c>
      <c r="B274" s="67" t="s">
        <v>327</v>
      </c>
      <c r="C274" s="67" t="s">
        <v>1196</v>
      </c>
      <c r="D274" s="67" t="s">
        <v>1199</v>
      </c>
      <c r="E274" s="67" t="s">
        <v>1271</v>
      </c>
      <c r="F274" s="67" t="s">
        <v>1611</v>
      </c>
      <c r="G274" s="67" t="s">
        <v>8</v>
      </c>
      <c r="H274" s="68">
        <v>1.0527777777777778</v>
      </c>
      <c r="I274" s="68"/>
      <c r="J274" s="68">
        <v>1.0527777777777778</v>
      </c>
      <c r="K274" s="67" t="s">
        <v>1718</v>
      </c>
      <c r="L274" s="67" t="s">
        <v>1199</v>
      </c>
      <c r="M274" s="67" t="s">
        <v>1271</v>
      </c>
    </row>
    <row r="275" spans="1:13" ht="12" customHeight="1" x14ac:dyDescent="0.2">
      <c r="A275" s="78">
        <v>233201</v>
      </c>
      <c r="B275" s="67" t="s">
        <v>328</v>
      </c>
      <c r="C275" s="67" t="s">
        <v>1196</v>
      </c>
      <c r="D275" s="67" t="s">
        <v>1199</v>
      </c>
      <c r="E275" s="67" t="s">
        <v>1288</v>
      </c>
      <c r="F275" s="67" t="s">
        <v>1622</v>
      </c>
      <c r="G275" s="67" t="s">
        <v>8</v>
      </c>
      <c r="H275" s="68">
        <v>0.99861111111111101</v>
      </c>
      <c r="I275" s="68"/>
      <c r="J275" s="68">
        <v>0.99861111111111101</v>
      </c>
      <c r="K275" s="67" t="s">
        <v>1718</v>
      </c>
      <c r="L275" s="67" t="s">
        <v>1199</v>
      </c>
      <c r="M275" s="67" t="s">
        <v>1288</v>
      </c>
    </row>
    <row r="276" spans="1:13" ht="12" customHeight="1" x14ac:dyDescent="0.2">
      <c r="A276" s="78">
        <v>230574</v>
      </c>
      <c r="B276" s="67" t="s">
        <v>329</v>
      </c>
      <c r="C276" s="67" t="s">
        <v>1196</v>
      </c>
      <c r="D276" s="67" t="s">
        <v>1199</v>
      </c>
      <c r="E276" s="67" t="s">
        <v>1282</v>
      </c>
      <c r="F276" s="67" t="s">
        <v>1620</v>
      </c>
      <c r="G276" s="67" t="s">
        <v>8</v>
      </c>
      <c r="H276" s="68">
        <v>0.99375000000000002</v>
      </c>
      <c r="I276" s="68"/>
      <c r="J276" s="68">
        <v>0.99375000000000002</v>
      </c>
      <c r="K276" s="67" t="s">
        <v>1718</v>
      </c>
      <c r="L276" s="67" t="s">
        <v>1199</v>
      </c>
      <c r="M276" s="67" t="s">
        <v>1282</v>
      </c>
    </row>
    <row r="277" spans="1:13" ht="12" customHeight="1" x14ac:dyDescent="0.2">
      <c r="A277" s="78">
        <v>202701</v>
      </c>
      <c r="B277" s="67" t="s">
        <v>330</v>
      </c>
      <c r="C277" s="67" t="s">
        <v>1196</v>
      </c>
      <c r="D277" s="67" t="s">
        <v>1199</v>
      </c>
      <c r="E277" s="67" t="s">
        <v>1282</v>
      </c>
      <c r="F277" s="67" t="s">
        <v>1620</v>
      </c>
      <c r="G277" s="67" t="s">
        <v>8</v>
      </c>
      <c r="H277" s="68">
        <v>0.98958333333333337</v>
      </c>
      <c r="I277" s="68"/>
      <c r="J277" s="68">
        <v>0.98958333333333337</v>
      </c>
      <c r="K277" s="67" t="s">
        <v>1718</v>
      </c>
      <c r="L277" s="67" t="s">
        <v>1199</v>
      </c>
      <c r="M277" s="67" t="s">
        <v>1282</v>
      </c>
    </row>
    <row r="278" spans="1:13" ht="12" customHeight="1" x14ac:dyDescent="0.2">
      <c r="A278" s="78">
        <v>217968</v>
      </c>
      <c r="B278" s="67" t="s">
        <v>331</v>
      </c>
      <c r="C278" s="67" t="s">
        <v>1196</v>
      </c>
      <c r="D278" s="67" t="s">
        <v>1199</v>
      </c>
      <c r="E278" s="67" t="s">
        <v>1291</v>
      </c>
      <c r="F278" s="67" t="s">
        <v>1621</v>
      </c>
      <c r="G278" s="67" t="s">
        <v>8</v>
      </c>
      <c r="H278" s="68">
        <v>0.74861111111111101</v>
      </c>
      <c r="I278" s="68"/>
      <c r="J278" s="68">
        <v>0.74861111111111101</v>
      </c>
      <c r="K278" s="67" t="s">
        <v>1721</v>
      </c>
      <c r="L278" s="67" t="s">
        <v>1199</v>
      </c>
      <c r="M278" s="67" t="s">
        <v>1291</v>
      </c>
    </row>
    <row r="279" spans="1:13" ht="12" customHeight="1" x14ac:dyDescent="0.2">
      <c r="A279" s="78">
        <v>229774</v>
      </c>
      <c r="B279" s="67" t="s">
        <v>332</v>
      </c>
      <c r="C279" s="67" t="s">
        <v>1196</v>
      </c>
      <c r="D279" s="67" t="s">
        <v>1199</v>
      </c>
      <c r="E279" s="67" t="s">
        <v>1301</v>
      </c>
      <c r="F279" s="67" t="s">
        <v>1613</v>
      </c>
      <c r="G279" s="67" t="s">
        <v>8</v>
      </c>
      <c r="H279" s="68">
        <v>0.71875</v>
      </c>
      <c r="I279" s="68"/>
      <c r="J279" s="68">
        <v>0.71875</v>
      </c>
      <c r="K279" s="67" t="s">
        <v>1718</v>
      </c>
      <c r="L279" s="67" t="s">
        <v>1199</v>
      </c>
      <c r="M279" s="67" t="s">
        <v>1301</v>
      </c>
    </row>
    <row r="280" spans="1:13" ht="12" customHeight="1" x14ac:dyDescent="0.2">
      <c r="A280" s="78">
        <v>234278</v>
      </c>
      <c r="B280" s="67" t="s">
        <v>333</v>
      </c>
      <c r="C280" s="67" t="s">
        <v>1196</v>
      </c>
      <c r="D280" s="67" t="s">
        <v>1199</v>
      </c>
      <c r="E280" s="67" t="s">
        <v>1301</v>
      </c>
      <c r="F280" s="67" t="s">
        <v>1613</v>
      </c>
      <c r="G280" s="67" t="s">
        <v>8</v>
      </c>
      <c r="H280" s="68">
        <v>0.71458333333333324</v>
      </c>
      <c r="I280" s="68"/>
      <c r="J280" s="68">
        <v>0.71458333333333324</v>
      </c>
      <c r="K280" s="67" t="s">
        <v>1718</v>
      </c>
      <c r="L280" s="67" t="s">
        <v>1199</v>
      </c>
      <c r="M280" s="67" t="s">
        <v>1301</v>
      </c>
    </row>
    <row r="281" spans="1:13" ht="12" customHeight="1" x14ac:dyDescent="0.2">
      <c r="A281" s="78">
        <v>225689</v>
      </c>
      <c r="B281" s="67" t="s">
        <v>334</v>
      </c>
      <c r="C281" s="67" t="s">
        <v>1196</v>
      </c>
      <c r="D281" s="67" t="s">
        <v>1199</v>
      </c>
      <c r="E281" s="67" t="s">
        <v>1300</v>
      </c>
      <c r="F281" s="67" t="s">
        <v>1619</v>
      </c>
      <c r="G281" s="67" t="s">
        <v>8</v>
      </c>
      <c r="H281" s="68">
        <v>0.67708333333333337</v>
      </c>
      <c r="I281" s="68"/>
      <c r="J281" s="68">
        <v>0.67708333333333337</v>
      </c>
      <c r="K281" s="67" t="s">
        <v>1718</v>
      </c>
      <c r="L281" s="67" t="s">
        <v>1199</v>
      </c>
      <c r="M281" s="67" t="s">
        <v>1300</v>
      </c>
    </row>
    <row r="282" spans="1:13" ht="12" customHeight="1" x14ac:dyDescent="0.2">
      <c r="A282" s="78">
        <v>222525</v>
      </c>
      <c r="B282" s="67" t="s">
        <v>335</v>
      </c>
      <c r="C282" s="67" t="s">
        <v>1196</v>
      </c>
      <c r="D282" s="67" t="s">
        <v>1199</v>
      </c>
      <c r="E282" s="67" t="s">
        <v>1298</v>
      </c>
      <c r="F282" s="67" t="s">
        <v>1620</v>
      </c>
      <c r="G282" s="67" t="s">
        <v>8</v>
      </c>
      <c r="H282" s="68">
        <v>0.65416666666666667</v>
      </c>
      <c r="I282" s="68"/>
      <c r="J282" s="68">
        <v>0.65416666666666667</v>
      </c>
      <c r="K282" s="67" t="s">
        <v>1720</v>
      </c>
      <c r="L282" s="67" t="s">
        <v>1199</v>
      </c>
      <c r="M282" s="67" t="s">
        <v>1298</v>
      </c>
    </row>
    <row r="283" spans="1:13" ht="12" customHeight="1" x14ac:dyDescent="0.2">
      <c r="A283" s="78">
        <v>200542</v>
      </c>
      <c r="B283" s="67" t="s">
        <v>336</v>
      </c>
      <c r="C283" s="67" t="s">
        <v>1196</v>
      </c>
      <c r="D283" s="67" t="s">
        <v>1199</v>
      </c>
      <c r="E283" s="67" t="s">
        <v>1283</v>
      </c>
      <c r="F283" s="67" t="s">
        <v>1616</v>
      </c>
      <c r="G283" s="67" t="s">
        <v>8</v>
      </c>
      <c r="H283" s="68">
        <v>0.64374999999999993</v>
      </c>
      <c r="I283" s="68"/>
      <c r="J283" s="68">
        <v>0.64374999999999993</v>
      </c>
      <c r="K283" s="67" t="s">
        <v>1718</v>
      </c>
      <c r="L283" s="67" t="s">
        <v>1199</v>
      </c>
      <c r="M283" s="67" t="s">
        <v>1283</v>
      </c>
    </row>
    <row r="284" spans="1:13" ht="12" customHeight="1" x14ac:dyDescent="0.2">
      <c r="A284" s="78">
        <v>201857</v>
      </c>
      <c r="B284" s="67" t="s">
        <v>337</v>
      </c>
      <c r="C284" s="67" t="s">
        <v>1196</v>
      </c>
      <c r="D284" s="67" t="s">
        <v>1199</v>
      </c>
      <c r="E284" s="67" t="s">
        <v>1302</v>
      </c>
      <c r="F284" s="67" t="s">
        <v>1615</v>
      </c>
      <c r="G284" s="67" t="s">
        <v>8</v>
      </c>
      <c r="H284" s="68">
        <v>0.60138888888888886</v>
      </c>
      <c r="I284" s="68"/>
      <c r="J284" s="68">
        <v>0.60138888888888886</v>
      </c>
      <c r="K284" s="67" t="s">
        <v>1720</v>
      </c>
      <c r="L284" s="67" t="s">
        <v>1199</v>
      </c>
      <c r="M284" s="67" t="s">
        <v>1302</v>
      </c>
    </row>
    <row r="285" spans="1:13" ht="12" customHeight="1" x14ac:dyDescent="0.2">
      <c r="A285" s="78">
        <v>212202</v>
      </c>
      <c r="B285" s="67" t="s">
        <v>338</v>
      </c>
      <c r="C285" s="67" t="s">
        <v>1196</v>
      </c>
      <c r="D285" s="67" t="s">
        <v>1199</v>
      </c>
      <c r="E285" s="67" t="s">
        <v>1303</v>
      </c>
      <c r="F285" s="67" t="s">
        <v>1614</v>
      </c>
      <c r="G285" s="67" t="s">
        <v>8</v>
      </c>
      <c r="H285" s="68">
        <v>0.59027777777777779</v>
      </c>
      <c r="I285" s="68"/>
      <c r="J285" s="68">
        <v>0.59027777777777779</v>
      </c>
      <c r="K285" s="67" t="s">
        <v>1724</v>
      </c>
      <c r="L285" s="67" t="s">
        <v>1199</v>
      </c>
      <c r="M285" s="67" t="s">
        <v>1303</v>
      </c>
    </row>
    <row r="286" spans="1:13" ht="12" customHeight="1" x14ac:dyDescent="0.2">
      <c r="A286" s="78">
        <v>203334</v>
      </c>
      <c r="B286" s="67" t="s">
        <v>339</v>
      </c>
      <c r="C286" s="67" t="s">
        <v>1196</v>
      </c>
      <c r="D286" s="67" t="s">
        <v>1199</v>
      </c>
      <c r="E286" s="67" t="s">
        <v>1278</v>
      </c>
      <c r="F286" s="67" t="s">
        <v>1617</v>
      </c>
      <c r="G286" s="67" t="s">
        <v>8</v>
      </c>
      <c r="H286" s="68">
        <v>0.55694444444444446</v>
      </c>
      <c r="I286" s="68"/>
      <c r="J286" s="68">
        <v>0.55694444444444446</v>
      </c>
      <c r="K286" s="67" t="s">
        <v>1718</v>
      </c>
      <c r="L286" s="67" t="s">
        <v>1199</v>
      </c>
      <c r="M286" s="67" t="s">
        <v>1278</v>
      </c>
    </row>
    <row r="287" spans="1:13" ht="12" customHeight="1" x14ac:dyDescent="0.2">
      <c r="A287" s="78">
        <v>233465</v>
      </c>
      <c r="B287" s="67" t="s">
        <v>340</v>
      </c>
      <c r="C287" s="67" t="s">
        <v>1196</v>
      </c>
      <c r="D287" s="67" t="s">
        <v>1199</v>
      </c>
      <c r="E287" s="67" t="s">
        <v>1271</v>
      </c>
      <c r="F287" s="67" t="s">
        <v>1611</v>
      </c>
      <c r="G287" s="67" t="s">
        <v>8</v>
      </c>
      <c r="H287" s="68">
        <v>0.53402777777777777</v>
      </c>
      <c r="I287" s="68"/>
      <c r="J287" s="68">
        <v>0.53402777777777777</v>
      </c>
      <c r="K287" s="67" t="s">
        <v>1718</v>
      </c>
      <c r="L287" s="67" t="s">
        <v>1199</v>
      </c>
      <c r="M287" s="67" t="s">
        <v>1271</v>
      </c>
    </row>
    <row r="288" spans="1:13" ht="12" customHeight="1" x14ac:dyDescent="0.2">
      <c r="A288" s="78">
        <v>230391</v>
      </c>
      <c r="B288" s="67" t="s">
        <v>341</v>
      </c>
      <c r="C288" s="67" t="s">
        <v>1196</v>
      </c>
      <c r="D288" s="67" t="s">
        <v>1199</v>
      </c>
      <c r="E288" s="67" t="s">
        <v>1283</v>
      </c>
      <c r="F288" s="67" t="s">
        <v>1616</v>
      </c>
      <c r="G288" s="67" t="s">
        <v>8</v>
      </c>
      <c r="H288" s="68">
        <v>0.52222222222222225</v>
      </c>
      <c r="I288" s="68"/>
      <c r="J288" s="68">
        <v>0.52222222222222225</v>
      </c>
      <c r="K288" s="67" t="s">
        <v>1718</v>
      </c>
      <c r="L288" s="67" t="s">
        <v>1199</v>
      </c>
      <c r="M288" s="67" t="s">
        <v>1283</v>
      </c>
    </row>
    <row r="289" spans="1:13" ht="12" customHeight="1" x14ac:dyDescent="0.2">
      <c r="A289" s="78">
        <v>235200</v>
      </c>
      <c r="B289" s="67" t="s">
        <v>342</v>
      </c>
      <c r="C289" s="67" t="s">
        <v>1196</v>
      </c>
      <c r="D289" s="67" t="s">
        <v>1199</v>
      </c>
      <c r="E289" s="67" t="s">
        <v>1300</v>
      </c>
      <c r="F289" s="67" t="s">
        <v>1619</v>
      </c>
      <c r="G289" s="67" t="s">
        <v>8</v>
      </c>
      <c r="H289" s="68">
        <v>0.46388888888888885</v>
      </c>
      <c r="I289" s="68"/>
      <c r="J289" s="68">
        <v>0.46388888888888885</v>
      </c>
      <c r="K289" s="67" t="s">
        <v>1718</v>
      </c>
      <c r="L289" s="67" t="s">
        <v>1199</v>
      </c>
      <c r="M289" s="67" t="s">
        <v>1300</v>
      </c>
    </row>
    <row r="290" spans="1:13" ht="12" customHeight="1" x14ac:dyDescent="0.2">
      <c r="A290" s="78">
        <v>222781</v>
      </c>
      <c r="B290" s="67" t="s">
        <v>343</v>
      </c>
      <c r="C290" s="67" t="s">
        <v>1196</v>
      </c>
      <c r="D290" s="67" t="s">
        <v>1199</v>
      </c>
      <c r="E290" s="67" t="s">
        <v>1298</v>
      </c>
      <c r="F290" s="67" t="s">
        <v>1620</v>
      </c>
      <c r="G290" s="67" t="s">
        <v>8</v>
      </c>
      <c r="H290" s="68">
        <v>0.45902777777777781</v>
      </c>
      <c r="I290" s="68"/>
      <c r="J290" s="68">
        <v>0.45902777777777781</v>
      </c>
      <c r="K290" s="67" t="s">
        <v>1720</v>
      </c>
      <c r="L290" s="67" t="s">
        <v>1199</v>
      </c>
      <c r="M290" s="67" t="s">
        <v>1298</v>
      </c>
    </row>
    <row r="291" spans="1:13" ht="12" customHeight="1" x14ac:dyDescent="0.2">
      <c r="A291" s="78">
        <v>230829</v>
      </c>
      <c r="B291" s="67" t="s">
        <v>344</v>
      </c>
      <c r="C291" s="67" t="s">
        <v>1196</v>
      </c>
      <c r="D291" s="67" t="s">
        <v>1199</v>
      </c>
      <c r="E291" s="67" t="s">
        <v>1287</v>
      </c>
      <c r="F291" s="67" t="s">
        <v>1608</v>
      </c>
      <c r="G291" s="67" t="s">
        <v>8</v>
      </c>
      <c r="H291" s="68">
        <v>0.45763888888888887</v>
      </c>
      <c r="I291" s="68"/>
      <c r="J291" s="68">
        <v>0.45763888888888887</v>
      </c>
      <c r="K291" s="67" t="s">
        <v>1718</v>
      </c>
      <c r="L291" s="67" t="s">
        <v>1199</v>
      </c>
      <c r="M291" s="67" t="s">
        <v>1287</v>
      </c>
    </row>
    <row r="292" spans="1:13" ht="12" customHeight="1" x14ac:dyDescent="0.2">
      <c r="A292" s="78">
        <v>235184</v>
      </c>
      <c r="B292" s="67" t="s">
        <v>345</v>
      </c>
      <c r="C292" s="67" t="s">
        <v>1196</v>
      </c>
      <c r="D292" s="67" t="s">
        <v>1199</v>
      </c>
      <c r="E292" s="67" t="s">
        <v>1269</v>
      </c>
      <c r="F292" s="67" t="s">
        <v>1609</v>
      </c>
      <c r="G292" s="67" t="s">
        <v>8</v>
      </c>
      <c r="H292" s="68">
        <v>0.45555555555555555</v>
      </c>
      <c r="I292" s="68"/>
      <c r="J292" s="68">
        <v>0.45555555555555555</v>
      </c>
      <c r="K292" s="67" t="s">
        <v>1718</v>
      </c>
      <c r="L292" s="67" t="s">
        <v>1199</v>
      </c>
      <c r="M292" s="67" t="s">
        <v>1269</v>
      </c>
    </row>
    <row r="293" spans="1:13" ht="12" customHeight="1" x14ac:dyDescent="0.2">
      <c r="A293" s="78">
        <v>230390</v>
      </c>
      <c r="B293" s="67" t="s">
        <v>346</v>
      </c>
      <c r="C293" s="67" t="s">
        <v>1196</v>
      </c>
      <c r="D293" s="67" t="s">
        <v>1199</v>
      </c>
      <c r="E293" s="67" t="s">
        <v>1304</v>
      </c>
      <c r="F293" s="67" t="s">
        <v>1614</v>
      </c>
      <c r="G293" s="67" t="s">
        <v>8</v>
      </c>
      <c r="H293" s="68">
        <v>0.38194444444444442</v>
      </c>
      <c r="I293" s="68"/>
      <c r="J293" s="68">
        <v>0.38194444444444442</v>
      </c>
      <c r="K293" s="67" t="s">
        <v>1719</v>
      </c>
      <c r="L293" s="67" t="s">
        <v>1199</v>
      </c>
      <c r="M293" s="67" t="s">
        <v>1304</v>
      </c>
    </row>
    <row r="294" spans="1:13" ht="12" customHeight="1" x14ac:dyDescent="0.2">
      <c r="A294" s="78">
        <v>232589</v>
      </c>
      <c r="B294" s="67" t="s">
        <v>347</v>
      </c>
      <c r="C294" s="67" t="s">
        <v>1196</v>
      </c>
      <c r="D294" s="67" t="s">
        <v>1199</v>
      </c>
      <c r="E294" s="67" t="s">
        <v>1283</v>
      </c>
      <c r="F294" s="67" t="s">
        <v>1616</v>
      </c>
      <c r="G294" s="67" t="s">
        <v>8</v>
      </c>
      <c r="H294" s="68">
        <v>0.38194444444444442</v>
      </c>
      <c r="I294" s="68"/>
      <c r="J294" s="68">
        <v>0.38194444444444442</v>
      </c>
      <c r="K294" s="67" t="s">
        <v>1718</v>
      </c>
      <c r="L294" s="67" t="s">
        <v>1199</v>
      </c>
      <c r="M294" s="67" t="s">
        <v>1283</v>
      </c>
    </row>
    <row r="295" spans="1:13" ht="12" customHeight="1" x14ac:dyDescent="0.2">
      <c r="A295" s="78">
        <v>224555</v>
      </c>
      <c r="B295" s="67" t="s">
        <v>348</v>
      </c>
      <c r="C295" s="67" t="s">
        <v>1196</v>
      </c>
      <c r="D295" s="67" t="s">
        <v>1199</v>
      </c>
      <c r="E295" s="67" t="s">
        <v>1300</v>
      </c>
      <c r="F295" s="67" t="s">
        <v>1619</v>
      </c>
      <c r="G295" s="67" t="s">
        <v>8</v>
      </c>
      <c r="H295" s="68">
        <v>0.36041666666666666</v>
      </c>
      <c r="I295" s="68"/>
      <c r="J295" s="68">
        <v>0.36041666666666666</v>
      </c>
      <c r="K295" s="67" t="s">
        <v>1718</v>
      </c>
      <c r="L295" s="67" t="s">
        <v>1199</v>
      </c>
      <c r="M295" s="67" t="s">
        <v>1300</v>
      </c>
    </row>
    <row r="296" spans="1:13" ht="12" customHeight="1" x14ac:dyDescent="0.2">
      <c r="A296" s="78">
        <v>212691</v>
      </c>
      <c r="B296" s="67" t="s">
        <v>349</v>
      </c>
      <c r="C296" s="67" t="s">
        <v>1196</v>
      </c>
      <c r="D296" s="67" t="s">
        <v>1199</v>
      </c>
      <c r="E296" s="67" t="s">
        <v>1305</v>
      </c>
      <c r="F296" s="67" t="s">
        <v>1614</v>
      </c>
      <c r="G296" s="67" t="s">
        <v>8</v>
      </c>
      <c r="H296" s="68">
        <v>0.34583333333333338</v>
      </c>
      <c r="I296" s="68"/>
      <c r="J296" s="68">
        <v>0.34583333333333338</v>
      </c>
      <c r="K296" s="67" t="s">
        <v>1724</v>
      </c>
      <c r="L296" s="67" t="s">
        <v>1199</v>
      </c>
      <c r="M296" s="67" t="s">
        <v>1305</v>
      </c>
    </row>
    <row r="297" spans="1:13" ht="12" customHeight="1" x14ac:dyDescent="0.2">
      <c r="A297" s="78">
        <v>236147</v>
      </c>
      <c r="B297" s="67" t="s">
        <v>350</v>
      </c>
      <c r="C297" s="67" t="s">
        <v>1196</v>
      </c>
      <c r="D297" s="67" t="s">
        <v>1199</v>
      </c>
      <c r="E297" s="67" t="s">
        <v>1299</v>
      </c>
      <c r="F297" s="67" t="s">
        <v>1617</v>
      </c>
      <c r="G297" s="67" t="s">
        <v>8</v>
      </c>
      <c r="H297" s="68">
        <v>0.34027777777777773</v>
      </c>
      <c r="I297" s="68"/>
      <c r="J297" s="68">
        <v>0.34027777777777773</v>
      </c>
      <c r="K297" s="67" t="s">
        <v>1720</v>
      </c>
      <c r="L297" s="67" t="s">
        <v>1199</v>
      </c>
      <c r="M297" s="67" t="s">
        <v>1299</v>
      </c>
    </row>
    <row r="298" spans="1:13" ht="12" customHeight="1" x14ac:dyDescent="0.2">
      <c r="A298" s="78">
        <v>200765</v>
      </c>
      <c r="B298" s="67" t="s">
        <v>351</v>
      </c>
      <c r="C298" s="67" t="s">
        <v>1196</v>
      </c>
      <c r="D298" s="67" t="s">
        <v>1199</v>
      </c>
      <c r="E298" s="67" t="s">
        <v>1306</v>
      </c>
      <c r="F298" s="67" t="s">
        <v>1614</v>
      </c>
      <c r="G298" s="67" t="s">
        <v>8</v>
      </c>
      <c r="H298" s="68">
        <v>0.32013888888888892</v>
      </c>
      <c r="I298" s="68"/>
      <c r="J298" s="68">
        <v>0.32013888888888892</v>
      </c>
      <c r="K298" s="67" t="s">
        <v>1724</v>
      </c>
      <c r="L298" s="67" t="s">
        <v>1199</v>
      </c>
      <c r="M298" s="67" t="s">
        <v>1306</v>
      </c>
    </row>
    <row r="299" spans="1:13" ht="12" customHeight="1" x14ac:dyDescent="0.2">
      <c r="A299" s="78">
        <v>233460</v>
      </c>
      <c r="B299" s="67" t="s">
        <v>352</v>
      </c>
      <c r="C299" s="67" t="s">
        <v>1196</v>
      </c>
      <c r="D299" s="67" t="s">
        <v>1199</v>
      </c>
      <c r="E299" s="67" t="s">
        <v>1288</v>
      </c>
      <c r="F299" s="67" t="s">
        <v>1622</v>
      </c>
      <c r="G299" s="67" t="s">
        <v>8</v>
      </c>
      <c r="H299" s="68">
        <v>0.30069444444444443</v>
      </c>
      <c r="I299" s="68"/>
      <c r="J299" s="68">
        <v>0.30069444444444443</v>
      </c>
      <c r="K299" s="67" t="s">
        <v>1718</v>
      </c>
      <c r="L299" s="67" t="s">
        <v>1199</v>
      </c>
      <c r="M299" s="67" t="s">
        <v>1288</v>
      </c>
    </row>
    <row r="300" spans="1:13" ht="12" customHeight="1" x14ac:dyDescent="0.2">
      <c r="A300" s="78">
        <v>203069</v>
      </c>
      <c r="B300" s="67" t="s">
        <v>353</v>
      </c>
      <c r="C300" s="67" t="s">
        <v>1196</v>
      </c>
      <c r="D300" s="67" t="s">
        <v>1199</v>
      </c>
      <c r="E300" s="67" t="s">
        <v>1270</v>
      </c>
      <c r="F300" s="67" t="s">
        <v>1610</v>
      </c>
      <c r="G300" s="67" t="s">
        <v>8</v>
      </c>
      <c r="H300" s="68">
        <v>0.29652777777777778</v>
      </c>
      <c r="I300" s="68"/>
      <c r="J300" s="68">
        <v>0.29652777777777778</v>
      </c>
      <c r="K300" s="67" t="s">
        <v>1718</v>
      </c>
      <c r="L300" s="67" t="s">
        <v>1199</v>
      </c>
      <c r="M300" s="67" t="s">
        <v>1270</v>
      </c>
    </row>
    <row r="301" spans="1:13" ht="12" customHeight="1" x14ac:dyDescent="0.2">
      <c r="A301" s="78">
        <v>236519</v>
      </c>
      <c r="B301" s="67" t="s">
        <v>354</v>
      </c>
      <c r="C301" s="67" t="s">
        <v>1196</v>
      </c>
      <c r="D301" s="67" t="s">
        <v>1199</v>
      </c>
      <c r="E301" s="67" t="s">
        <v>1289</v>
      </c>
      <c r="F301" s="67" t="s">
        <v>1610</v>
      </c>
      <c r="G301" s="67" t="s">
        <v>8</v>
      </c>
      <c r="H301" s="68">
        <v>0.22638888888888889</v>
      </c>
      <c r="I301" s="68"/>
      <c r="J301" s="68">
        <v>0.22638888888888889</v>
      </c>
      <c r="K301" s="67" t="s">
        <v>1720</v>
      </c>
      <c r="L301" s="67" t="s">
        <v>1199</v>
      </c>
      <c r="M301" s="67" t="s">
        <v>1289</v>
      </c>
    </row>
    <row r="302" spans="1:13" ht="12" customHeight="1" x14ac:dyDescent="0.2">
      <c r="A302" s="78">
        <v>238206</v>
      </c>
      <c r="B302" s="67" t="s">
        <v>355</v>
      </c>
      <c r="C302" s="67" t="s">
        <v>1196</v>
      </c>
      <c r="D302" s="67" t="s">
        <v>1199</v>
      </c>
      <c r="E302" s="67" t="s">
        <v>1287</v>
      </c>
      <c r="F302" s="67" t="s">
        <v>1608</v>
      </c>
      <c r="G302" s="67" t="s">
        <v>8</v>
      </c>
      <c r="H302" s="68">
        <v>0.21249999999999999</v>
      </c>
      <c r="I302" s="68"/>
      <c r="J302" s="68">
        <v>0.21249999999999999</v>
      </c>
      <c r="K302" s="67" t="s">
        <v>1718</v>
      </c>
      <c r="L302" s="67" t="s">
        <v>1199</v>
      </c>
      <c r="M302" s="67" t="s">
        <v>1287</v>
      </c>
    </row>
    <row r="303" spans="1:13" ht="12" customHeight="1" x14ac:dyDescent="0.2">
      <c r="A303" s="78">
        <v>235907</v>
      </c>
      <c r="B303" s="67" t="s">
        <v>356</v>
      </c>
      <c r="C303" s="67" t="s">
        <v>1196</v>
      </c>
      <c r="D303" s="67" t="s">
        <v>1199</v>
      </c>
      <c r="E303" s="67" t="s">
        <v>1300</v>
      </c>
      <c r="F303" s="67" t="s">
        <v>1619</v>
      </c>
      <c r="G303" s="67" t="s">
        <v>8</v>
      </c>
      <c r="H303" s="68">
        <v>0.19513888888888889</v>
      </c>
      <c r="I303" s="68"/>
      <c r="J303" s="68">
        <v>0.19513888888888889</v>
      </c>
      <c r="K303" s="67" t="s">
        <v>1718</v>
      </c>
      <c r="L303" s="67" t="s">
        <v>1199</v>
      </c>
      <c r="M303" s="67" t="s">
        <v>1300</v>
      </c>
    </row>
    <row r="304" spans="1:13" ht="12" customHeight="1" x14ac:dyDescent="0.2">
      <c r="A304" s="78">
        <v>230020</v>
      </c>
      <c r="B304" s="67" t="s">
        <v>357</v>
      </c>
      <c r="C304" s="67" t="s">
        <v>1196</v>
      </c>
      <c r="D304" s="67" t="s">
        <v>1199</v>
      </c>
      <c r="E304" s="67" t="s">
        <v>1307</v>
      </c>
      <c r="F304" s="67" t="s">
        <v>1614</v>
      </c>
      <c r="G304" s="67" t="s">
        <v>8</v>
      </c>
      <c r="H304" s="68">
        <v>0.14791666666666667</v>
      </c>
      <c r="I304" s="68"/>
      <c r="J304" s="68">
        <v>0.14791666666666667</v>
      </c>
      <c r="K304" s="67" t="s">
        <v>1719</v>
      </c>
      <c r="L304" s="67" t="s">
        <v>1199</v>
      </c>
      <c r="M304" s="67" t="s">
        <v>1307</v>
      </c>
    </row>
    <row r="305" spans="1:13" ht="12" customHeight="1" x14ac:dyDescent="0.2">
      <c r="A305" s="78">
        <v>232831</v>
      </c>
      <c r="B305" s="67" t="s">
        <v>358</v>
      </c>
      <c r="C305" s="67" t="s">
        <v>1196</v>
      </c>
      <c r="D305" s="67" t="s">
        <v>1199</v>
      </c>
      <c r="E305" s="67" t="s">
        <v>1282</v>
      </c>
      <c r="F305" s="67" t="s">
        <v>1620</v>
      </c>
      <c r="G305" s="67" t="s">
        <v>8</v>
      </c>
      <c r="H305" s="68">
        <v>0.14375000000000002</v>
      </c>
      <c r="I305" s="68"/>
      <c r="J305" s="68">
        <v>0.14375000000000002</v>
      </c>
      <c r="K305" s="67" t="s">
        <v>1718</v>
      </c>
      <c r="L305" s="67" t="s">
        <v>1199</v>
      </c>
      <c r="M305" s="67" t="s">
        <v>1282</v>
      </c>
    </row>
    <row r="306" spans="1:13" ht="12" customHeight="1" x14ac:dyDescent="0.2">
      <c r="A306" s="78">
        <v>233554</v>
      </c>
      <c r="B306" s="67" t="s">
        <v>359</v>
      </c>
      <c r="C306" s="67" t="s">
        <v>1196</v>
      </c>
      <c r="D306" s="67" t="s">
        <v>1199</v>
      </c>
      <c r="E306" s="67" t="s">
        <v>1288</v>
      </c>
      <c r="F306" s="67" t="s">
        <v>1622</v>
      </c>
      <c r="G306" s="67" t="s">
        <v>8</v>
      </c>
      <c r="H306" s="68">
        <v>0.12847222222222224</v>
      </c>
      <c r="I306" s="68"/>
      <c r="J306" s="68">
        <v>0.12847222222222224</v>
      </c>
      <c r="K306" s="67" t="s">
        <v>1718</v>
      </c>
      <c r="L306" s="67" t="s">
        <v>1199</v>
      </c>
      <c r="M306" s="67" t="s">
        <v>1288</v>
      </c>
    </row>
    <row r="307" spans="1:13" ht="12" customHeight="1" x14ac:dyDescent="0.2">
      <c r="A307" s="78">
        <v>233126</v>
      </c>
      <c r="B307" s="67" t="s">
        <v>360</v>
      </c>
      <c r="C307" s="67" t="s">
        <v>1196</v>
      </c>
      <c r="D307" s="67" t="s">
        <v>1199</v>
      </c>
      <c r="E307" s="67" t="s">
        <v>1286</v>
      </c>
      <c r="F307" s="67" t="s">
        <v>1622</v>
      </c>
      <c r="G307" s="67" t="s">
        <v>8</v>
      </c>
      <c r="H307" s="68">
        <v>9.375E-2</v>
      </c>
      <c r="I307" s="68"/>
      <c r="J307" s="68">
        <v>9.375E-2</v>
      </c>
      <c r="K307" s="67" t="s">
        <v>1721</v>
      </c>
      <c r="L307" s="67" t="s">
        <v>1199</v>
      </c>
      <c r="M307" s="67" t="s">
        <v>1286</v>
      </c>
    </row>
    <row r="308" spans="1:13" ht="12" customHeight="1" x14ac:dyDescent="0.2">
      <c r="A308" s="78">
        <v>222565</v>
      </c>
      <c r="B308" s="67" t="s">
        <v>361</v>
      </c>
      <c r="C308" s="67" t="s">
        <v>1196</v>
      </c>
      <c r="D308" s="67" t="s">
        <v>1199</v>
      </c>
      <c r="E308" s="67" t="s">
        <v>1302</v>
      </c>
      <c r="F308" s="67" t="s">
        <v>1615</v>
      </c>
      <c r="G308" s="67" t="s">
        <v>8</v>
      </c>
      <c r="H308" s="68">
        <v>5.6250000000000001E-2</v>
      </c>
      <c r="I308" s="68"/>
      <c r="J308" s="68">
        <v>5.6250000000000001E-2</v>
      </c>
      <c r="K308" s="67" t="s">
        <v>1720</v>
      </c>
      <c r="L308" s="67" t="s">
        <v>1199</v>
      </c>
      <c r="M308" s="67" t="s">
        <v>1302</v>
      </c>
    </row>
    <row r="309" spans="1:13" ht="12" customHeight="1" x14ac:dyDescent="0.2">
      <c r="A309" s="78">
        <v>201853</v>
      </c>
      <c r="B309" s="67" t="s">
        <v>362</v>
      </c>
      <c r="C309" s="67" t="s">
        <v>1196</v>
      </c>
      <c r="D309" s="67" t="s">
        <v>1199</v>
      </c>
      <c r="E309" s="67" t="s">
        <v>1287</v>
      </c>
      <c r="F309" s="67" t="s">
        <v>1608</v>
      </c>
      <c r="G309" s="67" t="s">
        <v>8</v>
      </c>
      <c r="H309" s="68">
        <v>5.486111111111111E-2</v>
      </c>
      <c r="I309" s="68"/>
      <c r="J309" s="68">
        <v>5.486111111111111E-2</v>
      </c>
      <c r="K309" s="67" t="s">
        <v>1718</v>
      </c>
      <c r="L309" s="67" t="s">
        <v>1199</v>
      </c>
      <c r="M309" s="67" t="s">
        <v>1287</v>
      </c>
    </row>
    <row r="310" spans="1:13" ht="12" customHeight="1" x14ac:dyDescent="0.2">
      <c r="A310" s="78">
        <v>215784</v>
      </c>
      <c r="B310" s="67" t="s">
        <v>363</v>
      </c>
      <c r="C310" s="67" t="s">
        <v>1196</v>
      </c>
      <c r="D310" s="67" t="s">
        <v>1199</v>
      </c>
      <c r="E310" s="67" t="s">
        <v>1308</v>
      </c>
      <c r="F310" s="67" t="s">
        <v>1614</v>
      </c>
      <c r="G310" s="67" t="s">
        <v>8</v>
      </c>
      <c r="H310" s="68">
        <v>4.6527777777777779E-2</v>
      </c>
      <c r="I310" s="68"/>
      <c r="J310" s="68">
        <v>4.6527777777777779E-2</v>
      </c>
      <c r="K310" s="67" t="s">
        <v>1724</v>
      </c>
      <c r="L310" s="67" t="s">
        <v>1199</v>
      </c>
      <c r="M310" s="67" t="s">
        <v>1308</v>
      </c>
    </row>
    <row r="311" spans="1:13" ht="12" customHeight="1" x14ac:dyDescent="0.2">
      <c r="A311" s="78">
        <v>202228</v>
      </c>
      <c r="B311" s="67" t="s">
        <v>364</v>
      </c>
      <c r="C311" s="67" t="s">
        <v>1196</v>
      </c>
      <c r="D311" s="67" t="s">
        <v>1199</v>
      </c>
      <c r="E311" s="67" t="s">
        <v>1298</v>
      </c>
      <c r="F311" s="67" t="s">
        <v>1620</v>
      </c>
      <c r="G311" s="67" t="s">
        <v>8</v>
      </c>
      <c r="H311" s="68">
        <v>3.9583333333333331E-2</v>
      </c>
      <c r="I311" s="68"/>
      <c r="J311" s="68">
        <v>3.9583333333333331E-2</v>
      </c>
      <c r="K311" s="67" t="s">
        <v>1725</v>
      </c>
      <c r="L311" s="67" t="s">
        <v>1199</v>
      </c>
      <c r="M311" s="67" t="s">
        <v>1298</v>
      </c>
    </row>
    <row r="312" spans="1:13" ht="12" customHeight="1" x14ac:dyDescent="0.2">
      <c r="A312" s="78">
        <v>225602</v>
      </c>
      <c r="B312" s="67" t="s">
        <v>365</v>
      </c>
      <c r="C312" s="67" t="s">
        <v>1196</v>
      </c>
      <c r="D312" s="67" t="s">
        <v>1199</v>
      </c>
      <c r="E312" s="67" t="s">
        <v>1283</v>
      </c>
      <c r="F312" s="67" t="s">
        <v>1616</v>
      </c>
      <c r="G312" s="67" t="s">
        <v>8</v>
      </c>
      <c r="H312" s="68">
        <v>2.8472222222222222E-2</v>
      </c>
      <c r="I312" s="68"/>
      <c r="J312" s="68">
        <v>2.8472222222222222E-2</v>
      </c>
      <c r="K312" s="67" t="s">
        <v>1718</v>
      </c>
      <c r="L312" s="67" t="s">
        <v>1199</v>
      </c>
      <c r="M312" s="67" t="s">
        <v>1283</v>
      </c>
    </row>
    <row r="313" spans="1:13" ht="12" customHeight="1" x14ac:dyDescent="0.2">
      <c r="A313" s="78">
        <v>217969</v>
      </c>
      <c r="B313" s="67" t="s">
        <v>366</v>
      </c>
      <c r="C313" s="67" t="s">
        <v>1196</v>
      </c>
      <c r="D313" s="67" t="s">
        <v>1199</v>
      </c>
      <c r="E313" s="67" t="s">
        <v>1302</v>
      </c>
      <c r="F313" s="67" t="s">
        <v>1615</v>
      </c>
      <c r="G313" s="67" t="s">
        <v>8</v>
      </c>
      <c r="H313" s="68">
        <v>2.4999999999999998E-2</v>
      </c>
      <c r="I313" s="68"/>
      <c r="J313" s="68">
        <v>2.4999999999999998E-2</v>
      </c>
      <c r="K313" s="67" t="s">
        <v>1721</v>
      </c>
      <c r="L313" s="67" t="s">
        <v>1199</v>
      </c>
      <c r="M313" s="67" t="s">
        <v>1302</v>
      </c>
    </row>
    <row r="314" spans="1:13" ht="12" customHeight="1" x14ac:dyDescent="0.2">
      <c r="A314" s="78">
        <v>219907</v>
      </c>
      <c r="B314" s="67" t="s">
        <v>367</v>
      </c>
      <c r="C314" s="67" t="s">
        <v>1196</v>
      </c>
      <c r="D314" s="67" t="s">
        <v>1199</v>
      </c>
      <c r="E314" s="67" t="s">
        <v>1277</v>
      </c>
      <c r="F314" s="67" t="s">
        <v>1616</v>
      </c>
      <c r="G314" s="67" t="s">
        <v>8</v>
      </c>
      <c r="H314" s="68">
        <v>8.3333333333333332E-3</v>
      </c>
      <c r="I314" s="68"/>
      <c r="J314" s="68">
        <v>8.3333333333333332E-3</v>
      </c>
      <c r="K314" s="67" t="s">
        <v>1720</v>
      </c>
      <c r="L314" s="67" t="s">
        <v>1199</v>
      </c>
      <c r="M314" s="67" t="s">
        <v>1277</v>
      </c>
    </row>
    <row r="315" spans="1:13" ht="12" customHeight="1" x14ac:dyDescent="0.2">
      <c r="A315" s="78">
        <v>202049</v>
      </c>
      <c r="B315" s="67" t="s">
        <v>368</v>
      </c>
      <c r="C315" s="67" t="s">
        <v>1196</v>
      </c>
      <c r="D315" s="67" t="s">
        <v>1200</v>
      </c>
      <c r="E315" s="67" t="s">
        <v>1309</v>
      </c>
      <c r="F315" s="67" t="s">
        <v>1623</v>
      </c>
      <c r="G315" s="67" t="s">
        <v>7</v>
      </c>
      <c r="H315" s="68">
        <v>19.990277777777777</v>
      </c>
      <c r="I315" s="68">
        <v>19.990277777777777</v>
      </c>
      <c r="J315" s="68"/>
      <c r="K315" s="67" t="s">
        <v>1720</v>
      </c>
      <c r="L315" s="67" t="s">
        <v>1200</v>
      </c>
      <c r="M315" s="67" t="s">
        <v>1309</v>
      </c>
    </row>
    <row r="316" spans="1:13" ht="12" customHeight="1" x14ac:dyDescent="0.2">
      <c r="A316" s="78">
        <v>229386</v>
      </c>
      <c r="B316" s="67" t="s">
        <v>369</v>
      </c>
      <c r="C316" s="67" t="s">
        <v>1196</v>
      </c>
      <c r="D316" s="67" t="s">
        <v>1200</v>
      </c>
      <c r="E316" s="67" t="s">
        <v>1310</v>
      </c>
      <c r="F316" s="67" t="s">
        <v>1624</v>
      </c>
      <c r="G316" s="67" t="s">
        <v>7</v>
      </c>
      <c r="H316" s="68">
        <v>1.054861111111111</v>
      </c>
      <c r="I316" s="68">
        <v>1.054861111111111</v>
      </c>
      <c r="J316" s="68"/>
      <c r="K316" s="67" t="s">
        <v>1718</v>
      </c>
      <c r="L316" s="67" t="s">
        <v>1200</v>
      </c>
      <c r="M316" s="67" t="s">
        <v>1310</v>
      </c>
    </row>
    <row r="317" spans="1:13" ht="12" customHeight="1" x14ac:dyDescent="0.2">
      <c r="A317" s="78">
        <v>203456</v>
      </c>
      <c r="B317" s="67" t="s">
        <v>370</v>
      </c>
      <c r="C317" s="67" t="s">
        <v>1196</v>
      </c>
      <c r="D317" s="67" t="s">
        <v>1200</v>
      </c>
      <c r="E317" s="67" t="s">
        <v>1311</v>
      </c>
      <c r="F317" s="67" t="s">
        <v>1623</v>
      </c>
      <c r="G317" s="67" t="s">
        <v>7</v>
      </c>
      <c r="H317" s="68">
        <v>0.13749999999999998</v>
      </c>
      <c r="I317" s="68">
        <v>0.13749999999999998</v>
      </c>
      <c r="J317" s="68"/>
      <c r="K317" s="67" t="s">
        <v>1718</v>
      </c>
      <c r="L317" s="67" t="s">
        <v>1200</v>
      </c>
      <c r="M317" s="67" t="s">
        <v>1311</v>
      </c>
    </row>
    <row r="318" spans="1:13" ht="12" customHeight="1" x14ac:dyDescent="0.2">
      <c r="A318" s="78">
        <v>203608</v>
      </c>
      <c r="B318" s="67" t="s">
        <v>371</v>
      </c>
      <c r="C318" s="67" t="s">
        <v>1196</v>
      </c>
      <c r="D318" s="67" t="s">
        <v>1200</v>
      </c>
      <c r="E318" s="67" t="s">
        <v>1310</v>
      </c>
      <c r="F318" s="67" t="s">
        <v>1624</v>
      </c>
      <c r="G318" s="67" t="s">
        <v>7</v>
      </c>
      <c r="H318" s="68">
        <v>2.1527777777777781E-2</v>
      </c>
      <c r="I318" s="68">
        <v>2.1527777777777781E-2</v>
      </c>
      <c r="J318" s="68"/>
      <c r="K318" s="67" t="s">
        <v>1718</v>
      </c>
      <c r="L318" s="67" t="s">
        <v>1200</v>
      </c>
      <c r="M318" s="67" t="s">
        <v>1310</v>
      </c>
    </row>
    <row r="319" spans="1:13" ht="12" customHeight="1" x14ac:dyDescent="0.2">
      <c r="A319" s="78">
        <v>230809</v>
      </c>
      <c r="B319" s="67" t="s">
        <v>372</v>
      </c>
      <c r="C319" s="67" t="s">
        <v>1196</v>
      </c>
      <c r="D319" s="67" t="s">
        <v>1200</v>
      </c>
      <c r="E319" s="67" t="s">
        <v>1312</v>
      </c>
      <c r="F319" s="67" t="s">
        <v>1625</v>
      </c>
      <c r="G319" s="67" t="s">
        <v>7</v>
      </c>
      <c r="H319" s="68">
        <v>6.1805555555555558E-2</v>
      </c>
      <c r="I319" s="68">
        <v>6.1805555555555558E-2</v>
      </c>
      <c r="J319" s="68"/>
      <c r="K319" s="67" t="s">
        <v>1718</v>
      </c>
      <c r="L319" s="67" t="s">
        <v>1200</v>
      </c>
      <c r="M319" s="67" t="s">
        <v>1312</v>
      </c>
    </row>
    <row r="320" spans="1:13" ht="12" customHeight="1" x14ac:dyDescent="0.2">
      <c r="A320" s="78">
        <v>231590</v>
      </c>
      <c r="B320" s="67" t="s">
        <v>373</v>
      </c>
      <c r="C320" s="67" t="s">
        <v>1196</v>
      </c>
      <c r="D320" s="67" t="s">
        <v>1200</v>
      </c>
      <c r="E320" s="67" t="s">
        <v>1310</v>
      </c>
      <c r="F320" s="67" t="s">
        <v>1624</v>
      </c>
      <c r="G320" s="67" t="s">
        <v>7</v>
      </c>
      <c r="H320" s="68">
        <v>0.28194444444444444</v>
      </c>
      <c r="I320" s="68">
        <v>0.28194444444444444</v>
      </c>
      <c r="J320" s="68"/>
      <c r="K320" s="67" t="s">
        <v>1718</v>
      </c>
      <c r="L320" s="67" t="s">
        <v>1200</v>
      </c>
      <c r="M320" s="67" t="s">
        <v>1310</v>
      </c>
    </row>
    <row r="321" spans="1:13" ht="12" customHeight="1" x14ac:dyDescent="0.2">
      <c r="A321" s="78">
        <v>236983</v>
      </c>
      <c r="B321" s="67" t="s">
        <v>374</v>
      </c>
      <c r="C321" s="67" t="s">
        <v>1196</v>
      </c>
      <c r="D321" s="67" t="s">
        <v>1200</v>
      </c>
      <c r="E321" s="67" t="s">
        <v>1313</v>
      </c>
      <c r="F321" s="67" t="s">
        <v>1626</v>
      </c>
      <c r="G321" s="67" t="s">
        <v>7</v>
      </c>
      <c r="H321" s="68">
        <v>0.6381944444444444</v>
      </c>
      <c r="I321" s="68">
        <v>0.6381944444444444</v>
      </c>
      <c r="J321" s="68"/>
      <c r="K321" s="67" t="s">
        <v>1720</v>
      </c>
      <c r="L321" s="67" t="s">
        <v>1200</v>
      </c>
      <c r="M321" s="67" t="s">
        <v>1313</v>
      </c>
    </row>
    <row r="322" spans="1:13" ht="12" customHeight="1" x14ac:dyDescent="0.2">
      <c r="A322" s="78">
        <v>201873</v>
      </c>
      <c r="B322" s="67" t="s">
        <v>375</v>
      </c>
      <c r="C322" s="67" t="s">
        <v>1196</v>
      </c>
      <c r="D322" s="67" t="s">
        <v>1200</v>
      </c>
      <c r="E322" s="67" t="s">
        <v>1314</v>
      </c>
      <c r="F322" s="67" t="s">
        <v>1624</v>
      </c>
      <c r="G322" s="67" t="s">
        <v>7</v>
      </c>
      <c r="H322" s="68">
        <v>0.53611111111111109</v>
      </c>
      <c r="I322" s="68">
        <v>0.53611111111111109</v>
      </c>
      <c r="J322" s="68"/>
      <c r="K322" s="67" t="s">
        <v>1720</v>
      </c>
      <c r="L322" s="67" t="s">
        <v>1200</v>
      </c>
      <c r="M322" s="67" t="s">
        <v>1314</v>
      </c>
    </row>
    <row r="323" spans="1:13" ht="12" customHeight="1" x14ac:dyDescent="0.2">
      <c r="A323" s="78">
        <v>200899</v>
      </c>
      <c r="B323" s="67" t="s">
        <v>376</v>
      </c>
      <c r="C323" s="67" t="s">
        <v>1196</v>
      </c>
      <c r="D323" s="67" t="s">
        <v>1200</v>
      </c>
      <c r="E323" s="67" t="s">
        <v>1309</v>
      </c>
      <c r="F323" s="67" t="s">
        <v>1623</v>
      </c>
      <c r="G323" s="67" t="s">
        <v>7</v>
      </c>
      <c r="H323" s="68">
        <v>1.2076388888888889</v>
      </c>
      <c r="I323" s="68">
        <v>1.2076388888888889</v>
      </c>
      <c r="J323" s="68"/>
      <c r="K323" s="67" t="s">
        <v>1721</v>
      </c>
      <c r="L323" s="67" t="s">
        <v>1200</v>
      </c>
      <c r="M323" s="67" t="s">
        <v>1309</v>
      </c>
    </row>
    <row r="324" spans="1:13" ht="12" customHeight="1" x14ac:dyDescent="0.2">
      <c r="A324" s="78">
        <v>223787</v>
      </c>
      <c r="B324" s="67" t="s">
        <v>377</v>
      </c>
      <c r="C324" s="67" t="s">
        <v>1196</v>
      </c>
      <c r="D324" s="67" t="s">
        <v>1200</v>
      </c>
      <c r="E324" s="67" t="s">
        <v>1315</v>
      </c>
      <c r="F324" s="67" t="s">
        <v>1627</v>
      </c>
      <c r="G324" s="67" t="s">
        <v>7</v>
      </c>
      <c r="H324" s="68">
        <v>0.21805555555555556</v>
      </c>
      <c r="I324" s="68">
        <v>0.21805555555555556</v>
      </c>
      <c r="J324" s="68"/>
      <c r="K324" s="67" t="s">
        <v>1720</v>
      </c>
      <c r="L324" s="67" t="s">
        <v>1200</v>
      </c>
      <c r="M324" s="67" t="s">
        <v>1315</v>
      </c>
    </row>
    <row r="325" spans="1:13" ht="12" customHeight="1" x14ac:dyDescent="0.2">
      <c r="A325" s="78">
        <v>203377</v>
      </c>
      <c r="B325" s="67" t="s">
        <v>378</v>
      </c>
      <c r="C325" s="67" t="s">
        <v>1196</v>
      </c>
      <c r="D325" s="67" t="s">
        <v>1200</v>
      </c>
      <c r="E325" s="67" t="s">
        <v>1310</v>
      </c>
      <c r="F325" s="67" t="s">
        <v>1624</v>
      </c>
      <c r="G325" s="67" t="s">
        <v>7</v>
      </c>
      <c r="H325" s="68">
        <v>0.9784722222222223</v>
      </c>
      <c r="I325" s="68">
        <v>0.9784722222222223</v>
      </c>
      <c r="J325" s="68"/>
      <c r="K325" s="67" t="s">
        <v>1718</v>
      </c>
      <c r="L325" s="67" t="s">
        <v>1200</v>
      </c>
      <c r="M325" s="67" t="s">
        <v>1310</v>
      </c>
    </row>
    <row r="326" spans="1:13" ht="12" customHeight="1" x14ac:dyDescent="0.2">
      <c r="A326" s="78">
        <v>236536</v>
      </c>
      <c r="B326" s="67" t="s">
        <v>379</v>
      </c>
      <c r="C326" s="67" t="s">
        <v>1196</v>
      </c>
      <c r="D326" s="67" t="s">
        <v>1200</v>
      </c>
      <c r="E326" s="67" t="s">
        <v>1316</v>
      </c>
      <c r="F326" s="67" t="s">
        <v>1628</v>
      </c>
      <c r="G326" s="67" t="s">
        <v>7</v>
      </c>
      <c r="H326" s="68">
        <v>1.2777777777777777</v>
      </c>
      <c r="I326" s="68">
        <v>1.2777777777777777</v>
      </c>
      <c r="J326" s="68"/>
      <c r="K326" s="67" t="s">
        <v>1719</v>
      </c>
      <c r="L326" s="67" t="s">
        <v>1200</v>
      </c>
      <c r="M326" s="67" t="s">
        <v>1316</v>
      </c>
    </row>
    <row r="327" spans="1:13" ht="12" customHeight="1" x14ac:dyDescent="0.2">
      <c r="A327" s="78">
        <v>221650</v>
      </c>
      <c r="B327" s="67" t="s">
        <v>380</v>
      </c>
      <c r="C327" s="67" t="s">
        <v>1196</v>
      </c>
      <c r="D327" s="67" t="s">
        <v>1200</v>
      </c>
      <c r="E327" s="67" t="s">
        <v>1317</v>
      </c>
      <c r="F327" s="67" t="s">
        <v>1628</v>
      </c>
      <c r="G327" s="67" t="s">
        <v>7</v>
      </c>
      <c r="H327" s="68">
        <v>6.5972222222222224E-2</v>
      </c>
      <c r="I327" s="68">
        <v>6.5972222222222224E-2</v>
      </c>
      <c r="J327" s="68"/>
      <c r="K327" s="67" t="s">
        <v>1719</v>
      </c>
      <c r="L327" s="67" t="s">
        <v>1200</v>
      </c>
      <c r="M327" s="67" t="s">
        <v>1317</v>
      </c>
    </row>
    <row r="328" spans="1:13" ht="12" customHeight="1" x14ac:dyDescent="0.2">
      <c r="A328" s="78">
        <v>223754</v>
      </c>
      <c r="B328" s="67" t="s">
        <v>381</v>
      </c>
      <c r="C328" s="67" t="s">
        <v>1196</v>
      </c>
      <c r="D328" s="67" t="s">
        <v>1200</v>
      </c>
      <c r="E328" s="67" t="s">
        <v>1315</v>
      </c>
      <c r="F328" s="67" t="s">
        <v>1627</v>
      </c>
      <c r="G328" s="67" t="s">
        <v>7</v>
      </c>
      <c r="H328" s="68">
        <v>0.16041666666666668</v>
      </c>
      <c r="I328" s="68">
        <v>0.16041666666666668</v>
      </c>
      <c r="J328" s="68"/>
      <c r="K328" s="67" t="s">
        <v>1721</v>
      </c>
      <c r="L328" s="67" t="s">
        <v>1200</v>
      </c>
      <c r="M328" s="67" t="s">
        <v>1315</v>
      </c>
    </row>
    <row r="329" spans="1:13" ht="12" customHeight="1" x14ac:dyDescent="0.2">
      <c r="A329" s="78">
        <v>237322</v>
      </c>
      <c r="B329" s="67" t="s">
        <v>382</v>
      </c>
      <c r="C329" s="67" t="s">
        <v>1196</v>
      </c>
      <c r="D329" s="67" t="s">
        <v>1200</v>
      </c>
      <c r="E329" s="67" t="s">
        <v>1318</v>
      </c>
      <c r="F329" s="67" t="s">
        <v>1625</v>
      </c>
      <c r="G329" s="67" t="s">
        <v>7</v>
      </c>
      <c r="H329" s="68">
        <v>0.125</v>
      </c>
      <c r="I329" s="68">
        <v>0.125</v>
      </c>
      <c r="J329" s="68"/>
      <c r="K329" s="67" t="s">
        <v>1720</v>
      </c>
      <c r="L329" s="67" t="s">
        <v>1200</v>
      </c>
      <c r="M329" s="67" t="s">
        <v>1318</v>
      </c>
    </row>
    <row r="330" spans="1:13" ht="12" customHeight="1" x14ac:dyDescent="0.2">
      <c r="A330" s="78">
        <v>235152</v>
      </c>
      <c r="B330" s="67" t="s">
        <v>383</v>
      </c>
      <c r="C330" s="67" t="s">
        <v>1196</v>
      </c>
      <c r="D330" s="67" t="s">
        <v>1200</v>
      </c>
      <c r="E330" s="67" t="s">
        <v>1319</v>
      </c>
      <c r="F330" s="67" t="s">
        <v>1629</v>
      </c>
      <c r="G330" s="67" t="s">
        <v>7</v>
      </c>
      <c r="H330" s="68">
        <v>2.0958333333333332</v>
      </c>
      <c r="I330" s="68">
        <v>2.0958333333333332</v>
      </c>
      <c r="J330" s="68"/>
      <c r="K330" s="67" t="s">
        <v>1721</v>
      </c>
      <c r="L330" s="67" t="s">
        <v>1200</v>
      </c>
      <c r="M330" s="67" t="s">
        <v>1319</v>
      </c>
    </row>
    <row r="331" spans="1:13" ht="12" customHeight="1" x14ac:dyDescent="0.2">
      <c r="A331" s="78">
        <v>203454</v>
      </c>
      <c r="B331" s="67" t="s">
        <v>384</v>
      </c>
      <c r="C331" s="67" t="s">
        <v>1196</v>
      </c>
      <c r="D331" s="67" t="s">
        <v>1200</v>
      </c>
      <c r="E331" s="67" t="s">
        <v>1320</v>
      </c>
      <c r="F331" s="67" t="s">
        <v>1626</v>
      </c>
      <c r="G331" s="67" t="s">
        <v>7</v>
      </c>
      <c r="H331" s="68">
        <v>1.2152777777777777</v>
      </c>
      <c r="I331" s="68">
        <v>1.2152777777777777</v>
      </c>
      <c r="J331" s="68"/>
      <c r="K331" s="67" t="s">
        <v>1718</v>
      </c>
      <c r="L331" s="67" t="s">
        <v>1200</v>
      </c>
      <c r="M331" s="67" t="s">
        <v>1320</v>
      </c>
    </row>
    <row r="332" spans="1:13" ht="12" customHeight="1" x14ac:dyDescent="0.2">
      <c r="A332" s="78">
        <v>200289</v>
      </c>
      <c r="B332" s="67" t="s">
        <v>385</v>
      </c>
      <c r="C332" s="67" t="s">
        <v>1196</v>
      </c>
      <c r="D332" s="67" t="s">
        <v>1200</v>
      </c>
      <c r="E332" s="67" t="s">
        <v>1313</v>
      </c>
      <c r="F332" s="67" t="s">
        <v>1626</v>
      </c>
      <c r="G332" s="67" t="s">
        <v>7</v>
      </c>
      <c r="H332" s="68">
        <v>0.88124999999999998</v>
      </c>
      <c r="I332" s="68">
        <v>0.88124999999999998</v>
      </c>
      <c r="J332" s="68"/>
      <c r="K332" s="67" t="s">
        <v>1721</v>
      </c>
      <c r="L332" s="67" t="s">
        <v>1200</v>
      </c>
      <c r="M332" s="67" t="s">
        <v>1313</v>
      </c>
    </row>
    <row r="333" spans="1:13" ht="12" customHeight="1" x14ac:dyDescent="0.2">
      <c r="A333" s="78">
        <v>223182</v>
      </c>
      <c r="B333" s="67" t="s">
        <v>386</v>
      </c>
      <c r="C333" s="67" t="s">
        <v>1196</v>
      </c>
      <c r="D333" s="67" t="s">
        <v>1200</v>
      </c>
      <c r="E333" s="67" t="s">
        <v>1321</v>
      </c>
      <c r="F333" s="67" t="s">
        <v>1629</v>
      </c>
      <c r="G333" s="67" t="s">
        <v>7</v>
      </c>
      <c r="H333" s="68">
        <v>0.90972222222222221</v>
      </c>
      <c r="I333" s="68">
        <v>0.90972222222222221</v>
      </c>
      <c r="J333" s="68"/>
      <c r="K333" s="67" t="s">
        <v>1718</v>
      </c>
      <c r="L333" s="67" t="s">
        <v>1200</v>
      </c>
      <c r="M333" s="67" t="s">
        <v>1321</v>
      </c>
    </row>
    <row r="334" spans="1:13" ht="12" customHeight="1" x14ac:dyDescent="0.2">
      <c r="A334" s="78">
        <v>235908</v>
      </c>
      <c r="B334" s="67" t="s">
        <v>387</v>
      </c>
      <c r="C334" s="67" t="s">
        <v>1196</v>
      </c>
      <c r="D334" s="67" t="s">
        <v>1200</v>
      </c>
      <c r="E334" s="67" t="s">
        <v>1310</v>
      </c>
      <c r="F334" s="67" t="s">
        <v>1624</v>
      </c>
      <c r="G334" s="67" t="s">
        <v>7</v>
      </c>
      <c r="H334" s="68">
        <v>0.87986111111111109</v>
      </c>
      <c r="I334" s="68">
        <v>0.87986111111111109</v>
      </c>
      <c r="J334" s="68"/>
      <c r="K334" s="67" t="s">
        <v>1718</v>
      </c>
      <c r="L334" s="67" t="s">
        <v>1200</v>
      </c>
      <c r="M334" s="67" t="s">
        <v>1310</v>
      </c>
    </row>
    <row r="335" spans="1:13" ht="12" customHeight="1" x14ac:dyDescent="0.2">
      <c r="A335" s="78">
        <v>233511</v>
      </c>
      <c r="B335" s="67" t="s">
        <v>388</v>
      </c>
      <c r="C335" s="67" t="s">
        <v>1196</v>
      </c>
      <c r="D335" s="67" t="s">
        <v>1200</v>
      </c>
      <c r="E335" s="67" t="s">
        <v>1314</v>
      </c>
      <c r="F335" s="67" t="s">
        <v>1624</v>
      </c>
      <c r="G335" s="67" t="s">
        <v>7</v>
      </c>
      <c r="H335" s="68">
        <v>0.4993055555555555</v>
      </c>
      <c r="I335" s="68">
        <v>0.4993055555555555</v>
      </c>
      <c r="J335" s="68"/>
      <c r="K335" s="67" t="s">
        <v>1722</v>
      </c>
      <c r="L335" s="67" t="s">
        <v>1200</v>
      </c>
      <c r="M335" s="67" t="s">
        <v>1314</v>
      </c>
    </row>
    <row r="336" spans="1:13" ht="12" customHeight="1" x14ac:dyDescent="0.2">
      <c r="A336" s="78">
        <v>231228</v>
      </c>
      <c r="B336" s="67" t="s">
        <v>389</v>
      </c>
      <c r="C336" s="67" t="s">
        <v>1196</v>
      </c>
      <c r="D336" s="67" t="s">
        <v>1200</v>
      </c>
      <c r="E336" s="67" t="s">
        <v>1318</v>
      </c>
      <c r="F336" s="67" t="s">
        <v>1625</v>
      </c>
      <c r="G336" s="67" t="s">
        <v>7</v>
      </c>
      <c r="H336" s="68">
        <v>0.17986111111111111</v>
      </c>
      <c r="I336" s="68">
        <v>0.17986111111111111</v>
      </c>
      <c r="J336" s="68"/>
      <c r="K336" s="67" t="s">
        <v>1721</v>
      </c>
      <c r="L336" s="67" t="s">
        <v>1200</v>
      </c>
      <c r="M336" s="67" t="s">
        <v>1318</v>
      </c>
    </row>
    <row r="337" spans="1:13" ht="12" customHeight="1" x14ac:dyDescent="0.2">
      <c r="A337" s="78">
        <v>231091</v>
      </c>
      <c r="B337" s="67" t="s">
        <v>390</v>
      </c>
      <c r="C337" s="67" t="s">
        <v>1196</v>
      </c>
      <c r="D337" s="67" t="s">
        <v>1200</v>
      </c>
      <c r="E337" s="67" t="s">
        <v>1322</v>
      </c>
      <c r="F337" s="67" t="s">
        <v>1627</v>
      </c>
      <c r="G337" s="67" t="s">
        <v>7</v>
      </c>
      <c r="H337" s="68">
        <v>0.10486111111111111</v>
      </c>
      <c r="I337" s="68">
        <v>0.10486111111111111</v>
      </c>
      <c r="J337" s="68"/>
      <c r="K337" s="67" t="s">
        <v>1718</v>
      </c>
      <c r="L337" s="67" t="s">
        <v>1200</v>
      </c>
      <c r="M337" s="67" t="s">
        <v>1322</v>
      </c>
    </row>
    <row r="338" spans="1:13" ht="12" customHeight="1" x14ac:dyDescent="0.2">
      <c r="A338" s="78">
        <v>237624</v>
      </c>
      <c r="B338" s="67" t="s">
        <v>391</v>
      </c>
      <c r="C338" s="67" t="s">
        <v>1196</v>
      </c>
      <c r="D338" s="67" t="s">
        <v>1200</v>
      </c>
      <c r="E338" s="67" t="s">
        <v>1311</v>
      </c>
      <c r="F338" s="67" t="s">
        <v>1623</v>
      </c>
      <c r="G338" s="67" t="s">
        <v>7</v>
      </c>
      <c r="H338" s="68">
        <v>1.6666666666666666E-2</v>
      </c>
      <c r="I338" s="68">
        <v>1.6666666666666666E-2</v>
      </c>
      <c r="J338" s="68"/>
      <c r="K338" s="67" t="s">
        <v>1718</v>
      </c>
      <c r="L338" s="67" t="s">
        <v>1200</v>
      </c>
      <c r="M338" s="67" t="s">
        <v>1311</v>
      </c>
    </row>
    <row r="339" spans="1:13" ht="12" customHeight="1" x14ac:dyDescent="0.2">
      <c r="A339" s="78">
        <v>201556</v>
      </c>
      <c r="B339" s="67" t="s">
        <v>392</v>
      </c>
      <c r="C339" s="67" t="s">
        <v>1196</v>
      </c>
      <c r="D339" s="67" t="s">
        <v>1200</v>
      </c>
      <c r="E339" s="67" t="s">
        <v>1313</v>
      </c>
      <c r="F339" s="67" t="s">
        <v>1626</v>
      </c>
      <c r="G339" s="67" t="s">
        <v>7</v>
      </c>
      <c r="H339" s="68">
        <v>0.19930555555555554</v>
      </c>
      <c r="I339" s="68">
        <v>0.19930555555555554</v>
      </c>
      <c r="J339" s="68"/>
      <c r="K339" s="67" t="s">
        <v>1720</v>
      </c>
      <c r="L339" s="67" t="s">
        <v>1200</v>
      </c>
      <c r="M339" s="67" t="s">
        <v>1313</v>
      </c>
    </row>
    <row r="340" spans="1:13" ht="12" customHeight="1" x14ac:dyDescent="0.2">
      <c r="A340" s="78">
        <v>202149</v>
      </c>
      <c r="B340" s="67" t="s">
        <v>393</v>
      </c>
      <c r="C340" s="67" t="s">
        <v>1196</v>
      </c>
      <c r="D340" s="67" t="s">
        <v>1200</v>
      </c>
      <c r="E340" s="67" t="s">
        <v>1314</v>
      </c>
      <c r="F340" s="67" t="s">
        <v>1624</v>
      </c>
      <c r="G340" s="67" t="s">
        <v>7</v>
      </c>
      <c r="H340" s="68">
        <v>0.77083333333333337</v>
      </c>
      <c r="I340" s="68">
        <v>0.77083333333333337</v>
      </c>
      <c r="J340" s="68"/>
      <c r="K340" s="67" t="s">
        <v>1721</v>
      </c>
      <c r="L340" s="67" t="s">
        <v>1200</v>
      </c>
      <c r="M340" s="67" t="s">
        <v>1314</v>
      </c>
    </row>
    <row r="341" spans="1:13" ht="12" customHeight="1" x14ac:dyDescent="0.2">
      <c r="A341" s="78">
        <v>224286</v>
      </c>
      <c r="B341" s="67" t="s">
        <v>394</v>
      </c>
      <c r="C341" s="67" t="s">
        <v>1196</v>
      </c>
      <c r="D341" s="67" t="s">
        <v>1200</v>
      </c>
      <c r="E341" s="67" t="s">
        <v>1321</v>
      </c>
      <c r="F341" s="67" t="s">
        <v>1629</v>
      </c>
      <c r="G341" s="67" t="s">
        <v>8</v>
      </c>
      <c r="H341" s="68">
        <v>1.403472222222222</v>
      </c>
      <c r="I341" s="68"/>
      <c r="J341" s="68">
        <v>1.403472222222222</v>
      </c>
      <c r="K341" s="67" t="s">
        <v>1718</v>
      </c>
      <c r="L341" s="67" t="s">
        <v>1200</v>
      </c>
      <c r="M341" s="67" t="s">
        <v>1321</v>
      </c>
    </row>
    <row r="342" spans="1:13" ht="12" customHeight="1" x14ac:dyDescent="0.2">
      <c r="A342" s="78">
        <v>234727</v>
      </c>
      <c r="B342" s="67" t="s">
        <v>395</v>
      </c>
      <c r="C342" s="67" t="s">
        <v>1196</v>
      </c>
      <c r="D342" s="67" t="s">
        <v>1200</v>
      </c>
      <c r="E342" s="67" t="s">
        <v>1320</v>
      </c>
      <c r="F342" s="67" t="s">
        <v>1626</v>
      </c>
      <c r="G342" s="67" t="s">
        <v>8</v>
      </c>
      <c r="H342" s="68">
        <v>1.3944444444444446</v>
      </c>
      <c r="I342" s="68"/>
      <c r="J342" s="68">
        <v>1.3944444444444446</v>
      </c>
      <c r="K342" s="67" t="s">
        <v>1718</v>
      </c>
      <c r="L342" s="67" t="s">
        <v>1200</v>
      </c>
      <c r="M342" s="67" t="s">
        <v>1320</v>
      </c>
    </row>
    <row r="343" spans="1:13" ht="12" customHeight="1" x14ac:dyDescent="0.2">
      <c r="A343" s="78">
        <v>213970</v>
      </c>
      <c r="B343" s="67" t="s">
        <v>396</v>
      </c>
      <c r="C343" s="67" t="s">
        <v>1196</v>
      </c>
      <c r="D343" s="67" t="s">
        <v>1200</v>
      </c>
      <c r="E343" s="67" t="s">
        <v>1323</v>
      </c>
      <c r="F343" s="67" t="s">
        <v>1628</v>
      </c>
      <c r="G343" s="67" t="s">
        <v>8</v>
      </c>
      <c r="H343" s="68">
        <v>1.2972222222222223</v>
      </c>
      <c r="I343" s="68"/>
      <c r="J343" s="68">
        <v>1.2972222222222223</v>
      </c>
      <c r="K343" s="67" t="s">
        <v>1726</v>
      </c>
      <c r="L343" s="67" t="s">
        <v>1200</v>
      </c>
      <c r="M343" s="67" t="s">
        <v>1323</v>
      </c>
    </row>
    <row r="344" spans="1:13" ht="12" customHeight="1" x14ac:dyDescent="0.2">
      <c r="A344" s="78">
        <v>223712</v>
      </c>
      <c r="B344" s="67" t="s">
        <v>397</v>
      </c>
      <c r="C344" s="67" t="s">
        <v>1196</v>
      </c>
      <c r="D344" s="67" t="s">
        <v>1200</v>
      </c>
      <c r="E344" s="67" t="s">
        <v>1316</v>
      </c>
      <c r="F344" s="67" t="s">
        <v>1628</v>
      </c>
      <c r="G344" s="67" t="s">
        <v>8</v>
      </c>
      <c r="H344" s="68">
        <v>1.1395833333333334</v>
      </c>
      <c r="I344" s="68"/>
      <c r="J344" s="68">
        <v>1.1395833333333334</v>
      </c>
      <c r="K344" s="67" t="s">
        <v>1719</v>
      </c>
      <c r="L344" s="67" t="s">
        <v>1200</v>
      </c>
      <c r="M344" s="67" t="s">
        <v>1316</v>
      </c>
    </row>
    <row r="345" spans="1:13" ht="12" customHeight="1" x14ac:dyDescent="0.2">
      <c r="A345" s="78">
        <v>235204</v>
      </c>
      <c r="B345" s="67" t="s">
        <v>398</v>
      </c>
      <c r="C345" s="67" t="s">
        <v>1196</v>
      </c>
      <c r="D345" s="67" t="s">
        <v>1200</v>
      </c>
      <c r="E345" s="67" t="s">
        <v>1319</v>
      </c>
      <c r="F345" s="67" t="s">
        <v>1629</v>
      </c>
      <c r="G345" s="67" t="s">
        <v>8</v>
      </c>
      <c r="H345" s="68">
        <v>0.84513888888888899</v>
      </c>
      <c r="I345" s="68"/>
      <c r="J345" s="68">
        <v>0.84513888888888899</v>
      </c>
      <c r="K345" s="67" t="s">
        <v>1720</v>
      </c>
      <c r="L345" s="67" t="s">
        <v>1200</v>
      </c>
      <c r="M345" s="67" t="s">
        <v>1319</v>
      </c>
    </row>
    <row r="346" spans="1:13" ht="12" customHeight="1" x14ac:dyDescent="0.2">
      <c r="A346" s="78">
        <v>231982</v>
      </c>
      <c r="B346" s="67" t="s">
        <v>399</v>
      </c>
      <c r="C346" s="67" t="s">
        <v>1196</v>
      </c>
      <c r="D346" s="67" t="s">
        <v>1200</v>
      </c>
      <c r="E346" s="67" t="s">
        <v>1310</v>
      </c>
      <c r="F346" s="67" t="s">
        <v>1624</v>
      </c>
      <c r="G346" s="67" t="s">
        <v>8</v>
      </c>
      <c r="H346" s="68">
        <v>0.78472222222222221</v>
      </c>
      <c r="I346" s="68"/>
      <c r="J346" s="68">
        <v>0.78472222222222221</v>
      </c>
      <c r="K346" s="67" t="s">
        <v>1718</v>
      </c>
      <c r="L346" s="67" t="s">
        <v>1200</v>
      </c>
      <c r="M346" s="67" t="s">
        <v>1310</v>
      </c>
    </row>
    <row r="347" spans="1:13" ht="12" customHeight="1" x14ac:dyDescent="0.2">
      <c r="A347" s="78">
        <v>232405</v>
      </c>
      <c r="B347" s="67" t="s">
        <v>400</v>
      </c>
      <c r="C347" s="67" t="s">
        <v>1196</v>
      </c>
      <c r="D347" s="67" t="s">
        <v>1200</v>
      </c>
      <c r="E347" s="67" t="s">
        <v>1320</v>
      </c>
      <c r="F347" s="67" t="s">
        <v>1626</v>
      </c>
      <c r="G347" s="67" t="s">
        <v>8</v>
      </c>
      <c r="H347" s="68">
        <v>0.70833333333333337</v>
      </c>
      <c r="I347" s="68"/>
      <c r="J347" s="68">
        <v>0.70833333333333337</v>
      </c>
      <c r="K347" s="67" t="s">
        <v>1718</v>
      </c>
      <c r="L347" s="67" t="s">
        <v>1200</v>
      </c>
      <c r="M347" s="67" t="s">
        <v>1320</v>
      </c>
    </row>
    <row r="348" spans="1:13" ht="12" customHeight="1" x14ac:dyDescent="0.2">
      <c r="A348" s="78">
        <v>235974</v>
      </c>
      <c r="B348" s="67" t="s">
        <v>401</v>
      </c>
      <c r="C348" s="67" t="s">
        <v>1196</v>
      </c>
      <c r="D348" s="67" t="s">
        <v>1200</v>
      </c>
      <c r="E348" s="67" t="s">
        <v>1322</v>
      </c>
      <c r="F348" s="67" t="s">
        <v>1627</v>
      </c>
      <c r="G348" s="67" t="s">
        <v>8</v>
      </c>
      <c r="H348" s="68">
        <v>0.70138888888888884</v>
      </c>
      <c r="I348" s="68"/>
      <c r="J348" s="68">
        <v>0.70138888888888884</v>
      </c>
      <c r="K348" s="67" t="s">
        <v>1718</v>
      </c>
      <c r="L348" s="67" t="s">
        <v>1200</v>
      </c>
      <c r="M348" s="67" t="s">
        <v>1322</v>
      </c>
    </row>
    <row r="349" spans="1:13" ht="12" customHeight="1" x14ac:dyDescent="0.2">
      <c r="A349" s="78">
        <v>232970</v>
      </c>
      <c r="B349" s="67" t="s">
        <v>402</v>
      </c>
      <c r="C349" s="67" t="s">
        <v>1196</v>
      </c>
      <c r="D349" s="67" t="s">
        <v>1200</v>
      </c>
      <c r="E349" s="67" t="s">
        <v>1313</v>
      </c>
      <c r="F349" s="67" t="s">
        <v>1626</v>
      </c>
      <c r="G349" s="67" t="s">
        <v>8</v>
      </c>
      <c r="H349" s="68">
        <v>0.60555555555555551</v>
      </c>
      <c r="I349" s="68"/>
      <c r="J349" s="68">
        <v>0.60555555555555551</v>
      </c>
      <c r="K349" s="67" t="s">
        <v>1722</v>
      </c>
      <c r="L349" s="67" t="s">
        <v>1200</v>
      </c>
      <c r="M349" s="67" t="s">
        <v>1313</v>
      </c>
    </row>
    <row r="350" spans="1:13" ht="12" customHeight="1" x14ac:dyDescent="0.2">
      <c r="A350" s="78">
        <v>229691</v>
      </c>
      <c r="B350" s="67" t="s">
        <v>403</v>
      </c>
      <c r="C350" s="67" t="s">
        <v>1196</v>
      </c>
      <c r="D350" s="67" t="s">
        <v>1200</v>
      </c>
      <c r="E350" s="67" t="s">
        <v>1309</v>
      </c>
      <c r="F350" s="67" t="s">
        <v>1623</v>
      </c>
      <c r="G350" s="67" t="s">
        <v>8</v>
      </c>
      <c r="H350" s="68">
        <v>0.57847222222222217</v>
      </c>
      <c r="I350" s="68"/>
      <c r="J350" s="68">
        <v>0.57847222222222217</v>
      </c>
      <c r="K350" s="67" t="s">
        <v>1720</v>
      </c>
      <c r="L350" s="67" t="s">
        <v>1200</v>
      </c>
      <c r="M350" s="67" t="s">
        <v>1309</v>
      </c>
    </row>
    <row r="351" spans="1:13" ht="12" customHeight="1" x14ac:dyDescent="0.2">
      <c r="A351" s="78">
        <v>225345</v>
      </c>
      <c r="B351" s="67" t="s">
        <v>404</v>
      </c>
      <c r="C351" s="67" t="s">
        <v>1196</v>
      </c>
      <c r="D351" s="67" t="s">
        <v>1200</v>
      </c>
      <c r="E351" s="67" t="s">
        <v>1320</v>
      </c>
      <c r="F351" s="67" t="s">
        <v>1626</v>
      </c>
      <c r="G351" s="67" t="s">
        <v>8</v>
      </c>
      <c r="H351" s="68">
        <v>0.52013888888888882</v>
      </c>
      <c r="I351" s="68"/>
      <c r="J351" s="68">
        <v>0.52013888888888882</v>
      </c>
      <c r="K351" s="67" t="s">
        <v>1718</v>
      </c>
      <c r="L351" s="67" t="s">
        <v>1200</v>
      </c>
      <c r="M351" s="67" t="s">
        <v>1320</v>
      </c>
    </row>
    <row r="352" spans="1:13" ht="12" customHeight="1" x14ac:dyDescent="0.2">
      <c r="A352" s="78">
        <v>200888</v>
      </c>
      <c r="B352" s="67" t="s">
        <v>405</v>
      </c>
      <c r="C352" s="67" t="s">
        <v>1196</v>
      </c>
      <c r="D352" s="67" t="s">
        <v>1200</v>
      </c>
      <c r="E352" s="67" t="s">
        <v>1324</v>
      </c>
      <c r="F352" s="67" t="s">
        <v>1628</v>
      </c>
      <c r="G352" s="67" t="s">
        <v>8</v>
      </c>
      <c r="H352" s="68">
        <v>0.51527777777777783</v>
      </c>
      <c r="I352" s="68"/>
      <c r="J352" s="68">
        <v>0.51527777777777783</v>
      </c>
      <c r="K352" s="67" t="s">
        <v>1724</v>
      </c>
      <c r="L352" s="67" t="s">
        <v>1200</v>
      </c>
      <c r="M352" s="67" t="s">
        <v>1324</v>
      </c>
    </row>
    <row r="353" spans="1:13" ht="12" customHeight="1" x14ac:dyDescent="0.2">
      <c r="A353" s="78">
        <v>231488</v>
      </c>
      <c r="B353" s="67" t="s">
        <v>406</v>
      </c>
      <c r="C353" s="67" t="s">
        <v>1196</v>
      </c>
      <c r="D353" s="67" t="s">
        <v>1200</v>
      </c>
      <c r="E353" s="67" t="s">
        <v>1312</v>
      </c>
      <c r="F353" s="67" t="s">
        <v>1625</v>
      </c>
      <c r="G353" s="67" t="s">
        <v>8</v>
      </c>
      <c r="H353" s="68">
        <v>0.44791666666666669</v>
      </c>
      <c r="I353" s="68"/>
      <c r="J353" s="68">
        <v>0.44791666666666669</v>
      </c>
      <c r="K353" s="67" t="s">
        <v>1718</v>
      </c>
      <c r="L353" s="67" t="s">
        <v>1200</v>
      </c>
      <c r="M353" s="67" t="s">
        <v>1312</v>
      </c>
    </row>
    <row r="354" spans="1:13" ht="12" customHeight="1" x14ac:dyDescent="0.2">
      <c r="A354" s="78">
        <v>232795</v>
      </c>
      <c r="B354" s="67" t="s">
        <v>407</v>
      </c>
      <c r="C354" s="67" t="s">
        <v>1196</v>
      </c>
      <c r="D354" s="67" t="s">
        <v>1200</v>
      </c>
      <c r="E354" s="67" t="s">
        <v>1311</v>
      </c>
      <c r="F354" s="67" t="s">
        <v>1623</v>
      </c>
      <c r="G354" s="67" t="s">
        <v>8</v>
      </c>
      <c r="H354" s="68">
        <v>0.4465277777777778</v>
      </c>
      <c r="I354" s="68"/>
      <c r="J354" s="68">
        <v>0.4465277777777778</v>
      </c>
      <c r="K354" s="67" t="s">
        <v>1718</v>
      </c>
      <c r="L354" s="67" t="s">
        <v>1200</v>
      </c>
      <c r="M354" s="67" t="s">
        <v>1311</v>
      </c>
    </row>
    <row r="355" spans="1:13" ht="12" customHeight="1" x14ac:dyDescent="0.2">
      <c r="A355" s="78">
        <v>236589</v>
      </c>
      <c r="B355" s="67" t="s">
        <v>408</v>
      </c>
      <c r="C355" s="67" t="s">
        <v>1196</v>
      </c>
      <c r="D355" s="67" t="s">
        <v>1200</v>
      </c>
      <c r="E355" s="67" t="s">
        <v>1320</v>
      </c>
      <c r="F355" s="67" t="s">
        <v>1626</v>
      </c>
      <c r="G355" s="67" t="s">
        <v>8</v>
      </c>
      <c r="H355" s="68">
        <v>0.40763888888888888</v>
      </c>
      <c r="I355" s="68"/>
      <c r="J355" s="68">
        <v>0.40763888888888888</v>
      </c>
      <c r="K355" s="67" t="s">
        <v>1718</v>
      </c>
      <c r="L355" s="67" t="s">
        <v>1200</v>
      </c>
      <c r="M355" s="67" t="s">
        <v>1320</v>
      </c>
    </row>
    <row r="356" spans="1:13" ht="12" customHeight="1" x14ac:dyDescent="0.2">
      <c r="A356" s="78">
        <v>235960</v>
      </c>
      <c r="B356" s="67" t="s">
        <v>409</v>
      </c>
      <c r="C356" s="67" t="s">
        <v>1196</v>
      </c>
      <c r="D356" s="67" t="s">
        <v>1200</v>
      </c>
      <c r="E356" s="67" t="s">
        <v>1312</v>
      </c>
      <c r="F356" s="67" t="s">
        <v>1625</v>
      </c>
      <c r="G356" s="67" t="s">
        <v>8</v>
      </c>
      <c r="H356" s="68">
        <v>0.34722222222222227</v>
      </c>
      <c r="I356" s="68"/>
      <c r="J356" s="68">
        <v>0.34722222222222227</v>
      </c>
      <c r="K356" s="67" t="s">
        <v>1718</v>
      </c>
      <c r="L356" s="67" t="s">
        <v>1200</v>
      </c>
      <c r="M356" s="67" t="s">
        <v>1312</v>
      </c>
    </row>
    <row r="357" spans="1:13" ht="12" customHeight="1" x14ac:dyDescent="0.2">
      <c r="A357" s="78">
        <v>235478</v>
      </c>
      <c r="B357" s="67" t="s">
        <v>410</v>
      </c>
      <c r="C357" s="67" t="s">
        <v>1196</v>
      </c>
      <c r="D357" s="67" t="s">
        <v>1200</v>
      </c>
      <c r="E357" s="67" t="s">
        <v>1325</v>
      </c>
      <c r="F357" s="67" t="s">
        <v>1628</v>
      </c>
      <c r="G357" s="67" t="s">
        <v>8</v>
      </c>
      <c r="H357" s="68">
        <v>0.34375</v>
      </c>
      <c r="I357" s="68"/>
      <c r="J357" s="68">
        <v>0.34375</v>
      </c>
      <c r="K357" s="67" t="s">
        <v>1719</v>
      </c>
      <c r="L357" s="67" t="s">
        <v>1200</v>
      </c>
      <c r="M357" s="67" t="s">
        <v>1325</v>
      </c>
    </row>
    <row r="358" spans="1:13" ht="12" customHeight="1" x14ac:dyDescent="0.2">
      <c r="A358" s="78">
        <v>237914</v>
      </c>
      <c r="B358" s="67" t="s">
        <v>411</v>
      </c>
      <c r="C358" s="67" t="s">
        <v>1196</v>
      </c>
      <c r="D358" s="67" t="s">
        <v>1200</v>
      </c>
      <c r="E358" s="67" t="s">
        <v>1312</v>
      </c>
      <c r="F358" s="67" t="s">
        <v>1625</v>
      </c>
      <c r="G358" s="67" t="s">
        <v>8</v>
      </c>
      <c r="H358" s="68">
        <v>0.30694444444444441</v>
      </c>
      <c r="I358" s="68"/>
      <c r="J358" s="68">
        <v>0.30694444444444441</v>
      </c>
      <c r="K358" s="67" t="s">
        <v>1718</v>
      </c>
      <c r="L358" s="67" t="s">
        <v>1200</v>
      </c>
      <c r="M358" s="67" t="s">
        <v>1312</v>
      </c>
    </row>
    <row r="359" spans="1:13" ht="12" customHeight="1" x14ac:dyDescent="0.2">
      <c r="A359" s="78">
        <v>234735</v>
      </c>
      <c r="B359" s="67" t="s">
        <v>412</v>
      </c>
      <c r="C359" s="67" t="s">
        <v>1196</v>
      </c>
      <c r="D359" s="67" t="s">
        <v>1200</v>
      </c>
      <c r="E359" s="67" t="s">
        <v>1311</v>
      </c>
      <c r="F359" s="67" t="s">
        <v>1623</v>
      </c>
      <c r="G359" s="67" t="s">
        <v>8</v>
      </c>
      <c r="H359" s="68">
        <v>0.27569444444444446</v>
      </c>
      <c r="I359" s="68"/>
      <c r="J359" s="68">
        <v>0.27569444444444446</v>
      </c>
      <c r="K359" s="67" t="s">
        <v>1718</v>
      </c>
      <c r="L359" s="67" t="s">
        <v>1200</v>
      </c>
      <c r="M359" s="67" t="s">
        <v>1311</v>
      </c>
    </row>
    <row r="360" spans="1:13" ht="12" customHeight="1" x14ac:dyDescent="0.2">
      <c r="A360" s="78">
        <v>230832</v>
      </c>
      <c r="B360" s="67" t="s">
        <v>413</v>
      </c>
      <c r="C360" s="67" t="s">
        <v>1196</v>
      </c>
      <c r="D360" s="67" t="s">
        <v>1200</v>
      </c>
      <c r="E360" s="67" t="s">
        <v>1326</v>
      </c>
      <c r="F360" s="67" t="s">
        <v>1628</v>
      </c>
      <c r="G360" s="67" t="s">
        <v>8</v>
      </c>
      <c r="H360" s="68">
        <v>0.22083333333333333</v>
      </c>
      <c r="I360" s="68"/>
      <c r="J360" s="68">
        <v>0.22083333333333333</v>
      </c>
      <c r="K360" s="67" t="s">
        <v>1719</v>
      </c>
      <c r="L360" s="67" t="s">
        <v>1200</v>
      </c>
      <c r="M360" s="67" t="s">
        <v>1326</v>
      </c>
    </row>
    <row r="361" spans="1:13" ht="12" customHeight="1" x14ac:dyDescent="0.2">
      <c r="A361" s="78">
        <v>235257</v>
      </c>
      <c r="B361" s="67" t="s">
        <v>414</v>
      </c>
      <c r="C361" s="67" t="s">
        <v>1196</v>
      </c>
      <c r="D361" s="67" t="s">
        <v>1200</v>
      </c>
      <c r="E361" s="67" t="s">
        <v>1321</v>
      </c>
      <c r="F361" s="67" t="s">
        <v>1629</v>
      </c>
      <c r="G361" s="67" t="s">
        <v>8</v>
      </c>
      <c r="H361" s="68">
        <v>0.18611111111111112</v>
      </c>
      <c r="I361" s="68"/>
      <c r="J361" s="68">
        <v>0.18611111111111112</v>
      </c>
      <c r="K361" s="67" t="s">
        <v>1718</v>
      </c>
      <c r="L361" s="67" t="s">
        <v>1200</v>
      </c>
      <c r="M361" s="67" t="s">
        <v>1321</v>
      </c>
    </row>
    <row r="362" spans="1:13" ht="12" customHeight="1" x14ac:dyDescent="0.2">
      <c r="A362" s="78">
        <v>235112</v>
      </c>
      <c r="B362" s="67" t="s">
        <v>415</v>
      </c>
      <c r="C362" s="67" t="s">
        <v>1196</v>
      </c>
      <c r="D362" s="67" t="s">
        <v>1200</v>
      </c>
      <c r="E362" s="67" t="s">
        <v>1321</v>
      </c>
      <c r="F362" s="67" t="s">
        <v>1629</v>
      </c>
      <c r="G362" s="67" t="s">
        <v>8</v>
      </c>
      <c r="H362" s="68">
        <v>0.17083333333333331</v>
      </c>
      <c r="I362" s="68"/>
      <c r="J362" s="68">
        <v>0.17083333333333331</v>
      </c>
      <c r="K362" s="67" t="s">
        <v>1718</v>
      </c>
      <c r="L362" s="67" t="s">
        <v>1200</v>
      </c>
      <c r="M362" s="67" t="s">
        <v>1321</v>
      </c>
    </row>
    <row r="363" spans="1:13" ht="12" customHeight="1" x14ac:dyDescent="0.2">
      <c r="A363" s="78">
        <v>230257</v>
      </c>
      <c r="B363" s="67" t="s">
        <v>416</v>
      </c>
      <c r="C363" s="67" t="s">
        <v>1196</v>
      </c>
      <c r="D363" s="67" t="s">
        <v>1200</v>
      </c>
      <c r="E363" s="67" t="s">
        <v>1320</v>
      </c>
      <c r="F363" s="67" t="s">
        <v>1626</v>
      </c>
      <c r="G363" s="67" t="s">
        <v>8</v>
      </c>
      <c r="H363" s="68">
        <v>0.1423611111111111</v>
      </c>
      <c r="I363" s="68"/>
      <c r="J363" s="68">
        <v>0.1423611111111111</v>
      </c>
      <c r="K363" s="67" t="s">
        <v>1718</v>
      </c>
      <c r="L363" s="67" t="s">
        <v>1200</v>
      </c>
      <c r="M363" s="67" t="s">
        <v>1320</v>
      </c>
    </row>
    <row r="364" spans="1:13" ht="12" customHeight="1" x14ac:dyDescent="0.2">
      <c r="A364" s="78">
        <v>223765</v>
      </c>
      <c r="B364" s="67" t="s">
        <v>417</v>
      </c>
      <c r="C364" s="67" t="s">
        <v>1196</v>
      </c>
      <c r="D364" s="67" t="s">
        <v>1200</v>
      </c>
      <c r="E364" s="67" t="s">
        <v>1322</v>
      </c>
      <c r="F364" s="67" t="s">
        <v>1627</v>
      </c>
      <c r="G364" s="67" t="s">
        <v>8</v>
      </c>
      <c r="H364" s="68">
        <v>0.10486111111111111</v>
      </c>
      <c r="I364" s="68"/>
      <c r="J364" s="68">
        <v>0.10486111111111111</v>
      </c>
      <c r="K364" s="67" t="s">
        <v>1718</v>
      </c>
      <c r="L364" s="67" t="s">
        <v>1200</v>
      </c>
      <c r="M364" s="67" t="s">
        <v>1322</v>
      </c>
    </row>
    <row r="365" spans="1:13" ht="12" customHeight="1" x14ac:dyDescent="0.2">
      <c r="A365" s="78">
        <v>231307</v>
      </c>
      <c r="B365" s="67" t="s">
        <v>418</v>
      </c>
      <c r="C365" s="67" t="s">
        <v>1196</v>
      </c>
      <c r="D365" s="67" t="s">
        <v>1200</v>
      </c>
      <c r="E365" s="67" t="s">
        <v>1322</v>
      </c>
      <c r="F365" s="67" t="s">
        <v>1627</v>
      </c>
      <c r="G365" s="67" t="s">
        <v>8</v>
      </c>
      <c r="H365" s="68">
        <v>9.930555555555555E-2</v>
      </c>
      <c r="I365" s="68"/>
      <c r="J365" s="68">
        <v>9.930555555555555E-2</v>
      </c>
      <c r="K365" s="67" t="s">
        <v>1718</v>
      </c>
      <c r="L365" s="67" t="s">
        <v>1200</v>
      </c>
      <c r="M365" s="67" t="s">
        <v>1322</v>
      </c>
    </row>
    <row r="366" spans="1:13" ht="12" customHeight="1" x14ac:dyDescent="0.2">
      <c r="A366" s="78">
        <v>235156</v>
      </c>
      <c r="B366" s="67" t="s">
        <v>419</v>
      </c>
      <c r="C366" s="67" t="s">
        <v>1196</v>
      </c>
      <c r="D366" s="67" t="s">
        <v>1200</v>
      </c>
      <c r="E366" s="67" t="s">
        <v>1319</v>
      </c>
      <c r="F366" s="67" t="s">
        <v>1629</v>
      </c>
      <c r="G366" s="67" t="s">
        <v>8</v>
      </c>
      <c r="H366" s="68">
        <v>8.7500000000000008E-2</v>
      </c>
      <c r="I366" s="68"/>
      <c r="J366" s="68">
        <v>8.7500000000000008E-2</v>
      </c>
      <c r="K366" s="67" t="s">
        <v>1720</v>
      </c>
      <c r="L366" s="67" t="s">
        <v>1200</v>
      </c>
      <c r="M366" s="67" t="s">
        <v>1319</v>
      </c>
    </row>
    <row r="367" spans="1:13" ht="12" customHeight="1" x14ac:dyDescent="0.2">
      <c r="A367" s="78">
        <v>222048</v>
      </c>
      <c r="B367" s="67" t="s">
        <v>420</v>
      </c>
      <c r="C367" s="67" t="s">
        <v>1196</v>
      </c>
      <c r="D367" s="67" t="s">
        <v>1200</v>
      </c>
      <c r="E367" s="67" t="s">
        <v>1314</v>
      </c>
      <c r="F367" s="67" t="s">
        <v>1624</v>
      </c>
      <c r="G367" s="67" t="s">
        <v>8</v>
      </c>
      <c r="H367" s="68">
        <v>2.4305555555555556E-2</v>
      </c>
      <c r="I367" s="68"/>
      <c r="J367" s="68">
        <v>2.4305555555555556E-2</v>
      </c>
      <c r="K367" s="67" t="s">
        <v>1720</v>
      </c>
      <c r="L367" s="67" t="s">
        <v>1200</v>
      </c>
      <c r="M367" s="67" t="s">
        <v>1314</v>
      </c>
    </row>
    <row r="368" spans="1:13" ht="12" customHeight="1" x14ac:dyDescent="0.2">
      <c r="A368" s="78">
        <v>233565</v>
      </c>
      <c r="B368" s="67" t="s">
        <v>421</v>
      </c>
      <c r="C368" s="67" t="s">
        <v>1196</v>
      </c>
      <c r="D368" s="67" t="s">
        <v>1200</v>
      </c>
      <c r="E368" s="67" t="s">
        <v>1327</v>
      </c>
      <c r="F368" s="67" t="s">
        <v>1630</v>
      </c>
      <c r="G368" s="67" t="s">
        <v>7</v>
      </c>
      <c r="H368" s="68">
        <v>2.7111111111111112</v>
      </c>
      <c r="I368" s="68">
        <v>2.7111111111111112</v>
      </c>
      <c r="J368" s="68"/>
      <c r="K368" s="67" t="s">
        <v>1718</v>
      </c>
      <c r="L368" s="67" t="s">
        <v>1200</v>
      </c>
      <c r="M368" s="67" t="s">
        <v>1327</v>
      </c>
    </row>
    <row r="369" spans="1:13" ht="12" customHeight="1" x14ac:dyDescent="0.2">
      <c r="A369" s="78">
        <v>237207</v>
      </c>
      <c r="B369" s="67" t="s">
        <v>422</v>
      </c>
      <c r="C369" s="67" t="s">
        <v>1196</v>
      </c>
      <c r="D369" s="67" t="s">
        <v>1200</v>
      </c>
      <c r="E369" s="67" t="s">
        <v>1328</v>
      </c>
      <c r="F369" s="67" t="s">
        <v>1631</v>
      </c>
      <c r="G369" s="67" t="s">
        <v>7</v>
      </c>
      <c r="H369" s="68">
        <v>0.37152777777777773</v>
      </c>
      <c r="I369" s="68">
        <v>0.37152777777777773</v>
      </c>
      <c r="J369" s="68"/>
      <c r="K369" s="67" t="s">
        <v>1718</v>
      </c>
      <c r="L369" s="67" t="s">
        <v>1200</v>
      </c>
      <c r="M369" s="67" t="s">
        <v>1328</v>
      </c>
    </row>
    <row r="370" spans="1:13" ht="12" customHeight="1" x14ac:dyDescent="0.2">
      <c r="A370" s="78">
        <v>236623</v>
      </c>
      <c r="B370" s="67" t="s">
        <v>423</v>
      </c>
      <c r="C370" s="67" t="s">
        <v>1196</v>
      </c>
      <c r="D370" s="67" t="s">
        <v>1198</v>
      </c>
      <c r="E370" s="67" t="s">
        <v>1329</v>
      </c>
      <c r="F370" s="67" t="s">
        <v>1632</v>
      </c>
      <c r="G370" s="67" t="s">
        <v>7</v>
      </c>
      <c r="H370" s="68">
        <v>12.1</v>
      </c>
      <c r="I370" s="68">
        <v>12.1</v>
      </c>
      <c r="J370" s="68"/>
      <c r="K370" s="67" t="s">
        <v>1721</v>
      </c>
      <c r="L370" s="67" t="s">
        <v>1198</v>
      </c>
      <c r="M370" s="67" t="s">
        <v>1329</v>
      </c>
    </row>
    <row r="371" spans="1:13" ht="12" customHeight="1" x14ac:dyDescent="0.2">
      <c r="A371" s="78">
        <v>202664</v>
      </c>
      <c r="B371" s="67" t="s">
        <v>424</v>
      </c>
      <c r="C371" s="67" t="s">
        <v>1196</v>
      </c>
      <c r="D371" s="67" t="s">
        <v>1200</v>
      </c>
      <c r="E371" s="67" t="s">
        <v>1330</v>
      </c>
      <c r="F371" s="67" t="s">
        <v>1633</v>
      </c>
      <c r="G371" s="67" t="s">
        <v>7</v>
      </c>
      <c r="H371" s="68">
        <v>1.0416666666666667</v>
      </c>
      <c r="I371" s="68">
        <v>1.0416666666666667</v>
      </c>
      <c r="J371" s="68"/>
      <c r="K371" s="67" t="s">
        <v>1718</v>
      </c>
      <c r="L371" s="67" t="s">
        <v>1200</v>
      </c>
      <c r="M371" s="67" t="s">
        <v>1330</v>
      </c>
    </row>
    <row r="372" spans="1:13" ht="12" customHeight="1" x14ac:dyDescent="0.2">
      <c r="A372" s="78">
        <v>223768</v>
      </c>
      <c r="B372" s="67" t="s">
        <v>425</v>
      </c>
      <c r="C372" s="67" t="s">
        <v>1196</v>
      </c>
      <c r="D372" s="67" t="s">
        <v>1200</v>
      </c>
      <c r="E372" s="67" t="s">
        <v>1331</v>
      </c>
      <c r="F372" s="67" t="s">
        <v>1634</v>
      </c>
      <c r="G372" s="67" t="s">
        <v>7</v>
      </c>
      <c r="H372" s="68">
        <v>0.46875</v>
      </c>
      <c r="I372" s="68">
        <v>0.46875</v>
      </c>
      <c r="J372" s="68"/>
      <c r="K372" s="67" t="s">
        <v>1718</v>
      </c>
      <c r="L372" s="67" t="s">
        <v>1200</v>
      </c>
      <c r="M372" s="67" t="s">
        <v>1331</v>
      </c>
    </row>
    <row r="373" spans="1:13" ht="12" customHeight="1" x14ac:dyDescent="0.2">
      <c r="A373" s="78">
        <v>234732</v>
      </c>
      <c r="B373" s="67" t="s">
        <v>426</v>
      </c>
      <c r="C373" s="67" t="s">
        <v>1196</v>
      </c>
      <c r="D373" s="67" t="s">
        <v>1198</v>
      </c>
      <c r="E373" s="67" t="s">
        <v>1332</v>
      </c>
      <c r="F373" s="67" t="s">
        <v>1632</v>
      </c>
      <c r="G373" s="67" t="s">
        <v>7</v>
      </c>
      <c r="H373" s="68">
        <v>9.7062500000000007</v>
      </c>
      <c r="I373" s="68">
        <v>9.7062500000000007</v>
      </c>
      <c r="J373" s="68"/>
      <c r="K373" s="67" t="s">
        <v>1718</v>
      </c>
      <c r="L373" s="67" t="s">
        <v>1198</v>
      </c>
      <c r="M373" s="67" t="s">
        <v>1332</v>
      </c>
    </row>
    <row r="374" spans="1:13" ht="12" customHeight="1" x14ac:dyDescent="0.2">
      <c r="A374" s="78">
        <v>231430</v>
      </c>
      <c r="B374" s="67" t="s">
        <v>427</v>
      </c>
      <c r="C374" s="67" t="s">
        <v>1196</v>
      </c>
      <c r="D374" s="67" t="s">
        <v>1200</v>
      </c>
      <c r="E374" s="67" t="s">
        <v>1331</v>
      </c>
      <c r="F374" s="67" t="s">
        <v>1634</v>
      </c>
      <c r="G374" s="67" t="s">
        <v>7</v>
      </c>
      <c r="H374" s="68">
        <v>0.31388888888888888</v>
      </c>
      <c r="I374" s="68">
        <v>0.31388888888888888</v>
      </c>
      <c r="J374" s="68"/>
      <c r="K374" s="67" t="s">
        <v>1718</v>
      </c>
      <c r="L374" s="67" t="s">
        <v>1200</v>
      </c>
      <c r="M374" s="67" t="s">
        <v>1331</v>
      </c>
    </row>
    <row r="375" spans="1:13" ht="12" customHeight="1" x14ac:dyDescent="0.2">
      <c r="A375" s="78">
        <v>235843</v>
      </c>
      <c r="B375" s="67" t="s">
        <v>428</v>
      </c>
      <c r="C375" s="67" t="s">
        <v>1196</v>
      </c>
      <c r="D375" s="67" t="s">
        <v>1200</v>
      </c>
      <c r="E375" s="67" t="s">
        <v>1331</v>
      </c>
      <c r="F375" s="67" t="s">
        <v>1634</v>
      </c>
      <c r="G375" s="67" t="s">
        <v>7</v>
      </c>
      <c r="H375" s="68">
        <v>1.0944444444444446</v>
      </c>
      <c r="I375" s="68">
        <v>1.0944444444444446</v>
      </c>
      <c r="J375" s="68"/>
      <c r="K375" s="67" t="s">
        <v>1718</v>
      </c>
      <c r="L375" s="67" t="s">
        <v>1200</v>
      </c>
      <c r="M375" s="67" t="s">
        <v>1331</v>
      </c>
    </row>
    <row r="376" spans="1:13" ht="12" customHeight="1" x14ac:dyDescent="0.2">
      <c r="A376" s="78">
        <v>233795</v>
      </c>
      <c r="B376" s="67" t="s">
        <v>429</v>
      </c>
      <c r="C376" s="67" t="s">
        <v>1196</v>
      </c>
      <c r="D376" s="67" t="s">
        <v>1200</v>
      </c>
      <c r="E376" s="67" t="s">
        <v>1333</v>
      </c>
      <c r="F376" s="67" t="s">
        <v>1635</v>
      </c>
      <c r="G376" s="67" t="s">
        <v>7</v>
      </c>
      <c r="H376" s="68">
        <v>2.6451388888888889</v>
      </c>
      <c r="I376" s="68">
        <v>2.6451388888888889</v>
      </c>
      <c r="J376" s="68"/>
      <c r="K376" s="67" t="s">
        <v>1722</v>
      </c>
      <c r="L376" s="67" t="s">
        <v>1200</v>
      </c>
      <c r="M376" s="67" t="s">
        <v>1333</v>
      </c>
    </row>
    <row r="377" spans="1:13" ht="12" customHeight="1" x14ac:dyDescent="0.2">
      <c r="A377" s="78">
        <v>225905</v>
      </c>
      <c r="B377" s="67" t="s">
        <v>430</v>
      </c>
      <c r="C377" s="67" t="s">
        <v>1196</v>
      </c>
      <c r="D377" s="67" t="s">
        <v>1200</v>
      </c>
      <c r="E377" s="67" t="s">
        <v>1334</v>
      </c>
      <c r="F377" s="67" t="s">
        <v>1636</v>
      </c>
      <c r="G377" s="67" t="s">
        <v>7</v>
      </c>
      <c r="H377" s="68">
        <v>0.38263888888888892</v>
      </c>
      <c r="I377" s="68">
        <v>0.38263888888888892</v>
      </c>
      <c r="J377" s="68"/>
      <c r="K377" s="67" t="s">
        <v>1718</v>
      </c>
      <c r="L377" s="67" t="s">
        <v>1200</v>
      </c>
      <c r="M377" s="67" t="s">
        <v>1334</v>
      </c>
    </row>
    <row r="378" spans="1:13" ht="12" customHeight="1" x14ac:dyDescent="0.2">
      <c r="A378" s="78">
        <v>203618</v>
      </c>
      <c r="B378" s="67" t="s">
        <v>431</v>
      </c>
      <c r="C378" s="67" t="s">
        <v>1196</v>
      </c>
      <c r="D378" s="67" t="s">
        <v>1200</v>
      </c>
      <c r="E378" s="67" t="s">
        <v>1335</v>
      </c>
      <c r="F378" s="67" t="s">
        <v>1635</v>
      </c>
      <c r="G378" s="67" t="s">
        <v>7</v>
      </c>
      <c r="H378" s="68">
        <v>0.5180555555555556</v>
      </c>
      <c r="I378" s="68">
        <v>0.5180555555555556</v>
      </c>
      <c r="J378" s="68"/>
      <c r="K378" s="67" t="s">
        <v>1718</v>
      </c>
      <c r="L378" s="67" t="s">
        <v>1200</v>
      </c>
      <c r="M378" s="67" t="s">
        <v>1335</v>
      </c>
    </row>
    <row r="379" spans="1:13" ht="12" customHeight="1" x14ac:dyDescent="0.2">
      <c r="A379" s="78">
        <v>231499</v>
      </c>
      <c r="B379" s="67" t="s">
        <v>432</v>
      </c>
      <c r="C379" s="67" t="s">
        <v>1196</v>
      </c>
      <c r="D379" s="67" t="s">
        <v>1200</v>
      </c>
      <c r="E379" s="67" t="s">
        <v>1336</v>
      </c>
      <c r="F379" s="67" t="s">
        <v>1634</v>
      </c>
      <c r="G379" s="67" t="s">
        <v>7</v>
      </c>
      <c r="H379" s="68">
        <v>0.16874999999999998</v>
      </c>
      <c r="I379" s="68">
        <v>0.16874999999999998</v>
      </c>
      <c r="J379" s="68"/>
      <c r="K379" s="67" t="s">
        <v>1720</v>
      </c>
      <c r="L379" s="67" t="s">
        <v>1200</v>
      </c>
      <c r="M379" s="67" t="s">
        <v>1336</v>
      </c>
    </row>
    <row r="380" spans="1:13" ht="12" customHeight="1" x14ac:dyDescent="0.2">
      <c r="A380" s="78">
        <v>203598</v>
      </c>
      <c r="B380" s="67" t="s">
        <v>433</v>
      </c>
      <c r="C380" s="67" t="s">
        <v>1196</v>
      </c>
      <c r="D380" s="67" t="s">
        <v>1200</v>
      </c>
      <c r="E380" s="67" t="s">
        <v>1335</v>
      </c>
      <c r="F380" s="67" t="s">
        <v>1635</v>
      </c>
      <c r="G380" s="67" t="s">
        <v>7</v>
      </c>
      <c r="H380" s="68">
        <v>0.18055555555555555</v>
      </c>
      <c r="I380" s="68">
        <v>0.18055555555555555</v>
      </c>
      <c r="J380" s="68"/>
      <c r="K380" s="67" t="s">
        <v>1718</v>
      </c>
      <c r="L380" s="67" t="s">
        <v>1200</v>
      </c>
      <c r="M380" s="67" t="s">
        <v>1335</v>
      </c>
    </row>
    <row r="381" spans="1:13" ht="12" customHeight="1" x14ac:dyDescent="0.2">
      <c r="A381" s="78">
        <v>236361</v>
      </c>
      <c r="B381" s="67" t="s">
        <v>434</v>
      </c>
      <c r="C381" s="67" t="s">
        <v>1196</v>
      </c>
      <c r="D381" s="67" t="s">
        <v>1200</v>
      </c>
      <c r="E381" s="67" t="s">
        <v>1330</v>
      </c>
      <c r="F381" s="67" t="s">
        <v>1633</v>
      </c>
      <c r="G381" s="67" t="s">
        <v>7</v>
      </c>
      <c r="H381" s="68">
        <v>3.3333333333333333E-2</v>
      </c>
      <c r="I381" s="68">
        <v>3.3333333333333333E-2</v>
      </c>
      <c r="J381" s="68"/>
      <c r="K381" s="67" t="s">
        <v>1718</v>
      </c>
      <c r="L381" s="67" t="s">
        <v>1200</v>
      </c>
      <c r="M381" s="67" t="s">
        <v>1330</v>
      </c>
    </row>
    <row r="382" spans="1:13" ht="12" customHeight="1" x14ac:dyDescent="0.2">
      <c r="A382" s="78">
        <v>203026</v>
      </c>
      <c r="B382" s="67" t="s">
        <v>435</v>
      </c>
      <c r="C382" s="67" t="s">
        <v>1196</v>
      </c>
      <c r="D382" s="67" t="s">
        <v>1200</v>
      </c>
      <c r="E382" s="67" t="s">
        <v>1331</v>
      </c>
      <c r="F382" s="67" t="s">
        <v>1634</v>
      </c>
      <c r="G382" s="67" t="s">
        <v>7</v>
      </c>
      <c r="H382" s="68">
        <v>1.1111111111111112E-2</v>
      </c>
      <c r="I382" s="68">
        <v>1.1111111111111112E-2</v>
      </c>
      <c r="J382" s="68"/>
      <c r="K382" s="67" t="s">
        <v>1718</v>
      </c>
      <c r="L382" s="67" t="s">
        <v>1200</v>
      </c>
      <c r="M382" s="67" t="s">
        <v>1331</v>
      </c>
    </row>
    <row r="383" spans="1:13" ht="12" customHeight="1" x14ac:dyDescent="0.2">
      <c r="A383" s="78">
        <v>234353</v>
      </c>
      <c r="B383" s="67" t="s">
        <v>436</v>
      </c>
      <c r="C383" s="67" t="s">
        <v>1196</v>
      </c>
      <c r="D383" s="67" t="s">
        <v>1200</v>
      </c>
      <c r="E383" s="67" t="s">
        <v>1337</v>
      </c>
      <c r="F383" s="67" t="s">
        <v>1637</v>
      </c>
      <c r="G383" s="67" t="s">
        <v>7</v>
      </c>
      <c r="H383" s="68">
        <v>0.13958333333333334</v>
      </c>
      <c r="I383" s="68">
        <v>0.13958333333333334</v>
      </c>
      <c r="J383" s="68"/>
      <c r="K383" s="67" t="s">
        <v>1718</v>
      </c>
      <c r="L383" s="67" t="s">
        <v>1200</v>
      </c>
      <c r="M383" s="67" t="s">
        <v>1337</v>
      </c>
    </row>
    <row r="384" spans="1:13" ht="12" customHeight="1" x14ac:dyDescent="0.2">
      <c r="A384" s="78">
        <v>203490</v>
      </c>
      <c r="B384" s="67" t="s">
        <v>437</v>
      </c>
      <c r="C384" s="67" t="s">
        <v>1196</v>
      </c>
      <c r="D384" s="67" t="s">
        <v>1200</v>
      </c>
      <c r="E384" s="67" t="s">
        <v>1327</v>
      </c>
      <c r="F384" s="67" t="s">
        <v>1630</v>
      </c>
      <c r="G384" s="67" t="s">
        <v>7</v>
      </c>
      <c r="H384" s="68">
        <v>7.9166666666666663E-2</v>
      </c>
      <c r="I384" s="68">
        <v>7.9166666666666663E-2</v>
      </c>
      <c r="J384" s="68"/>
      <c r="K384" s="67" t="s">
        <v>1718</v>
      </c>
      <c r="L384" s="67" t="s">
        <v>1200</v>
      </c>
      <c r="M384" s="67" t="s">
        <v>1327</v>
      </c>
    </row>
    <row r="385" spans="1:13" ht="12" customHeight="1" x14ac:dyDescent="0.2">
      <c r="A385" s="78">
        <v>224489</v>
      </c>
      <c r="B385" s="67" t="s">
        <v>438</v>
      </c>
      <c r="C385" s="67" t="s">
        <v>1196</v>
      </c>
      <c r="D385" s="67" t="s">
        <v>1200</v>
      </c>
      <c r="E385" s="67" t="s">
        <v>1338</v>
      </c>
      <c r="F385" s="67" t="s">
        <v>1631</v>
      </c>
      <c r="G385" s="67" t="s">
        <v>7</v>
      </c>
      <c r="H385" s="68">
        <v>0.76250000000000007</v>
      </c>
      <c r="I385" s="68">
        <v>0.76250000000000007</v>
      </c>
      <c r="J385" s="68"/>
      <c r="K385" s="67" t="s">
        <v>1720</v>
      </c>
      <c r="L385" s="67" t="s">
        <v>1200</v>
      </c>
      <c r="M385" s="67" t="s">
        <v>1338</v>
      </c>
    </row>
    <row r="386" spans="1:13" ht="12" customHeight="1" x14ac:dyDescent="0.2">
      <c r="A386" s="78">
        <v>222964</v>
      </c>
      <c r="B386" s="67" t="s">
        <v>439</v>
      </c>
      <c r="C386" s="67" t="s">
        <v>1196</v>
      </c>
      <c r="D386" s="67" t="s">
        <v>1200</v>
      </c>
      <c r="E386" s="67" t="s">
        <v>1335</v>
      </c>
      <c r="F386" s="67" t="s">
        <v>1635</v>
      </c>
      <c r="G386" s="67" t="s">
        <v>7</v>
      </c>
      <c r="H386" s="68">
        <v>0.90555555555555556</v>
      </c>
      <c r="I386" s="68">
        <v>0.90555555555555556</v>
      </c>
      <c r="J386" s="68"/>
      <c r="K386" s="67" t="s">
        <v>1718</v>
      </c>
      <c r="L386" s="67" t="s">
        <v>1200</v>
      </c>
      <c r="M386" s="67" t="s">
        <v>1335</v>
      </c>
    </row>
    <row r="387" spans="1:13" ht="12" customHeight="1" x14ac:dyDescent="0.2">
      <c r="A387" s="78">
        <v>224292</v>
      </c>
      <c r="B387" s="67" t="s">
        <v>440</v>
      </c>
      <c r="C387" s="67" t="s">
        <v>1196</v>
      </c>
      <c r="D387" s="67" t="s">
        <v>1200</v>
      </c>
      <c r="E387" s="67" t="s">
        <v>1339</v>
      </c>
      <c r="F387" s="67" t="s">
        <v>1638</v>
      </c>
      <c r="G387" s="67" t="s">
        <v>7</v>
      </c>
      <c r="H387" s="68">
        <v>8.0472222222222225</v>
      </c>
      <c r="I387" s="68">
        <v>8.0472222222222225</v>
      </c>
      <c r="J387" s="68"/>
      <c r="K387" s="67" t="s">
        <v>1718</v>
      </c>
      <c r="L387" s="67" t="s">
        <v>1200</v>
      </c>
      <c r="M387" s="67" t="s">
        <v>1339</v>
      </c>
    </row>
    <row r="388" spans="1:13" ht="12" customHeight="1" x14ac:dyDescent="0.2">
      <c r="A388" s="78">
        <v>220920</v>
      </c>
      <c r="B388" s="67" t="s">
        <v>441</v>
      </c>
      <c r="C388" s="67" t="s">
        <v>1196</v>
      </c>
      <c r="D388" s="67" t="s">
        <v>1200</v>
      </c>
      <c r="E388" s="67" t="s">
        <v>1333</v>
      </c>
      <c r="F388" s="67" t="s">
        <v>1635</v>
      </c>
      <c r="G388" s="67" t="s">
        <v>7</v>
      </c>
      <c r="H388" s="68">
        <v>0.16805555555555554</v>
      </c>
      <c r="I388" s="68">
        <v>0.16805555555555554</v>
      </c>
      <c r="J388" s="68"/>
      <c r="K388" s="67" t="s">
        <v>1720</v>
      </c>
      <c r="L388" s="67" t="s">
        <v>1200</v>
      </c>
      <c r="M388" s="67" t="s">
        <v>1333</v>
      </c>
    </row>
    <row r="389" spans="1:13" ht="12" customHeight="1" x14ac:dyDescent="0.2">
      <c r="A389" s="78">
        <v>230862</v>
      </c>
      <c r="B389" s="67" t="s">
        <v>442</v>
      </c>
      <c r="C389" s="67" t="s">
        <v>1196</v>
      </c>
      <c r="D389" s="67" t="s">
        <v>1200</v>
      </c>
      <c r="E389" s="67" t="s">
        <v>1340</v>
      </c>
      <c r="F389" s="67" t="s">
        <v>1628</v>
      </c>
      <c r="G389" s="67" t="s">
        <v>7</v>
      </c>
      <c r="H389" s="68">
        <v>0.39930555555555558</v>
      </c>
      <c r="I389" s="68">
        <v>0.39930555555555558</v>
      </c>
      <c r="J389" s="68"/>
      <c r="K389" s="67" t="s">
        <v>1719</v>
      </c>
      <c r="L389" s="67" t="s">
        <v>1200</v>
      </c>
      <c r="M389" s="67" t="s">
        <v>1340</v>
      </c>
    </row>
    <row r="390" spans="1:13" ht="12" customHeight="1" x14ac:dyDescent="0.2">
      <c r="A390" s="78">
        <v>231661</v>
      </c>
      <c r="B390" s="67" t="s">
        <v>443</v>
      </c>
      <c r="C390" s="67" t="s">
        <v>1196</v>
      </c>
      <c r="D390" s="67" t="s">
        <v>1200</v>
      </c>
      <c r="E390" s="67" t="s">
        <v>1336</v>
      </c>
      <c r="F390" s="67" t="s">
        <v>1634</v>
      </c>
      <c r="G390" s="67" t="s">
        <v>7</v>
      </c>
      <c r="H390" s="68">
        <v>0.45</v>
      </c>
      <c r="I390" s="68">
        <v>0.45</v>
      </c>
      <c r="J390" s="68"/>
      <c r="K390" s="67" t="s">
        <v>1720</v>
      </c>
      <c r="L390" s="67" t="s">
        <v>1200</v>
      </c>
      <c r="M390" s="67" t="s">
        <v>1336</v>
      </c>
    </row>
    <row r="391" spans="1:13" ht="12" customHeight="1" x14ac:dyDescent="0.2">
      <c r="A391" s="78">
        <v>232288</v>
      </c>
      <c r="B391" s="67" t="s">
        <v>444</v>
      </c>
      <c r="C391" s="67" t="s">
        <v>1196</v>
      </c>
      <c r="D391" s="67" t="s">
        <v>1200</v>
      </c>
      <c r="E391" s="67" t="s">
        <v>1330</v>
      </c>
      <c r="F391" s="67" t="s">
        <v>1633</v>
      </c>
      <c r="G391" s="67" t="s">
        <v>7</v>
      </c>
      <c r="H391" s="68">
        <v>1.211111111111111</v>
      </c>
      <c r="I391" s="68">
        <v>1.211111111111111</v>
      </c>
      <c r="J391" s="68"/>
      <c r="K391" s="67" t="s">
        <v>1718</v>
      </c>
      <c r="L391" s="67" t="s">
        <v>1200</v>
      </c>
      <c r="M391" s="67" t="s">
        <v>1330</v>
      </c>
    </row>
    <row r="392" spans="1:13" ht="12" customHeight="1" x14ac:dyDescent="0.2">
      <c r="A392" s="78">
        <v>220250</v>
      </c>
      <c r="B392" s="67" t="s">
        <v>445</v>
      </c>
      <c r="C392" s="67" t="s">
        <v>1196</v>
      </c>
      <c r="D392" s="67" t="s">
        <v>1200</v>
      </c>
      <c r="E392" s="67" t="s">
        <v>1341</v>
      </c>
      <c r="F392" s="67" t="s">
        <v>1633</v>
      </c>
      <c r="G392" s="67" t="s">
        <v>7</v>
      </c>
      <c r="H392" s="68">
        <v>0.7631944444444444</v>
      </c>
      <c r="I392" s="68">
        <v>0.7631944444444444</v>
      </c>
      <c r="J392" s="68"/>
      <c r="K392" s="67" t="s">
        <v>1721</v>
      </c>
      <c r="L392" s="67" t="s">
        <v>1200</v>
      </c>
      <c r="M392" s="67" t="s">
        <v>1341</v>
      </c>
    </row>
    <row r="393" spans="1:13" ht="12" customHeight="1" x14ac:dyDescent="0.2">
      <c r="A393" s="78">
        <v>234510</v>
      </c>
      <c r="B393" s="67" t="s">
        <v>446</v>
      </c>
      <c r="C393" s="67" t="s">
        <v>1196</v>
      </c>
      <c r="D393" s="67" t="s">
        <v>1200</v>
      </c>
      <c r="E393" s="67" t="s">
        <v>1342</v>
      </c>
      <c r="F393" s="67" t="s">
        <v>1628</v>
      </c>
      <c r="G393" s="67" t="s">
        <v>7</v>
      </c>
      <c r="H393" s="68">
        <v>0.93888888888888899</v>
      </c>
      <c r="I393" s="68">
        <v>0.93888888888888899</v>
      </c>
      <c r="J393" s="68"/>
      <c r="K393" s="67" t="s">
        <v>1719</v>
      </c>
      <c r="L393" s="67" t="s">
        <v>1200</v>
      </c>
      <c r="M393" s="67" t="s">
        <v>1342</v>
      </c>
    </row>
    <row r="394" spans="1:13" ht="12" customHeight="1" x14ac:dyDescent="0.2">
      <c r="A394" s="78">
        <v>224229</v>
      </c>
      <c r="B394" s="67" t="s">
        <v>447</v>
      </c>
      <c r="C394" s="67" t="s">
        <v>1196</v>
      </c>
      <c r="D394" s="67" t="s">
        <v>1200</v>
      </c>
      <c r="E394" s="67" t="s">
        <v>1343</v>
      </c>
      <c r="F394" s="67" t="s">
        <v>1638</v>
      </c>
      <c r="G394" s="67" t="s">
        <v>7</v>
      </c>
      <c r="H394" s="68">
        <v>0.25138888888888888</v>
      </c>
      <c r="I394" s="68">
        <v>0.25138888888888888</v>
      </c>
      <c r="J394" s="68"/>
      <c r="K394" s="67" t="s">
        <v>1720</v>
      </c>
      <c r="L394" s="67" t="s">
        <v>1200</v>
      </c>
      <c r="M394" s="67" t="s">
        <v>1343</v>
      </c>
    </row>
    <row r="395" spans="1:13" ht="12" customHeight="1" x14ac:dyDescent="0.2">
      <c r="A395" s="78">
        <v>217322</v>
      </c>
      <c r="B395" s="67" t="s">
        <v>448</v>
      </c>
      <c r="C395" s="67" t="s">
        <v>1196</v>
      </c>
      <c r="D395" s="67" t="s">
        <v>1200</v>
      </c>
      <c r="E395" s="67" t="s">
        <v>1344</v>
      </c>
      <c r="F395" s="67" t="s">
        <v>1630</v>
      </c>
      <c r="G395" s="67" t="s">
        <v>7</v>
      </c>
      <c r="H395" s="68">
        <v>6.1111111111111116E-2</v>
      </c>
      <c r="I395" s="68">
        <v>6.1111111111111116E-2</v>
      </c>
      <c r="J395" s="68"/>
      <c r="K395" s="67" t="s">
        <v>1720</v>
      </c>
      <c r="L395" s="67" t="s">
        <v>1200</v>
      </c>
      <c r="M395" s="67" t="s">
        <v>1344</v>
      </c>
    </row>
    <row r="396" spans="1:13" ht="12" customHeight="1" x14ac:dyDescent="0.2">
      <c r="A396" s="78">
        <v>237424</v>
      </c>
      <c r="B396" s="67" t="s">
        <v>449</v>
      </c>
      <c r="C396" s="67" t="s">
        <v>1196</v>
      </c>
      <c r="D396" s="67" t="s">
        <v>1200</v>
      </c>
      <c r="E396" s="67" t="s">
        <v>1328</v>
      </c>
      <c r="F396" s="67" t="s">
        <v>1631</v>
      </c>
      <c r="G396" s="67" t="s">
        <v>7</v>
      </c>
      <c r="H396" s="68">
        <v>0.17916666666666667</v>
      </c>
      <c r="I396" s="68">
        <v>0.17916666666666667</v>
      </c>
      <c r="J396" s="68"/>
      <c r="K396" s="67" t="s">
        <v>1718</v>
      </c>
      <c r="L396" s="67" t="s">
        <v>1200</v>
      </c>
      <c r="M396" s="67" t="s">
        <v>1328</v>
      </c>
    </row>
    <row r="397" spans="1:13" ht="12" customHeight="1" x14ac:dyDescent="0.2">
      <c r="A397" s="78">
        <v>233299</v>
      </c>
      <c r="B397" s="67" t="s">
        <v>450</v>
      </c>
      <c r="C397" s="67" t="s">
        <v>1196</v>
      </c>
      <c r="D397" s="67" t="s">
        <v>1198</v>
      </c>
      <c r="E397" s="67" t="s">
        <v>1329</v>
      </c>
      <c r="F397" s="67" t="s">
        <v>1632</v>
      </c>
      <c r="G397" s="67" t="s">
        <v>7</v>
      </c>
      <c r="H397" s="68">
        <v>4.4659722222222218</v>
      </c>
      <c r="I397" s="68">
        <v>4.4659722222222218</v>
      </c>
      <c r="J397" s="68"/>
      <c r="K397" s="67" t="s">
        <v>1720</v>
      </c>
      <c r="L397" s="67" t="s">
        <v>1198</v>
      </c>
      <c r="M397" s="67" t="s">
        <v>1329</v>
      </c>
    </row>
    <row r="398" spans="1:13" ht="12" customHeight="1" x14ac:dyDescent="0.2">
      <c r="A398" s="78">
        <v>234409</v>
      </c>
      <c r="B398" s="67" t="s">
        <v>451</v>
      </c>
      <c r="C398" s="67" t="s">
        <v>1196</v>
      </c>
      <c r="D398" s="67" t="s">
        <v>1200</v>
      </c>
      <c r="E398" s="67" t="s">
        <v>1331</v>
      </c>
      <c r="F398" s="67" t="s">
        <v>1634</v>
      </c>
      <c r="G398" s="67" t="s">
        <v>7</v>
      </c>
      <c r="H398" s="68">
        <v>0.4284722222222222</v>
      </c>
      <c r="I398" s="68">
        <v>0.4284722222222222</v>
      </c>
      <c r="J398" s="68"/>
      <c r="K398" s="67" t="s">
        <v>1718</v>
      </c>
      <c r="L398" s="67" t="s">
        <v>1200</v>
      </c>
      <c r="M398" s="67" t="s">
        <v>1331</v>
      </c>
    </row>
    <row r="399" spans="1:13" ht="12" customHeight="1" x14ac:dyDescent="0.2">
      <c r="A399" s="78">
        <v>203075</v>
      </c>
      <c r="B399" s="67" t="s">
        <v>452</v>
      </c>
      <c r="C399" s="67" t="s">
        <v>1196</v>
      </c>
      <c r="D399" s="67" t="s">
        <v>1200</v>
      </c>
      <c r="E399" s="67" t="s">
        <v>1335</v>
      </c>
      <c r="F399" s="67" t="s">
        <v>1635</v>
      </c>
      <c r="G399" s="67" t="s">
        <v>7</v>
      </c>
      <c r="H399" s="68">
        <v>5.6944444444444443E-2</v>
      </c>
      <c r="I399" s="68">
        <v>5.6944444444444443E-2</v>
      </c>
      <c r="J399" s="68"/>
      <c r="K399" s="67" t="s">
        <v>1718</v>
      </c>
      <c r="L399" s="67" t="s">
        <v>1200</v>
      </c>
      <c r="M399" s="67" t="s">
        <v>1335</v>
      </c>
    </row>
    <row r="400" spans="1:13" ht="12" customHeight="1" x14ac:dyDescent="0.2">
      <c r="A400" s="78">
        <v>230428</v>
      </c>
      <c r="B400" s="67" t="s">
        <v>453</v>
      </c>
      <c r="C400" s="67" t="s">
        <v>1196</v>
      </c>
      <c r="D400" s="67" t="s">
        <v>1198</v>
      </c>
      <c r="E400" s="67" t="s">
        <v>1332</v>
      </c>
      <c r="F400" s="67" t="s">
        <v>1632</v>
      </c>
      <c r="G400" s="67" t="s">
        <v>7</v>
      </c>
      <c r="H400" s="68">
        <v>6.4576388888888889</v>
      </c>
      <c r="I400" s="68">
        <v>6.4576388888888889</v>
      </c>
      <c r="J400" s="68"/>
      <c r="K400" s="67" t="s">
        <v>1718</v>
      </c>
      <c r="L400" s="67" t="s">
        <v>1198</v>
      </c>
      <c r="M400" s="67" t="s">
        <v>1332</v>
      </c>
    </row>
    <row r="401" spans="1:13" ht="12" customHeight="1" x14ac:dyDescent="0.2">
      <c r="A401" s="78">
        <v>203418</v>
      </c>
      <c r="B401" s="67" t="s">
        <v>454</v>
      </c>
      <c r="C401" s="67" t="s">
        <v>1196</v>
      </c>
      <c r="D401" s="67" t="s">
        <v>1200</v>
      </c>
      <c r="E401" s="67" t="s">
        <v>1334</v>
      </c>
      <c r="F401" s="67" t="s">
        <v>1636</v>
      </c>
      <c r="G401" s="67" t="s">
        <v>7</v>
      </c>
      <c r="H401" s="68">
        <v>2.7083333333333334E-2</v>
      </c>
      <c r="I401" s="68">
        <v>2.7083333333333334E-2</v>
      </c>
      <c r="J401" s="68"/>
      <c r="K401" s="67" t="s">
        <v>1718</v>
      </c>
      <c r="L401" s="67" t="s">
        <v>1200</v>
      </c>
      <c r="M401" s="67" t="s">
        <v>1334</v>
      </c>
    </row>
    <row r="402" spans="1:13" ht="12" customHeight="1" x14ac:dyDescent="0.2">
      <c r="A402" s="78">
        <v>236242</v>
      </c>
      <c r="B402" s="67" t="s">
        <v>455</v>
      </c>
      <c r="C402" s="67" t="s">
        <v>1196</v>
      </c>
      <c r="D402" s="67" t="s">
        <v>1200</v>
      </c>
      <c r="E402" s="67" t="s">
        <v>1345</v>
      </c>
      <c r="F402" s="67" t="s">
        <v>1628</v>
      </c>
      <c r="G402" s="67" t="s">
        <v>7</v>
      </c>
      <c r="H402" s="68">
        <v>0.14722222222222223</v>
      </c>
      <c r="I402" s="68">
        <v>0.14722222222222223</v>
      </c>
      <c r="J402" s="68"/>
      <c r="K402" s="67" t="s">
        <v>1719</v>
      </c>
      <c r="L402" s="67" t="s">
        <v>1200</v>
      </c>
      <c r="M402" s="67" t="s">
        <v>1345</v>
      </c>
    </row>
    <row r="403" spans="1:13" ht="12" customHeight="1" x14ac:dyDescent="0.2">
      <c r="A403" s="78">
        <v>202399</v>
      </c>
      <c r="B403" s="67" t="s">
        <v>456</v>
      </c>
      <c r="C403" s="67" t="s">
        <v>1196</v>
      </c>
      <c r="D403" s="67" t="s">
        <v>1200</v>
      </c>
      <c r="E403" s="67" t="s">
        <v>1344</v>
      </c>
      <c r="F403" s="67" t="s">
        <v>1630</v>
      </c>
      <c r="G403" s="67" t="s">
        <v>8</v>
      </c>
      <c r="H403" s="68">
        <v>7.2736111111111112</v>
      </c>
      <c r="I403" s="68"/>
      <c r="J403" s="68">
        <v>7.2736111111111112</v>
      </c>
      <c r="K403" s="67" t="s">
        <v>1721</v>
      </c>
      <c r="L403" s="67" t="s">
        <v>1200</v>
      </c>
      <c r="M403" s="67" t="s">
        <v>1344</v>
      </c>
    </row>
    <row r="404" spans="1:13" ht="12" customHeight="1" x14ac:dyDescent="0.2">
      <c r="A404" s="78">
        <v>231305</v>
      </c>
      <c r="B404" s="67" t="s">
        <v>457</v>
      </c>
      <c r="C404" s="67" t="s">
        <v>1196</v>
      </c>
      <c r="D404" s="67" t="s">
        <v>1198</v>
      </c>
      <c r="E404" s="67" t="s">
        <v>1332</v>
      </c>
      <c r="F404" s="67" t="s">
        <v>1632</v>
      </c>
      <c r="G404" s="67" t="s">
        <v>8</v>
      </c>
      <c r="H404" s="68">
        <v>4.1256944444444441</v>
      </c>
      <c r="I404" s="68"/>
      <c r="J404" s="68">
        <v>4.1256944444444441</v>
      </c>
      <c r="K404" s="67" t="s">
        <v>1718</v>
      </c>
      <c r="L404" s="67" t="s">
        <v>1198</v>
      </c>
      <c r="M404" s="67" t="s">
        <v>1332</v>
      </c>
    </row>
    <row r="405" spans="1:13" ht="12" customHeight="1" x14ac:dyDescent="0.2">
      <c r="A405" s="78">
        <v>229987</v>
      </c>
      <c r="B405" s="67" t="s">
        <v>458</v>
      </c>
      <c r="C405" s="67" t="s">
        <v>1196</v>
      </c>
      <c r="D405" s="67" t="s">
        <v>1200</v>
      </c>
      <c r="E405" s="67" t="s">
        <v>1328</v>
      </c>
      <c r="F405" s="67" t="s">
        <v>1631</v>
      </c>
      <c r="G405" s="67" t="s">
        <v>8</v>
      </c>
      <c r="H405" s="68">
        <v>1.21875</v>
      </c>
      <c r="I405" s="68"/>
      <c r="J405" s="68">
        <v>1.21875</v>
      </c>
      <c r="K405" s="67" t="s">
        <v>1718</v>
      </c>
      <c r="L405" s="67" t="s">
        <v>1200</v>
      </c>
      <c r="M405" s="67" t="s">
        <v>1328</v>
      </c>
    </row>
    <row r="406" spans="1:13" ht="12" customHeight="1" x14ac:dyDescent="0.2">
      <c r="A406" s="78">
        <v>232590</v>
      </c>
      <c r="B406" s="67" t="s">
        <v>459</v>
      </c>
      <c r="C406" s="67" t="s">
        <v>1196</v>
      </c>
      <c r="D406" s="67" t="s">
        <v>1200</v>
      </c>
      <c r="E406" s="67" t="s">
        <v>1339</v>
      </c>
      <c r="F406" s="67" t="s">
        <v>1638</v>
      </c>
      <c r="G406" s="67" t="s">
        <v>8</v>
      </c>
      <c r="H406" s="68">
        <v>1.0833333333333333</v>
      </c>
      <c r="I406" s="68"/>
      <c r="J406" s="68">
        <v>1.0833333333333333</v>
      </c>
      <c r="K406" s="67" t="s">
        <v>1718</v>
      </c>
      <c r="L406" s="67" t="s">
        <v>1200</v>
      </c>
      <c r="M406" s="67" t="s">
        <v>1339</v>
      </c>
    </row>
    <row r="407" spans="1:13" ht="12" customHeight="1" x14ac:dyDescent="0.2">
      <c r="A407" s="78">
        <v>235308</v>
      </c>
      <c r="B407" s="67" t="s">
        <v>460</v>
      </c>
      <c r="C407" s="67" t="s">
        <v>1196</v>
      </c>
      <c r="D407" s="67" t="s">
        <v>1200</v>
      </c>
      <c r="E407" s="67" t="s">
        <v>1339</v>
      </c>
      <c r="F407" s="67" t="s">
        <v>1638</v>
      </c>
      <c r="G407" s="67" t="s">
        <v>8</v>
      </c>
      <c r="H407" s="68">
        <v>0.92083333333333339</v>
      </c>
      <c r="I407" s="68"/>
      <c r="J407" s="68">
        <v>0.92083333333333339</v>
      </c>
      <c r="K407" s="67" t="s">
        <v>1718</v>
      </c>
      <c r="L407" s="67" t="s">
        <v>1200</v>
      </c>
      <c r="M407" s="67" t="s">
        <v>1339</v>
      </c>
    </row>
    <row r="408" spans="1:13" ht="12" customHeight="1" x14ac:dyDescent="0.2">
      <c r="A408" s="78">
        <v>237405</v>
      </c>
      <c r="B408" s="67" t="s">
        <v>461</v>
      </c>
      <c r="C408" s="67" t="s">
        <v>1196</v>
      </c>
      <c r="D408" s="67" t="s">
        <v>1200</v>
      </c>
      <c r="E408" s="67" t="s">
        <v>1337</v>
      </c>
      <c r="F408" s="67" t="s">
        <v>1637</v>
      </c>
      <c r="G408" s="67" t="s">
        <v>8</v>
      </c>
      <c r="H408" s="68">
        <v>0.81597222222222221</v>
      </c>
      <c r="I408" s="68"/>
      <c r="J408" s="68">
        <v>0.81597222222222221</v>
      </c>
      <c r="K408" s="67" t="s">
        <v>1718</v>
      </c>
      <c r="L408" s="67" t="s">
        <v>1200</v>
      </c>
      <c r="M408" s="67" t="s">
        <v>1337</v>
      </c>
    </row>
    <row r="409" spans="1:13" ht="12" customHeight="1" x14ac:dyDescent="0.2">
      <c r="A409" s="78">
        <v>216190</v>
      </c>
      <c r="B409" s="67" t="s">
        <v>462</v>
      </c>
      <c r="C409" s="67" t="s">
        <v>1196</v>
      </c>
      <c r="D409" s="67" t="s">
        <v>1200</v>
      </c>
      <c r="E409" s="67" t="s">
        <v>1346</v>
      </c>
      <c r="F409" s="67" t="s">
        <v>1628</v>
      </c>
      <c r="G409" s="67" t="s">
        <v>8</v>
      </c>
      <c r="H409" s="68">
        <v>0.8027777777777777</v>
      </c>
      <c r="I409" s="68"/>
      <c r="J409" s="68">
        <v>0.8027777777777777</v>
      </c>
      <c r="K409" s="67" t="s">
        <v>1726</v>
      </c>
      <c r="L409" s="67" t="s">
        <v>1200</v>
      </c>
      <c r="M409" s="67" t="s">
        <v>1346</v>
      </c>
    </row>
    <row r="410" spans="1:13" ht="12" customHeight="1" x14ac:dyDescent="0.2">
      <c r="A410" s="78">
        <v>235557</v>
      </c>
      <c r="B410" s="67" t="s">
        <v>463</v>
      </c>
      <c r="C410" s="67" t="s">
        <v>1196</v>
      </c>
      <c r="D410" s="67" t="s">
        <v>1200</v>
      </c>
      <c r="E410" s="67" t="s">
        <v>1337</v>
      </c>
      <c r="F410" s="67" t="s">
        <v>1637</v>
      </c>
      <c r="G410" s="67" t="s">
        <v>8</v>
      </c>
      <c r="H410" s="68">
        <v>0.78125</v>
      </c>
      <c r="I410" s="68"/>
      <c r="J410" s="68">
        <v>0.78125</v>
      </c>
      <c r="K410" s="67" t="s">
        <v>1718</v>
      </c>
      <c r="L410" s="67" t="s">
        <v>1200</v>
      </c>
      <c r="M410" s="67" t="s">
        <v>1337</v>
      </c>
    </row>
    <row r="411" spans="1:13" ht="12" customHeight="1" x14ac:dyDescent="0.2">
      <c r="A411" s="78">
        <v>203326</v>
      </c>
      <c r="B411" s="67" t="s">
        <v>464</v>
      </c>
      <c r="C411" s="67" t="s">
        <v>1196</v>
      </c>
      <c r="D411" s="67" t="s">
        <v>1200</v>
      </c>
      <c r="E411" s="67" t="s">
        <v>1347</v>
      </c>
      <c r="F411" s="67" t="s">
        <v>1628</v>
      </c>
      <c r="G411" s="67" t="s">
        <v>8</v>
      </c>
      <c r="H411" s="68">
        <v>0.77430555555555547</v>
      </c>
      <c r="I411" s="68"/>
      <c r="J411" s="68">
        <v>0.77430555555555547</v>
      </c>
      <c r="K411" s="67" t="s">
        <v>1719</v>
      </c>
      <c r="L411" s="67" t="s">
        <v>1200</v>
      </c>
      <c r="M411" s="67" t="s">
        <v>1347</v>
      </c>
    </row>
    <row r="412" spans="1:13" ht="12" customHeight="1" x14ac:dyDescent="0.2">
      <c r="A412" s="78">
        <v>203184</v>
      </c>
      <c r="B412" s="67" t="s">
        <v>465</v>
      </c>
      <c r="C412" s="67" t="s">
        <v>1196</v>
      </c>
      <c r="D412" s="67" t="s">
        <v>1200</v>
      </c>
      <c r="E412" s="67" t="s">
        <v>1330</v>
      </c>
      <c r="F412" s="67" t="s">
        <v>1633</v>
      </c>
      <c r="G412" s="67" t="s">
        <v>8</v>
      </c>
      <c r="H412" s="68">
        <v>0.7402777777777777</v>
      </c>
      <c r="I412" s="68"/>
      <c r="J412" s="68">
        <v>0.7402777777777777</v>
      </c>
      <c r="K412" s="67" t="s">
        <v>1718</v>
      </c>
      <c r="L412" s="67" t="s">
        <v>1200</v>
      </c>
      <c r="M412" s="67" t="s">
        <v>1330</v>
      </c>
    </row>
    <row r="413" spans="1:13" ht="12" customHeight="1" x14ac:dyDescent="0.2">
      <c r="A413" s="78">
        <v>229395</v>
      </c>
      <c r="B413" s="67" t="s">
        <v>466</v>
      </c>
      <c r="C413" s="67" t="s">
        <v>1196</v>
      </c>
      <c r="D413" s="67" t="s">
        <v>1200</v>
      </c>
      <c r="E413" s="67" t="s">
        <v>1339</v>
      </c>
      <c r="F413" s="67" t="s">
        <v>1638</v>
      </c>
      <c r="G413" s="67" t="s">
        <v>8</v>
      </c>
      <c r="H413" s="68">
        <v>0.7270833333333333</v>
      </c>
      <c r="I413" s="68"/>
      <c r="J413" s="68">
        <v>0.7270833333333333</v>
      </c>
      <c r="K413" s="67" t="s">
        <v>1718</v>
      </c>
      <c r="L413" s="67" t="s">
        <v>1200</v>
      </c>
      <c r="M413" s="67" t="s">
        <v>1339</v>
      </c>
    </row>
    <row r="414" spans="1:13" ht="12" customHeight="1" x14ac:dyDescent="0.2">
      <c r="A414" s="78">
        <v>232179</v>
      </c>
      <c r="B414" s="67" t="s">
        <v>467</v>
      </c>
      <c r="C414" s="67" t="s">
        <v>1196</v>
      </c>
      <c r="D414" s="67" t="s">
        <v>1200</v>
      </c>
      <c r="E414" s="67" t="s">
        <v>1339</v>
      </c>
      <c r="F414" s="67" t="s">
        <v>1638</v>
      </c>
      <c r="G414" s="67" t="s">
        <v>8</v>
      </c>
      <c r="H414" s="68">
        <v>0.63541666666666663</v>
      </c>
      <c r="I414" s="68"/>
      <c r="J414" s="68">
        <v>0.63541666666666663</v>
      </c>
      <c r="K414" s="67" t="s">
        <v>1718</v>
      </c>
      <c r="L414" s="67" t="s">
        <v>1200</v>
      </c>
      <c r="M414" s="67" t="s">
        <v>1339</v>
      </c>
    </row>
    <row r="415" spans="1:13" ht="12" customHeight="1" x14ac:dyDescent="0.2">
      <c r="A415" s="78">
        <v>202977</v>
      </c>
      <c r="B415" s="67" t="s">
        <v>468</v>
      </c>
      <c r="C415" s="67" t="s">
        <v>1196</v>
      </c>
      <c r="D415" s="67" t="s">
        <v>1200</v>
      </c>
      <c r="E415" s="67" t="s">
        <v>1335</v>
      </c>
      <c r="F415" s="67" t="s">
        <v>1635</v>
      </c>
      <c r="G415" s="67" t="s">
        <v>8</v>
      </c>
      <c r="H415" s="68">
        <v>0.56041666666666667</v>
      </c>
      <c r="I415" s="68"/>
      <c r="J415" s="68">
        <v>0.56041666666666667</v>
      </c>
      <c r="K415" s="67" t="s">
        <v>1718</v>
      </c>
      <c r="L415" s="67" t="s">
        <v>1200</v>
      </c>
      <c r="M415" s="67" t="s">
        <v>1335</v>
      </c>
    </row>
    <row r="416" spans="1:13" ht="12" customHeight="1" x14ac:dyDescent="0.2">
      <c r="A416" s="78">
        <v>224230</v>
      </c>
      <c r="B416" s="67" t="s">
        <v>469</v>
      </c>
      <c r="C416" s="67" t="s">
        <v>1196</v>
      </c>
      <c r="D416" s="67" t="s">
        <v>1200</v>
      </c>
      <c r="E416" s="67" t="s">
        <v>1343</v>
      </c>
      <c r="F416" s="67" t="s">
        <v>1638</v>
      </c>
      <c r="G416" s="67" t="s">
        <v>8</v>
      </c>
      <c r="H416" s="68">
        <v>0.56041666666666667</v>
      </c>
      <c r="I416" s="68"/>
      <c r="J416" s="68">
        <v>0.56041666666666667</v>
      </c>
      <c r="K416" s="67" t="s">
        <v>1721</v>
      </c>
      <c r="L416" s="67" t="s">
        <v>1200</v>
      </c>
      <c r="M416" s="67" t="s">
        <v>1343</v>
      </c>
    </row>
    <row r="417" spans="1:13" ht="12" customHeight="1" x14ac:dyDescent="0.2">
      <c r="A417" s="78">
        <v>222549</v>
      </c>
      <c r="B417" s="67" t="s">
        <v>470</v>
      </c>
      <c r="C417" s="67" t="s">
        <v>1196</v>
      </c>
      <c r="D417" s="67" t="s">
        <v>1200</v>
      </c>
      <c r="E417" s="67" t="s">
        <v>1327</v>
      </c>
      <c r="F417" s="67" t="s">
        <v>1630</v>
      </c>
      <c r="G417" s="67" t="s">
        <v>8</v>
      </c>
      <c r="H417" s="68">
        <v>0.55833333333333335</v>
      </c>
      <c r="I417" s="68"/>
      <c r="J417" s="68">
        <v>0.55833333333333335</v>
      </c>
      <c r="K417" s="67" t="s">
        <v>1718</v>
      </c>
      <c r="L417" s="67" t="s">
        <v>1200</v>
      </c>
      <c r="M417" s="67" t="s">
        <v>1327</v>
      </c>
    </row>
    <row r="418" spans="1:13" ht="12" customHeight="1" x14ac:dyDescent="0.2">
      <c r="A418" s="78">
        <v>234644</v>
      </c>
      <c r="B418" s="67" t="s">
        <v>471</v>
      </c>
      <c r="C418" s="67" t="s">
        <v>1196</v>
      </c>
      <c r="D418" s="67" t="s">
        <v>1198</v>
      </c>
      <c r="E418" s="67" t="s">
        <v>1332</v>
      </c>
      <c r="F418" s="67" t="s">
        <v>1632</v>
      </c>
      <c r="G418" s="67" t="s">
        <v>8</v>
      </c>
      <c r="H418" s="68">
        <v>0.55069444444444449</v>
      </c>
      <c r="I418" s="68"/>
      <c r="J418" s="68">
        <v>0.55069444444444449</v>
      </c>
      <c r="K418" s="67" t="s">
        <v>1718</v>
      </c>
      <c r="L418" s="67" t="s">
        <v>1198</v>
      </c>
      <c r="M418" s="67" t="s">
        <v>1332</v>
      </c>
    </row>
    <row r="419" spans="1:13" ht="12" customHeight="1" x14ac:dyDescent="0.2">
      <c r="A419" s="78">
        <v>218467</v>
      </c>
      <c r="B419" s="67" t="s">
        <v>472</v>
      </c>
      <c r="C419" s="67" t="s">
        <v>1196</v>
      </c>
      <c r="D419" s="67" t="s">
        <v>1200</v>
      </c>
      <c r="E419" s="67" t="s">
        <v>1348</v>
      </c>
      <c r="F419" s="67" t="s">
        <v>1628</v>
      </c>
      <c r="G419" s="67" t="s">
        <v>8</v>
      </c>
      <c r="H419" s="68">
        <v>0.4604166666666667</v>
      </c>
      <c r="I419" s="68"/>
      <c r="J419" s="68">
        <v>0.4604166666666667</v>
      </c>
      <c r="K419" s="67" t="s">
        <v>1726</v>
      </c>
      <c r="L419" s="67" t="s">
        <v>1200</v>
      </c>
      <c r="M419" s="67" t="s">
        <v>1348</v>
      </c>
    </row>
    <row r="420" spans="1:13" ht="12" customHeight="1" x14ac:dyDescent="0.2">
      <c r="A420" s="78">
        <v>218830</v>
      </c>
      <c r="B420" s="67" t="s">
        <v>473</v>
      </c>
      <c r="C420" s="67" t="s">
        <v>1196</v>
      </c>
      <c r="D420" s="67" t="s">
        <v>1198</v>
      </c>
      <c r="E420" s="67" t="s">
        <v>1349</v>
      </c>
      <c r="F420" s="67" t="s">
        <v>1598</v>
      </c>
      <c r="G420" s="67" t="s">
        <v>8</v>
      </c>
      <c r="H420" s="68">
        <v>0.36805555555555558</v>
      </c>
      <c r="I420" s="68"/>
      <c r="J420" s="68">
        <v>0.36805555555555558</v>
      </c>
      <c r="K420" s="67" t="s">
        <v>1726</v>
      </c>
      <c r="L420" s="67" t="s">
        <v>1198</v>
      </c>
      <c r="M420" s="67" t="s">
        <v>1349</v>
      </c>
    </row>
    <row r="421" spans="1:13" ht="12" customHeight="1" x14ac:dyDescent="0.2">
      <c r="A421" s="78">
        <v>203496</v>
      </c>
      <c r="B421" s="67" t="s">
        <v>474</v>
      </c>
      <c r="C421" s="67" t="s">
        <v>1196</v>
      </c>
      <c r="D421" s="67" t="s">
        <v>1200</v>
      </c>
      <c r="E421" s="67" t="s">
        <v>1334</v>
      </c>
      <c r="F421" s="67" t="s">
        <v>1636</v>
      </c>
      <c r="G421" s="67" t="s">
        <v>8</v>
      </c>
      <c r="H421" s="68">
        <v>0.32777777777777778</v>
      </c>
      <c r="I421" s="68"/>
      <c r="J421" s="68">
        <v>0.32777777777777778</v>
      </c>
      <c r="K421" s="67" t="s">
        <v>1718</v>
      </c>
      <c r="L421" s="67" t="s">
        <v>1200</v>
      </c>
      <c r="M421" s="67" t="s">
        <v>1334</v>
      </c>
    </row>
    <row r="422" spans="1:13" ht="12" customHeight="1" x14ac:dyDescent="0.2">
      <c r="A422" s="78">
        <v>230381</v>
      </c>
      <c r="B422" s="67" t="s">
        <v>475</v>
      </c>
      <c r="C422" s="67" t="s">
        <v>1196</v>
      </c>
      <c r="D422" s="67" t="s">
        <v>1200</v>
      </c>
      <c r="E422" s="67" t="s">
        <v>1335</v>
      </c>
      <c r="F422" s="67" t="s">
        <v>1635</v>
      </c>
      <c r="G422" s="67" t="s">
        <v>8</v>
      </c>
      <c r="H422" s="68">
        <v>0.32569444444444445</v>
      </c>
      <c r="I422" s="68"/>
      <c r="J422" s="68">
        <v>0.32569444444444445</v>
      </c>
      <c r="K422" s="67" t="s">
        <v>1718</v>
      </c>
      <c r="L422" s="67" t="s">
        <v>1200</v>
      </c>
      <c r="M422" s="67" t="s">
        <v>1335</v>
      </c>
    </row>
    <row r="423" spans="1:13" ht="12" customHeight="1" x14ac:dyDescent="0.2">
      <c r="A423" s="78">
        <v>218011</v>
      </c>
      <c r="B423" s="67" t="s">
        <v>476</v>
      </c>
      <c r="C423" s="67" t="s">
        <v>1196</v>
      </c>
      <c r="D423" s="67" t="s">
        <v>1200</v>
      </c>
      <c r="E423" s="67" t="s">
        <v>1350</v>
      </c>
      <c r="F423" s="67" t="s">
        <v>1636</v>
      </c>
      <c r="G423" s="67" t="s">
        <v>8</v>
      </c>
      <c r="H423" s="68">
        <v>0.28333333333333333</v>
      </c>
      <c r="I423" s="68"/>
      <c r="J423" s="68">
        <v>0.28333333333333333</v>
      </c>
      <c r="K423" s="67" t="s">
        <v>1720</v>
      </c>
      <c r="L423" s="67" t="s">
        <v>1200</v>
      </c>
      <c r="M423" s="67" t="s">
        <v>1350</v>
      </c>
    </row>
    <row r="424" spans="1:13" ht="12" customHeight="1" x14ac:dyDescent="0.2">
      <c r="A424" s="78">
        <v>235930</v>
      </c>
      <c r="B424" s="67" t="s">
        <v>477</v>
      </c>
      <c r="C424" s="67" t="s">
        <v>1196</v>
      </c>
      <c r="D424" s="67" t="s">
        <v>1200</v>
      </c>
      <c r="E424" s="67" t="s">
        <v>1327</v>
      </c>
      <c r="F424" s="67" t="s">
        <v>1630</v>
      </c>
      <c r="G424" s="67" t="s">
        <v>8</v>
      </c>
      <c r="H424" s="68">
        <v>0.26458333333333334</v>
      </c>
      <c r="I424" s="68"/>
      <c r="J424" s="68">
        <v>0.26458333333333334</v>
      </c>
      <c r="K424" s="67" t="s">
        <v>1718</v>
      </c>
      <c r="L424" s="67" t="s">
        <v>1200</v>
      </c>
      <c r="M424" s="67" t="s">
        <v>1327</v>
      </c>
    </row>
    <row r="425" spans="1:13" ht="12" customHeight="1" x14ac:dyDescent="0.2">
      <c r="A425" s="78">
        <v>200234</v>
      </c>
      <c r="B425" s="67" t="s">
        <v>478</v>
      </c>
      <c r="C425" s="67" t="s">
        <v>1196</v>
      </c>
      <c r="D425" s="67" t="s">
        <v>1200</v>
      </c>
      <c r="E425" s="67" t="s">
        <v>1336</v>
      </c>
      <c r="F425" s="67" t="s">
        <v>1634</v>
      </c>
      <c r="G425" s="67" t="s">
        <v>8</v>
      </c>
      <c r="H425" s="68">
        <v>0.24374999999999999</v>
      </c>
      <c r="I425" s="68"/>
      <c r="J425" s="68">
        <v>0.24374999999999999</v>
      </c>
      <c r="K425" s="67" t="s">
        <v>1721</v>
      </c>
      <c r="L425" s="67" t="s">
        <v>1200</v>
      </c>
      <c r="M425" s="67" t="s">
        <v>1336</v>
      </c>
    </row>
    <row r="426" spans="1:13" ht="12" customHeight="1" x14ac:dyDescent="0.2">
      <c r="A426" s="78">
        <v>200590</v>
      </c>
      <c r="B426" s="67" t="s">
        <v>479</v>
      </c>
      <c r="C426" s="67" t="s">
        <v>1196</v>
      </c>
      <c r="D426" s="67" t="s">
        <v>1200</v>
      </c>
      <c r="E426" s="67" t="s">
        <v>1351</v>
      </c>
      <c r="F426" s="67" t="s">
        <v>1628</v>
      </c>
      <c r="G426" s="67" t="s">
        <v>8</v>
      </c>
      <c r="H426" s="68">
        <v>0.19166666666666665</v>
      </c>
      <c r="I426" s="68"/>
      <c r="J426" s="68">
        <v>0.19166666666666665</v>
      </c>
      <c r="K426" s="67" t="s">
        <v>1724</v>
      </c>
      <c r="L426" s="67" t="s">
        <v>1200</v>
      </c>
      <c r="M426" s="67" t="s">
        <v>1351</v>
      </c>
    </row>
    <row r="427" spans="1:13" ht="12" customHeight="1" x14ac:dyDescent="0.2">
      <c r="A427" s="78">
        <v>224184</v>
      </c>
      <c r="B427" s="67" t="s">
        <v>480</v>
      </c>
      <c r="C427" s="67" t="s">
        <v>1196</v>
      </c>
      <c r="D427" s="67" t="s">
        <v>1200</v>
      </c>
      <c r="E427" s="67" t="s">
        <v>1333</v>
      </c>
      <c r="F427" s="67" t="s">
        <v>1635</v>
      </c>
      <c r="G427" s="67" t="s">
        <v>8</v>
      </c>
      <c r="H427" s="68">
        <v>0.18402777777777779</v>
      </c>
      <c r="I427" s="68"/>
      <c r="J427" s="68">
        <v>0.18402777777777779</v>
      </c>
      <c r="K427" s="67" t="s">
        <v>1721</v>
      </c>
      <c r="L427" s="67" t="s">
        <v>1200</v>
      </c>
      <c r="M427" s="67" t="s">
        <v>1333</v>
      </c>
    </row>
    <row r="428" spans="1:13" ht="12" customHeight="1" x14ac:dyDescent="0.2">
      <c r="A428" s="78">
        <v>201779</v>
      </c>
      <c r="B428" s="67" t="s">
        <v>481</v>
      </c>
      <c r="C428" s="67" t="s">
        <v>1196</v>
      </c>
      <c r="D428" s="67" t="s">
        <v>1200</v>
      </c>
      <c r="E428" s="67" t="s">
        <v>1338</v>
      </c>
      <c r="F428" s="67" t="s">
        <v>1631</v>
      </c>
      <c r="G428" s="67" t="s">
        <v>8</v>
      </c>
      <c r="H428" s="68">
        <v>0.17916666666666667</v>
      </c>
      <c r="I428" s="68"/>
      <c r="J428" s="68">
        <v>0.17916666666666667</v>
      </c>
      <c r="K428" s="67" t="s">
        <v>1721</v>
      </c>
      <c r="L428" s="67" t="s">
        <v>1200</v>
      </c>
      <c r="M428" s="67" t="s">
        <v>1338</v>
      </c>
    </row>
    <row r="429" spans="1:13" ht="12" customHeight="1" x14ac:dyDescent="0.2">
      <c r="A429" s="78">
        <v>200217</v>
      </c>
      <c r="B429" s="67" t="s">
        <v>482</v>
      </c>
      <c r="C429" s="67" t="s">
        <v>1196</v>
      </c>
      <c r="D429" s="67" t="s">
        <v>1200</v>
      </c>
      <c r="E429" s="67" t="s">
        <v>1333</v>
      </c>
      <c r="F429" s="67" t="s">
        <v>1635</v>
      </c>
      <c r="G429" s="67" t="s">
        <v>8</v>
      </c>
      <c r="H429" s="68">
        <v>0.17152777777777775</v>
      </c>
      <c r="I429" s="68"/>
      <c r="J429" s="68">
        <v>0.17152777777777775</v>
      </c>
      <c r="K429" s="67" t="s">
        <v>1720</v>
      </c>
      <c r="L429" s="67" t="s">
        <v>1200</v>
      </c>
      <c r="M429" s="67" t="s">
        <v>1333</v>
      </c>
    </row>
    <row r="430" spans="1:13" ht="12" customHeight="1" x14ac:dyDescent="0.2">
      <c r="A430" s="78">
        <v>224387</v>
      </c>
      <c r="B430" s="67" t="s">
        <v>483</v>
      </c>
      <c r="C430" s="67" t="s">
        <v>1196</v>
      </c>
      <c r="D430" s="67" t="s">
        <v>1200</v>
      </c>
      <c r="E430" s="67" t="s">
        <v>1327</v>
      </c>
      <c r="F430" s="67" t="s">
        <v>1630</v>
      </c>
      <c r="G430" s="67" t="s">
        <v>8</v>
      </c>
      <c r="H430" s="68">
        <v>0.16111111111111112</v>
      </c>
      <c r="I430" s="68"/>
      <c r="J430" s="68">
        <v>0.16111111111111112</v>
      </c>
      <c r="K430" s="67" t="s">
        <v>1718</v>
      </c>
      <c r="L430" s="67" t="s">
        <v>1200</v>
      </c>
      <c r="M430" s="67" t="s">
        <v>1327</v>
      </c>
    </row>
    <row r="431" spans="1:13" ht="12" customHeight="1" x14ac:dyDescent="0.2">
      <c r="A431" s="78">
        <v>237407</v>
      </c>
      <c r="B431" s="67" t="s">
        <v>484</v>
      </c>
      <c r="C431" s="67" t="s">
        <v>1196</v>
      </c>
      <c r="D431" s="67" t="s">
        <v>1200</v>
      </c>
      <c r="E431" s="67" t="s">
        <v>1337</v>
      </c>
      <c r="F431" s="67" t="s">
        <v>1637</v>
      </c>
      <c r="G431" s="67" t="s">
        <v>8</v>
      </c>
      <c r="H431" s="68">
        <v>0.16041666666666668</v>
      </c>
      <c r="I431" s="68"/>
      <c r="J431" s="68">
        <v>0.16041666666666668</v>
      </c>
      <c r="K431" s="67" t="s">
        <v>1718</v>
      </c>
      <c r="L431" s="67" t="s">
        <v>1200</v>
      </c>
      <c r="M431" s="67" t="s">
        <v>1337</v>
      </c>
    </row>
    <row r="432" spans="1:13" ht="12" customHeight="1" x14ac:dyDescent="0.2">
      <c r="A432" s="78">
        <v>231079</v>
      </c>
      <c r="B432" s="67" t="s">
        <v>485</v>
      </c>
      <c r="C432" s="67" t="s">
        <v>1196</v>
      </c>
      <c r="D432" s="67" t="s">
        <v>1200</v>
      </c>
      <c r="E432" s="67" t="s">
        <v>1334</v>
      </c>
      <c r="F432" s="67" t="s">
        <v>1636</v>
      </c>
      <c r="G432" s="67" t="s">
        <v>8</v>
      </c>
      <c r="H432" s="68">
        <v>0.15486111111111112</v>
      </c>
      <c r="I432" s="68"/>
      <c r="J432" s="68">
        <v>0.15486111111111112</v>
      </c>
      <c r="K432" s="67" t="s">
        <v>1718</v>
      </c>
      <c r="L432" s="67" t="s">
        <v>1200</v>
      </c>
      <c r="M432" s="67" t="s">
        <v>1334</v>
      </c>
    </row>
    <row r="433" spans="1:13" ht="12" customHeight="1" x14ac:dyDescent="0.2">
      <c r="A433" s="78">
        <v>221898</v>
      </c>
      <c r="B433" s="67" t="s">
        <v>486</v>
      </c>
      <c r="C433" s="67" t="s">
        <v>1196</v>
      </c>
      <c r="D433" s="67" t="s">
        <v>1200</v>
      </c>
      <c r="E433" s="67" t="s">
        <v>1341</v>
      </c>
      <c r="F433" s="67" t="s">
        <v>1633</v>
      </c>
      <c r="G433" s="67" t="s">
        <v>8</v>
      </c>
      <c r="H433" s="68">
        <v>0.13125000000000001</v>
      </c>
      <c r="I433" s="68"/>
      <c r="J433" s="68">
        <v>0.13125000000000001</v>
      </c>
      <c r="K433" s="67" t="s">
        <v>1720</v>
      </c>
      <c r="L433" s="67" t="s">
        <v>1200</v>
      </c>
      <c r="M433" s="67" t="s">
        <v>1341</v>
      </c>
    </row>
    <row r="434" spans="1:13" ht="12" customHeight="1" x14ac:dyDescent="0.2">
      <c r="A434" s="78">
        <v>235760</v>
      </c>
      <c r="B434" s="67" t="s">
        <v>487</v>
      </c>
      <c r="C434" s="67" t="s">
        <v>1196</v>
      </c>
      <c r="D434" s="67" t="s">
        <v>1200</v>
      </c>
      <c r="E434" s="67" t="s">
        <v>1328</v>
      </c>
      <c r="F434" s="67" t="s">
        <v>1631</v>
      </c>
      <c r="G434" s="67" t="s">
        <v>8</v>
      </c>
      <c r="H434" s="68">
        <v>6.3888888888888884E-2</v>
      </c>
      <c r="I434" s="68"/>
      <c r="J434" s="68">
        <v>6.3888888888888884E-2</v>
      </c>
      <c r="K434" s="67" t="s">
        <v>1718</v>
      </c>
      <c r="L434" s="67" t="s">
        <v>1200</v>
      </c>
      <c r="M434" s="67" t="s">
        <v>1328</v>
      </c>
    </row>
    <row r="435" spans="1:13" ht="12" customHeight="1" x14ac:dyDescent="0.2">
      <c r="A435" s="78">
        <v>224044</v>
      </c>
      <c r="B435" s="67" t="s">
        <v>488</v>
      </c>
      <c r="C435" s="67" t="s">
        <v>1196</v>
      </c>
      <c r="D435" s="67" t="s">
        <v>1200</v>
      </c>
      <c r="E435" s="67" t="s">
        <v>1345</v>
      </c>
      <c r="F435" s="67" t="s">
        <v>1628</v>
      </c>
      <c r="G435" s="67" t="s">
        <v>8</v>
      </c>
      <c r="H435" s="68">
        <v>6.25E-2</v>
      </c>
      <c r="I435" s="68"/>
      <c r="J435" s="68">
        <v>6.25E-2</v>
      </c>
      <c r="K435" s="67" t="s">
        <v>1719</v>
      </c>
      <c r="L435" s="67" t="s">
        <v>1200</v>
      </c>
      <c r="M435" s="67" t="s">
        <v>1345</v>
      </c>
    </row>
    <row r="436" spans="1:13" ht="12" customHeight="1" x14ac:dyDescent="0.2">
      <c r="A436" s="78">
        <v>203000</v>
      </c>
      <c r="B436" s="67" t="s">
        <v>489</v>
      </c>
      <c r="C436" s="67" t="s">
        <v>1196</v>
      </c>
      <c r="D436" s="67" t="s">
        <v>1200</v>
      </c>
      <c r="E436" s="67" t="s">
        <v>1330</v>
      </c>
      <c r="F436" s="67" t="s">
        <v>1633</v>
      </c>
      <c r="G436" s="67" t="s">
        <v>8</v>
      </c>
      <c r="H436" s="68">
        <v>5.4166666666666669E-2</v>
      </c>
      <c r="I436" s="68"/>
      <c r="J436" s="68">
        <v>5.4166666666666669E-2</v>
      </c>
      <c r="K436" s="67" t="s">
        <v>1718</v>
      </c>
      <c r="L436" s="67" t="s">
        <v>1200</v>
      </c>
      <c r="M436" s="67" t="s">
        <v>1330</v>
      </c>
    </row>
    <row r="437" spans="1:13" ht="12" customHeight="1" x14ac:dyDescent="0.2">
      <c r="A437" s="78">
        <v>224294</v>
      </c>
      <c r="B437" s="67" t="s">
        <v>490</v>
      </c>
      <c r="C437" s="67" t="s">
        <v>1196</v>
      </c>
      <c r="D437" s="67" t="s">
        <v>1200</v>
      </c>
      <c r="E437" s="67" t="s">
        <v>1339</v>
      </c>
      <c r="F437" s="67" t="s">
        <v>1638</v>
      </c>
      <c r="G437" s="67" t="s">
        <v>8</v>
      </c>
      <c r="H437" s="68">
        <v>5.2777777777777778E-2</v>
      </c>
      <c r="I437" s="68"/>
      <c r="J437" s="68">
        <v>5.2777777777777778E-2</v>
      </c>
      <c r="K437" s="67" t="s">
        <v>1718</v>
      </c>
      <c r="L437" s="67" t="s">
        <v>1200</v>
      </c>
      <c r="M437" s="67" t="s">
        <v>1339</v>
      </c>
    </row>
    <row r="438" spans="1:13" ht="12" customHeight="1" x14ac:dyDescent="0.2">
      <c r="A438" s="78">
        <v>237415</v>
      </c>
      <c r="B438" s="67" t="s">
        <v>491</v>
      </c>
      <c r="C438" s="67" t="s">
        <v>1196</v>
      </c>
      <c r="D438" s="67" t="s">
        <v>1200</v>
      </c>
      <c r="E438" s="67" t="s">
        <v>1352</v>
      </c>
      <c r="F438" s="67" t="s">
        <v>1637</v>
      </c>
      <c r="G438" s="67" t="s">
        <v>8</v>
      </c>
      <c r="H438" s="68">
        <v>4.0972222222222222E-2</v>
      </c>
      <c r="I438" s="68"/>
      <c r="J438" s="68">
        <v>4.0972222222222222E-2</v>
      </c>
      <c r="K438" s="67" t="s">
        <v>1720</v>
      </c>
      <c r="L438" s="67" t="s">
        <v>1200</v>
      </c>
      <c r="M438" s="67" t="s">
        <v>1352</v>
      </c>
    </row>
    <row r="439" spans="1:13" ht="12" customHeight="1" x14ac:dyDescent="0.2">
      <c r="A439" s="78">
        <v>224953</v>
      </c>
      <c r="B439" s="67" t="s">
        <v>492</v>
      </c>
      <c r="C439" s="67" t="s">
        <v>1196</v>
      </c>
      <c r="D439" s="67" t="s">
        <v>1200</v>
      </c>
      <c r="E439" s="67" t="s">
        <v>1331</v>
      </c>
      <c r="F439" s="67" t="s">
        <v>1634</v>
      </c>
      <c r="G439" s="67" t="s">
        <v>8</v>
      </c>
      <c r="H439" s="68">
        <v>3.6805555555555557E-2</v>
      </c>
      <c r="I439" s="68"/>
      <c r="J439" s="68">
        <v>3.6805555555555557E-2</v>
      </c>
      <c r="K439" s="67" t="s">
        <v>1718</v>
      </c>
      <c r="L439" s="67" t="s">
        <v>1200</v>
      </c>
      <c r="M439" s="67" t="s">
        <v>1331</v>
      </c>
    </row>
    <row r="440" spans="1:13" ht="12" customHeight="1" x14ac:dyDescent="0.2">
      <c r="A440" s="78">
        <v>237634</v>
      </c>
      <c r="B440" s="67" t="s">
        <v>493</v>
      </c>
      <c r="C440" s="67" t="s">
        <v>1196</v>
      </c>
      <c r="D440" s="67" t="s">
        <v>1200</v>
      </c>
      <c r="E440" s="67" t="s">
        <v>1352</v>
      </c>
      <c r="F440" s="67" t="s">
        <v>1637</v>
      </c>
      <c r="G440" s="67" t="s">
        <v>8</v>
      </c>
      <c r="H440" s="68">
        <v>3.4027777777777775E-2</v>
      </c>
      <c r="I440" s="68"/>
      <c r="J440" s="68">
        <v>3.4027777777777775E-2</v>
      </c>
      <c r="K440" s="67" t="s">
        <v>1721</v>
      </c>
      <c r="L440" s="67" t="s">
        <v>1200</v>
      </c>
      <c r="M440" s="67" t="s">
        <v>1352</v>
      </c>
    </row>
    <row r="441" spans="1:13" ht="12" customHeight="1" x14ac:dyDescent="0.2">
      <c r="A441" s="78">
        <v>231764</v>
      </c>
      <c r="B441" s="67" t="s">
        <v>494</v>
      </c>
      <c r="C441" s="67" t="s">
        <v>1196</v>
      </c>
      <c r="D441" s="67" t="s">
        <v>1200</v>
      </c>
      <c r="E441" s="67" t="s">
        <v>1350</v>
      </c>
      <c r="F441" s="67" t="s">
        <v>1636</v>
      </c>
      <c r="G441" s="67" t="s">
        <v>8</v>
      </c>
      <c r="H441" s="68">
        <v>2.1527777777777781E-2</v>
      </c>
      <c r="I441" s="68"/>
      <c r="J441" s="68">
        <v>2.1527777777777781E-2</v>
      </c>
      <c r="K441" s="67" t="s">
        <v>1721</v>
      </c>
      <c r="L441" s="67" t="s">
        <v>1200</v>
      </c>
      <c r="M441" s="67" t="s">
        <v>1350</v>
      </c>
    </row>
    <row r="442" spans="1:13" ht="12" customHeight="1" x14ac:dyDescent="0.2">
      <c r="A442" s="78">
        <v>232737</v>
      </c>
      <c r="B442" s="67" t="s">
        <v>495</v>
      </c>
      <c r="C442" s="67" t="s">
        <v>1196</v>
      </c>
      <c r="D442" s="67" t="s">
        <v>1201</v>
      </c>
      <c r="E442" s="67" t="s">
        <v>1353</v>
      </c>
      <c r="F442" s="67" t="s">
        <v>1639</v>
      </c>
      <c r="G442" s="67" t="s">
        <v>7</v>
      </c>
      <c r="H442" s="68">
        <v>0.17361111111111113</v>
      </c>
      <c r="I442" s="68">
        <v>0.17361111111111113</v>
      </c>
      <c r="J442" s="68"/>
      <c r="K442" s="67" t="s">
        <v>1721</v>
      </c>
      <c r="L442" s="67" t="s">
        <v>1201</v>
      </c>
      <c r="M442" s="67" t="s">
        <v>1353</v>
      </c>
    </row>
    <row r="443" spans="1:13" ht="12" customHeight="1" x14ac:dyDescent="0.2">
      <c r="A443" s="78">
        <v>201397</v>
      </c>
      <c r="B443" s="67" t="s">
        <v>496</v>
      </c>
      <c r="C443" s="67" t="s">
        <v>1196</v>
      </c>
      <c r="D443" s="67" t="s">
        <v>1201</v>
      </c>
      <c r="E443" s="67" t="s">
        <v>1354</v>
      </c>
      <c r="F443" s="67" t="s">
        <v>1640</v>
      </c>
      <c r="G443" s="67" t="s">
        <v>7</v>
      </c>
      <c r="H443" s="68">
        <v>9.3256944444444443</v>
      </c>
      <c r="I443" s="68">
        <v>9.3256944444444443</v>
      </c>
      <c r="J443" s="68"/>
      <c r="K443" s="67" t="s">
        <v>1720</v>
      </c>
      <c r="L443" s="67" t="s">
        <v>1201</v>
      </c>
      <c r="M443" s="67" t="s">
        <v>1354</v>
      </c>
    </row>
    <row r="444" spans="1:13" ht="12" customHeight="1" x14ac:dyDescent="0.2">
      <c r="A444" s="78">
        <v>217863</v>
      </c>
      <c r="B444" s="67" t="s">
        <v>497</v>
      </c>
      <c r="C444" s="67" t="s">
        <v>1196</v>
      </c>
      <c r="D444" s="67" t="s">
        <v>1201</v>
      </c>
      <c r="E444" s="67" t="s">
        <v>1355</v>
      </c>
      <c r="F444" s="67" t="s">
        <v>1641</v>
      </c>
      <c r="G444" s="67" t="s">
        <v>7</v>
      </c>
      <c r="H444" s="68">
        <v>1.0944444444444446</v>
      </c>
      <c r="I444" s="68">
        <v>1.0944444444444446</v>
      </c>
      <c r="J444" s="68"/>
      <c r="K444" s="67" t="s">
        <v>1726</v>
      </c>
      <c r="L444" s="67" t="s">
        <v>1201</v>
      </c>
      <c r="M444" s="67" t="s">
        <v>1355</v>
      </c>
    </row>
    <row r="445" spans="1:13" ht="12" customHeight="1" x14ac:dyDescent="0.2">
      <c r="A445" s="78">
        <v>215480</v>
      </c>
      <c r="B445" s="67" t="s">
        <v>498</v>
      </c>
      <c r="C445" s="67" t="s">
        <v>1196</v>
      </c>
      <c r="D445" s="67" t="s">
        <v>1201</v>
      </c>
      <c r="E445" s="67" t="s">
        <v>1356</v>
      </c>
      <c r="F445" s="67" t="s">
        <v>1641</v>
      </c>
      <c r="G445" s="67" t="s">
        <v>7</v>
      </c>
      <c r="H445" s="68">
        <v>1.6118055555555557</v>
      </c>
      <c r="I445" s="68">
        <v>1.6118055555555557</v>
      </c>
      <c r="J445" s="68"/>
      <c r="K445" s="67" t="s">
        <v>1726</v>
      </c>
      <c r="L445" s="67" t="s">
        <v>1201</v>
      </c>
      <c r="M445" s="67" t="s">
        <v>1356</v>
      </c>
    </row>
    <row r="446" spans="1:13" ht="12" customHeight="1" x14ac:dyDescent="0.2">
      <c r="A446" s="78">
        <v>203223</v>
      </c>
      <c r="B446" s="67" t="s">
        <v>499</v>
      </c>
      <c r="C446" s="67" t="s">
        <v>1196</v>
      </c>
      <c r="D446" s="67" t="s">
        <v>1201</v>
      </c>
      <c r="E446" s="67" t="s">
        <v>1357</v>
      </c>
      <c r="F446" s="67" t="s">
        <v>1642</v>
      </c>
      <c r="G446" s="67" t="s">
        <v>7</v>
      </c>
      <c r="H446" s="68">
        <v>7.3569444444444443</v>
      </c>
      <c r="I446" s="68">
        <v>7.3569444444444443</v>
      </c>
      <c r="J446" s="68"/>
      <c r="K446" s="67" t="s">
        <v>1718</v>
      </c>
      <c r="L446" s="67" t="s">
        <v>1201</v>
      </c>
      <c r="M446" s="67" t="s">
        <v>1357</v>
      </c>
    </row>
    <row r="447" spans="1:13" ht="12" customHeight="1" x14ac:dyDescent="0.2">
      <c r="A447" s="78">
        <v>201815</v>
      </c>
      <c r="B447" s="67" t="s">
        <v>500</v>
      </c>
      <c r="C447" s="67" t="s">
        <v>1196</v>
      </c>
      <c r="D447" s="67" t="s">
        <v>1201</v>
      </c>
      <c r="E447" s="67" t="s">
        <v>1358</v>
      </c>
      <c r="F447" s="67" t="s">
        <v>1643</v>
      </c>
      <c r="G447" s="67" t="s">
        <v>7</v>
      </c>
      <c r="H447" s="68">
        <v>4.5493055555555557</v>
      </c>
      <c r="I447" s="68">
        <v>4.5493055555555557</v>
      </c>
      <c r="J447" s="68"/>
      <c r="K447" s="67" t="s">
        <v>1718</v>
      </c>
      <c r="L447" s="67" t="s">
        <v>1201</v>
      </c>
      <c r="M447" s="67" t="s">
        <v>1358</v>
      </c>
    </row>
    <row r="448" spans="1:13" ht="12" customHeight="1" x14ac:dyDescent="0.2">
      <c r="A448" s="78">
        <v>237750</v>
      </c>
      <c r="B448" s="67" t="s">
        <v>501</v>
      </c>
      <c r="C448" s="67" t="s">
        <v>1196</v>
      </c>
      <c r="D448" s="67" t="s">
        <v>1201</v>
      </c>
      <c r="E448" s="67" t="s">
        <v>1359</v>
      </c>
      <c r="F448" s="67" t="s">
        <v>1644</v>
      </c>
      <c r="G448" s="67" t="s">
        <v>7</v>
      </c>
      <c r="H448" s="68">
        <v>3.0555555555555555E-2</v>
      </c>
      <c r="I448" s="68">
        <v>3.0555555555555555E-2</v>
      </c>
      <c r="J448" s="68"/>
      <c r="K448" s="67" t="s">
        <v>1721</v>
      </c>
      <c r="L448" s="67" t="s">
        <v>1201</v>
      </c>
      <c r="M448" s="67" t="s">
        <v>1359</v>
      </c>
    </row>
    <row r="449" spans="1:13" ht="12" customHeight="1" x14ac:dyDescent="0.2">
      <c r="A449" s="78">
        <v>225275</v>
      </c>
      <c r="B449" s="67" t="s">
        <v>502</v>
      </c>
      <c r="C449" s="67" t="s">
        <v>1196</v>
      </c>
      <c r="D449" s="67" t="s">
        <v>1201</v>
      </c>
      <c r="E449" s="67" t="s">
        <v>1360</v>
      </c>
      <c r="F449" s="67" t="s">
        <v>1645</v>
      </c>
      <c r="G449" s="67" t="s">
        <v>7</v>
      </c>
      <c r="H449" s="68">
        <v>8.4402777777777782</v>
      </c>
      <c r="I449" s="68">
        <v>8.4402777777777782</v>
      </c>
      <c r="J449" s="68"/>
      <c r="K449" s="67" t="s">
        <v>1721</v>
      </c>
      <c r="L449" s="67" t="s">
        <v>1201</v>
      </c>
      <c r="M449" s="67" t="s">
        <v>1360</v>
      </c>
    </row>
    <row r="450" spans="1:13" ht="12" customHeight="1" x14ac:dyDescent="0.2">
      <c r="A450" s="78">
        <v>232565</v>
      </c>
      <c r="B450" s="67" t="s">
        <v>503</v>
      </c>
      <c r="C450" s="67" t="s">
        <v>1196</v>
      </c>
      <c r="D450" s="67" t="s">
        <v>1201</v>
      </c>
      <c r="E450" s="67" t="s">
        <v>1361</v>
      </c>
      <c r="F450" s="67" t="s">
        <v>1639</v>
      </c>
      <c r="G450" s="67" t="s">
        <v>7</v>
      </c>
      <c r="H450" s="68">
        <v>7.1527777777777787E-2</v>
      </c>
      <c r="I450" s="68">
        <v>7.1527777777777787E-2</v>
      </c>
      <c r="J450" s="68"/>
      <c r="K450" s="67" t="s">
        <v>1718</v>
      </c>
      <c r="L450" s="67" t="s">
        <v>1201</v>
      </c>
      <c r="M450" s="67" t="s">
        <v>1361</v>
      </c>
    </row>
    <row r="451" spans="1:13" ht="12" customHeight="1" x14ac:dyDescent="0.2">
      <c r="A451" s="78">
        <v>230063</v>
      </c>
      <c r="B451" s="67" t="s">
        <v>504</v>
      </c>
      <c r="C451" s="67" t="s">
        <v>1196</v>
      </c>
      <c r="D451" s="67" t="s">
        <v>1201</v>
      </c>
      <c r="E451" s="67" t="s">
        <v>1362</v>
      </c>
      <c r="F451" s="67" t="s">
        <v>1646</v>
      </c>
      <c r="G451" s="67" t="s">
        <v>7</v>
      </c>
      <c r="H451" s="68">
        <v>5.4680555555555559</v>
      </c>
      <c r="I451" s="68">
        <v>5.4680555555555559</v>
      </c>
      <c r="J451" s="68"/>
      <c r="K451" s="67" t="s">
        <v>1720</v>
      </c>
      <c r="L451" s="67" t="s">
        <v>1201</v>
      </c>
      <c r="M451" s="67" t="s">
        <v>1362</v>
      </c>
    </row>
    <row r="452" spans="1:13" ht="12" customHeight="1" x14ac:dyDescent="0.2">
      <c r="A452" s="78">
        <v>230000</v>
      </c>
      <c r="B452" s="67" t="s">
        <v>505</v>
      </c>
      <c r="C452" s="67" t="s">
        <v>1196</v>
      </c>
      <c r="D452" s="67" t="s">
        <v>1201</v>
      </c>
      <c r="E452" s="67" t="s">
        <v>1357</v>
      </c>
      <c r="F452" s="67" t="s">
        <v>1642</v>
      </c>
      <c r="G452" s="67" t="s">
        <v>7</v>
      </c>
      <c r="H452" s="68">
        <v>4.9909722222222221</v>
      </c>
      <c r="I452" s="68">
        <v>4.9909722222222221</v>
      </c>
      <c r="J452" s="68"/>
      <c r="K452" s="67" t="s">
        <v>1718</v>
      </c>
      <c r="L452" s="67" t="s">
        <v>1201</v>
      </c>
      <c r="M452" s="67" t="s">
        <v>1357</v>
      </c>
    </row>
    <row r="453" spans="1:13" ht="12" customHeight="1" x14ac:dyDescent="0.2">
      <c r="A453" s="78">
        <v>230001</v>
      </c>
      <c r="B453" s="67" t="s">
        <v>506</v>
      </c>
      <c r="C453" s="67" t="s">
        <v>1196</v>
      </c>
      <c r="D453" s="67" t="s">
        <v>1201</v>
      </c>
      <c r="E453" s="67" t="s">
        <v>1357</v>
      </c>
      <c r="F453" s="67" t="s">
        <v>1642</v>
      </c>
      <c r="G453" s="67" t="s">
        <v>7</v>
      </c>
      <c r="H453" s="68">
        <v>3.447222222222222</v>
      </c>
      <c r="I453" s="68">
        <v>3.447222222222222</v>
      </c>
      <c r="J453" s="68"/>
      <c r="K453" s="67" t="s">
        <v>1718</v>
      </c>
      <c r="L453" s="67" t="s">
        <v>1201</v>
      </c>
      <c r="M453" s="67" t="s">
        <v>1357</v>
      </c>
    </row>
    <row r="454" spans="1:13" ht="12" customHeight="1" x14ac:dyDescent="0.2">
      <c r="A454" s="78">
        <v>223224</v>
      </c>
      <c r="B454" s="67" t="s">
        <v>507</v>
      </c>
      <c r="C454" s="67" t="s">
        <v>1196</v>
      </c>
      <c r="D454" s="67" t="s">
        <v>1201</v>
      </c>
      <c r="E454" s="67" t="s">
        <v>1358</v>
      </c>
      <c r="F454" s="67" t="s">
        <v>1643</v>
      </c>
      <c r="G454" s="67" t="s">
        <v>7</v>
      </c>
      <c r="H454" s="68">
        <v>8.2076388888888889</v>
      </c>
      <c r="I454" s="68">
        <v>8.2076388888888889</v>
      </c>
      <c r="J454" s="68"/>
      <c r="K454" s="67" t="s">
        <v>1718</v>
      </c>
      <c r="L454" s="67" t="s">
        <v>1201</v>
      </c>
      <c r="M454" s="67" t="s">
        <v>1358</v>
      </c>
    </row>
    <row r="455" spans="1:13" ht="12" customHeight="1" x14ac:dyDescent="0.2">
      <c r="A455" s="78">
        <v>232550</v>
      </c>
      <c r="B455" s="67" t="s">
        <v>508</v>
      </c>
      <c r="C455" s="67" t="s">
        <v>1196</v>
      </c>
      <c r="D455" s="67" t="s">
        <v>1201</v>
      </c>
      <c r="E455" s="67" t="s">
        <v>1363</v>
      </c>
      <c r="F455" s="67" t="s">
        <v>1641</v>
      </c>
      <c r="G455" s="67" t="s">
        <v>7</v>
      </c>
      <c r="H455" s="68">
        <v>0.90972222222222221</v>
      </c>
      <c r="I455" s="68">
        <v>0.90972222222222221</v>
      </c>
      <c r="J455" s="68"/>
      <c r="K455" s="67" t="s">
        <v>1719</v>
      </c>
      <c r="L455" s="67" t="s">
        <v>1201</v>
      </c>
      <c r="M455" s="67" t="s">
        <v>1363</v>
      </c>
    </row>
    <row r="456" spans="1:13" ht="12" customHeight="1" x14ac:dyDescent="0.2">
      <c r="A456" s="78">
        <v>223543</v>
      </c>
      <c r="B456" s="67" t="s">
        <v>509</v>
      </c>
      <c r="C456" s="67" t="s">
        <v>1196</v>
      </c>
      <c r="D456" s="67" t="s">
        <v>1201</v>
      </c>
      <c r="E456" s="67" t="s">
        <v>1364</v>
      </c>
      <c r="F456" s="67" t="s">
        <v>1647</v>
      </c>
      <c r="G456" s="67" t="s">
        <v>7</v>
      </c>
      <c r="H456" s="68">
        <v>6.333333333333333</v>
      </c>
      <c r="I456" s="68">
        <v>6.333333333333333</v>
      </c>
      <c r="J456" s="68"/>
      <c r="K456" s="67" t="s">
        <v>1718</v>
      </c>
      <c r="L456" s="67" t="s">
        <v>1201</v>
      </c>
      <c r="M456" s="67" t="s">
        <v>1364</v>
      </c>
    </row>
    <row r="457" spans="1:13" ht="12" customHeight="1" x14ac:dyDescent="0.2">
      <c r="A457" s="78">
        <v>232152</v>
      </c>
      <c r="B457" s="67" t="s">
        <v>510</v>
      </c>
      <c r="C457" s="67" t="s">
        <v>1196</v>
      </c>
      <c r="D457" s="67" t="s">
        <v>1201</v>
      </c>
      <c r="E457" s="67" t="s">
        <v>1354</v>
      </c>
      <c r="F457" s="67" t="s">
        <v>1640</v>
      </c>
      <c r="G457" s="67" t="s">
        <v>7</v>
      </c>
      <c r="H457" s="68">
        <v>8.4409722222222214</v>
      </c>
      <c r="I457" s="68">
        <v>8.4409722222222214</v>
      </c>
      <c r="J457" s="68"/>
      <c r="K457" s="67" t="s">
        <v>1722</v>
      </c>
      <c r="L457" s="67" t="s">
        <v>1201</v>
      </c>
      <c r="M457" s="67" t="s">
        <v>1354</v>
      </c>
    </row>
    <row r="458" spans="1:13" ht="12" customHeight="1" x14ac:dyDescent="0.2">
      <c r="A458" s="78">
        <v>230961</v>
      </c>
      <c r="B458" s="67" t="s">
        <v>511</v>
      </c>
      <c r="C458" s="67" t="s">
        <v>1196</v>
      </c>
      <c r="D458" s="67" t="s">
        <v>1201</v>
      </c>
      <c r="E458" s="67" t="s">
        <v>1365</v>
      </c>
      <c r="F458" s="67" t="s">
        <v>1648</v>
      </c>
      <c r="G458" s="67" t="s">
        <v>7</v>
      </c>
      <c r="H458" s="68">
        <v>3.0138888888888888</v>
      </c>
      <c r="I458" s="68">
        <v>3.0138888888888888</v>
      </c>
      <c r="J458" s="68"/>
      <c r="K458" s="67" t="s">
        <v>1721</v>
      </c>
      <c r="L458" s="67" t="s">
        <v>1201</v>
      </c>
      <c r="M458" s="67" t="s">
        <v>1365</v>
      </c>
    </row>
    <row r="459" spans="1:13" ht="12" customHeight="1" x14ac:dyDescent="0.2">
      <c r="A459" s="78">
        <v>234371</v>
      </c>
      <c r="B459" s="67" t="s">
        <v>512</v>
      </c>
      <c r="C459" s="67" t="s">
        <v>1196</v>
      </c>
      <c r="D459" s="67" t="s">
        <v>1201</v>
      </c>
      <c r="E459" s="67" t="s">
        <v>1366</v>
      </c>
      <c r="F459" s="67" t="s">
        <v>1640</v>
      </c>
      <c r="G459" s="67" t="s">
        <v>7</v>
      </c>
      <c r="H459" s="68">
        <v>1.1652777777777779</v>
      </c>
      <c r="I459" s="68">
        <v>1.1652777777777779</v>
      </c>
      <c r="J459" s="68"/>
      <c r="K459" s="67" t="s">
        <v>1718</v>
      </c>
      <c r="L459" s="67" t="s">
        <v>1201</v>
      </c>
      <c r="M459" s="67" t="s">
        <v>1366</v>
      </c>
    </row>
    <row r="460" spans="1:13" ht="12" customHeight="1" x14ac:dyDescent="0.2">
      <c r="A460" s="78">
        <v>229949</v>
      </c>
      <c r="B460" s="67" t="s">
        <v>513</v>
      </c>
      <c r="C460" s="67" t="s">
        <v>1196</v>
      </c>
      <c r="D460" s="67" t="s">
        <v>1201</v>
      </c>
      <c r="E460" s="67" t="s">
        <v>1358</v>
      </c>
      <c r="F460" s="67" t="s">
        <v>1643</v>
      </c>
      <c r="G460" s="67" t="s">
        <v>7</v>
      </c>
      <c r="H460" s="68">
        <v>8.9256944444444439</v>
      </c>
      <c r="I460" s="68">
        <v>8.9256944444444439</v>
      </c>
      <c r="J460" s="68"/>
      <c r="K460" s="67" t="s">
        <v>1718</v>
      </c>
      <c r="L460" s="67" t="s">
        <v>1201</v>
      </c>
      <c r="M460" s="67" t="s">
        <v>1358</v>
      </c>
    </row>
    <row r="461" spans="1:13" ht="12" customHeight="1" x14ac:dyDescent="0.2">
      <c r="A461" s="78">
        <v>236703</v>
      </c>
      <c r="B461" s="67" t="s">
        <v>514</v>
      </c>
      <c r="C461" s="67" t="s">
        <v>1196</v>
      </c>
      <c r="D461" s="67" t="s">
        <v>1201</v>
      </c>
      <c r="E461" s="67" t="s">
        <v>1367</v>
      </c>
      <c r="F461" s="67" t="s">
        <v>1649</v>
      </c>
      <c r="G461" s="67" t="s">
        <v>7</v>
      </c>
      <c r="H461" s="68">
        <v>0.12638888888888888</v>
      </c>
      <c r="I461" s="68">
        <v>0.12638888888888888</v>
      </c>
      <c r="J461" s="68"/>
      <c r="K461" s="67" t="s">
        <v>1718</v>
      </c>
      <c r="L461" s="67" t="s">
        <v>1201</v>
      </c>
      <c r="M461" s="67" t="s">
        <v>1367</v>
      </c>
    </row>
    <row r="462" spans="1:13" ht="12" customHeight="1" x14ac:dyDescent="0.2">
      <c r="A462" s="78">
        <v>234935</v>
      </c>
      <c r="B462" s="67" t="s">
        <v>515</v>
      </c>
      <c r="C462" s="67" t="s">
        <v>1196</v>
      </c>
      <c r="D462" s="67" t="s">
        <v>1201</v>
      </c>
      <c r="E462" s="67" t="s">
        <v>1368</v>
      </c>
      <c r="F462" s="67" t="s">
        <v>1641</v>
      </c>
      <c r="G462" s="67" t="s">
        <v>7</v>
      </c>
      <c r="H462" s="68">
        <v>0.18333333333333335</v>
      </c>
      <c r="I462" s="68">
        <v>0.18333333333333335</v>
      </c>
      <c r="J462" s="68"/>
      <c r="K462" s="67" t="s">
        <v>1719</v>
      </c>
      <c r="L462" s="67" t="s">
        <v>1201</v>
      </c>
      <c r="M462" s="67" t="s">
        <v>1368</v>
      </c>
    </row>
    <row r="463" spans="1:13" ht="12" customHeight="1" x14ac:dyDescent="0.2">
      <c r="A463" s="78">
        <v>237233</v>
      </c>
      <c r="B463" s="67" t="s">
        <v>516</v>
      </c>
      <c r="C463" s="67" t="s">
        <v>1196</v>
      </c>
      <c r="D463" s="67" t="s">
        <v>1201</v>
      </c>
      <c r="E463" s="67" t="s">
        <v>1354</v>
      </c>
      <c r="F463" s="67" t="s">
        <v>1640</v>
      </c>
      <c r="G463" s="67" t="s">
        <v>7</v>
      </c>
      <c r="H463" s="68">
        <v>1.8409722222222222</v>
      </c>
      <c r="I463" s="68">
        <v>1.8409722222222222</v>
      </c>
      <c r="J463" s="68"/>
      <c r="K463" s="67" t="s">
        <v>1720</v>
      </c>
      <c r="L463" s="67" t="s">
        <v>1201</v>
      </c>
      <c r="M463" s="67" t="s">
        <v>1354</v>
      </c>
    </row>
    <row r="464" spans="1:13" ht="12" customHeight="1" x14ac:dyDescent="0.2">
      <c r="A464" s="78">
        <v>231593</v>
      </c>
      <c r="B464" s="67" t="s">
        <v>517</v>
      </c>
      <c r="C464" s="67" t="s">
        <v>1196</v>
      </c>
      <c r="D464" s="67" t="s">
        <v>1201</v>
      </c>
      <c r="E464" s="67" t="s">
        <v>1369</v>
      </c>
      <c r="F464" s="67" t="s">
        <v>1641</v>
      </c>
      <c r="G464" s="67" t="s">
        <v>7</v>
      </c>
      <c r="H464" s="68">
        <v>0.97361111111111109</v>
      </c>
      <c r="I464" s="68">
        <v>0.97361111111111109</v>
      </c>
      <c r="J464" s="68"/>
      <c r="K464" s="67" t="s">
        <v>1719</v>
      </c>
      <c r="L464" s="67" t="s">
        <v>1201</v>
      </c>
      <c r="M464" s="67" t="s">
        <v>1369</v>
      </c>
    </row>
    <row r="465" spans="1:13" ht="12" customHeight="1" x14ac:dyDescent="0.2">
      <c r="A465" s="78">
        <v>237622</v>
      </c>
      <c r="B465" s="67" t="s">
        <v>518</v>
      </c>
      <c r="C465" s="67" t="s">
        <v>1196</v>
      </c>
      <c r="D465" s="67" t="s">
        <v>1201</v>
      </c>
      <c r="E465" s="67" t="s">
        <v>1370</v>
      </c>
      <c r="F465" s="67" t="s">
        <v>1646</v>
      </c>
      <c r="G465" s="67" t="s">
        <v>7</v>
      </c>
      <c r="H465" s="68">
        <v>0.64513888888888882</v>
      </c>
      <c r="I465" s="68">
        <v>0.64513888888888882</v>
      </c>
      <c r="J465" s="68"/>
      <c r="K465" s="67" t="s">
        <v>1718</v>
      </c>
      <c r="L465" s="67" t="s">
        <v>1201</v>
      </c>
      <c r="M465" s="67" t="s">
        <v>1370</v>
      </c>
    </row>
    <row r="466" spans="1:13" ht="12" customHeight="1" x14ac:dyDescent="0.2">
      <c r="A466" s="78">
        <v>236876</v>
      </c>
      <c r="B466" s="67" t="s">
        <v>519</v>
      </c>
      <c r="C466" s="67" t="s">
        <v>1196</v>
      </c>
      <c r="D466" s="67" t="s">
        <v>1201</v>
      </c>
      <c r="E466" s="67" t="s">
        <v>1371</v>
      </c>
      <c r="F466" s="67" t="s">
        <v>1641</v>
      </c>
      <c r="G466" s="67" t="s">
        <v>7</v>
      </c>
      <c r="H466" s="68">
        <v>6.6680555555555561</v>
      </c>
      <c r="I466" s="68">
        <v>6.6680555555555561</v>
      </c>
      <c r="J466" s="68"/>
      <c r="K466" s="67" t="s">
        <v>1719</v>
      </c>
      <c r="L466" s="67" t="s">
        <v>1201</v>
      </c>
      <c r="M466" s="67" t="s">
        <v>1371</v>
      </c>
    </row>
    <row r="467" spans="1:13" ht="12" customHeight="1" x14ac:dyDescent="0.2">
      <c r="A467" s="78">
        <v>233010</v>
      </c>
      <c r="B467" s="67" t="s">
        <v>520</v>
      </c>
      <c r="C467" s="67" t="s">
        <v>1196</v>
      </c>
      <c r="D467" s="67" t="s">
        <v>1201</v>
      </c>
      <c r="E467" s="67" t="s">
        <v>1372</v>
      </c>
      <c r="F467" s="67" t="s">
        <v>1641</v>
      </c>
      <c r="G467" s="67" t="s">
        <v>7</v>
      </c>
      <c r="H467" s="68">
        <v>0.3354166666666667</v>
      </c>
      <c r="I467" s="68">
        <v>0.3354166666666667</v>
      </c>
      <c r="J467" s="68"/>
      <c r="K467" s="67" t="s">
        <v>1719</v>
      </c>
      <c r="L467" s="67" t="s">
        <v>1201</v>
      </c>
      <c r="M467" s="67" t="s">
        <v>1372</v>
      </c>
    </row>
    <row r="468" spans="1:13" ht="12" customHeight="1" x14ac:dyDescent="0.2">
      <c r="A468" s="78">
        <v>224548</v>
      </c>
      <c r="B468" s="67" t="s">
        <v>521</v>
      </c>
      <c r="C468" s="67" t="s">
        <v>1196</v>
      </c>
      <c r="D468" s="67" t="s">
        <v>1201</v>
      </c>
      <c r="E468" s="67" t="s">
        <v>1373</v>
      </c>
      <c r="F468" s="67" t="s">
        <v>1650</v>
      </c>
      <c r="G468" s="67" t="s">
        <v>7</v>
      </c>
      <c r="H468" s="68">
        <v>2.0666666666666669</v>
      </c>
      <c r="I468" s="68">
        <v>2.0666666666666669</v>
      </c>
      <c r="J468" s="68"/>
      <c r="K468" s="67" t="s">
        <v>1718</v>
      </c>
      <c r="L468" s="67" t="s">
        <v>1201</v>
      </c>
      <c r="M468" s="67" t="s">
        <v>1373</v>
      </c>
    </row>
    <row r="469" spans="1:13" ht="12" customHeight="1" x14ac:dyDescent="0.2">
      <c r="A469" s="78">
        <v>221149</v>
      </c>
      <c r="B469" s="67" t="s">
        <v>522</v>
      </c>
      <c r="C469" s="67" t="s">
        <v>1196</v>
      </c>
      <c r="D469" s="67" t="s">
        <v>1201</v>
      </c>
      <c r="E469" s="67" t="s">
        <v>1374</v>
      </c>
      <c r="F469" s="67" t="s">
        <v>1650</v>
      </c>
      <c r="G469" s="67" t="s">
        <v>7</v>
      </c>
      <c r="H469" s="68">
        <v>10.689583333333333</v>
      </c>
      <c r="I469" s="68">
        <v>10.689583333333333</v>
      </c>
      <c r="J469" s="68"/>
      <c r="K469" s="67" t="s">
        <v>1720</v>
      </c>
      <c r="L469" s="67" t="s">
        <v>1201</v>
      </c>
      <c r="M469" s="67" t="s">
        <v>1374</v>
      </c>
    </row>
    <row r="470" spans="1:13" ht="12" customHeight="1" x14ac:dyDescent="0.2">
      <c r="A470" s="78">
        <v>231460</v>
      </c>
      <c r="B470" s="67" t="s">
        <v>523</v>
      </c>
      <c r="C470" s="67" t="s">
        <v>1196</v>
      </c>
      <c r="D470" s="67" t="s">
        <v>1201</v>
      </c>
      <c r="E470" s="67" t="s">
        <v>1375</v>
      </c>
      <c r="F470" s="67" t="s">
        <v>1651</v>
      </c>
      <c r="G470" s="67" t="s">
        <v>7</v>
      </c>
      <c r="H470" s="68">
        <v>0.1076388888888889</v>
      </c>
      <c r="I470" s="68">
        <v>0.1076388888888889</v>
      </c>
      <c r="J470" s="68"/>
      <c r="K470" s="67" t="s">
        <v>1718</v>
      </c>
      <c r="L470" s="67" t="s">
        <v>1201</v>
      </c>
      <c r="M470" s="67" t="s">
        <v>1375</v>
      </c>
    </row>
    <row r="471" spans="1:13" ht="12" customHeight="1" x14ac:dyDescent="0.2">
      <c r="A471" s="78">
        <v>202882</v>
      </c>
      <c r="B471" s="67" t="s">
        <v>524</v>
      </c>
      <c r="C471" s="67" t="s">
        <v>1196</v>
      </c>
      <c r="D471" s="67" t="s">
        <v>1201</v>
      </c>
      <c r="E471" s="67" t="s">
        <v>1376</v>
      </c>
      <c r="F471" s="67" t="s">
        <v>1642</v>
      </c>
      <c r="G471" s="67" t="s">
        <v>7</v>
      </c>
      <c r="H471" s="68">
        <v>8.6999999999999993</v>
      </c>
      <c r="I471" s="68">
        <v>8.6999999999999993</v>
      </c>
      <c r="J471" s="68"/>
      <c r="K471" s="67" t="s">
        <v>1720</v>
      </c>
      <c r="L471" s="67" t="s">
        <v>1201</v>
      </c>
      <c r="M471" s="67" t="s">
        <v>1376</v>
      </c>
    </row>
    <row r="472" spans="1:13" ht="12" customHeight="1" x14ac:dyDescent="0.2">
      <c r="A472" s="78">
        <v>223942</v>
      </c>
      <c r="B472" s="67" t="s">
        <v>525</v>
      </c>
      <c r="C472" s="67" t="s">
        <v>1196</v>
      </c>
      <c r="D472" s="67" t="s">
        <v>1201</v>
      </c>
      <c r="E472" s="67" t="s">
        <v>1358</v>
      </c>
      <c r="F472" s="67" t="s">
        <v>1643</v>
      </c>
      <c r="G472" s="67" t="s">
        <v>7</v>
      </c>
      <c r="H472" s="68">
        <v>5.1194444444444445</v>
      </c>
      <c r="I472" s="68">
        <v>5.1194444444444445</v>
      </c>
      <c r="J472" s="68"/>
      <c r="K472" s="67" t="s">
        <v>1718</v>
      </c>
      <c r="L472" s="67" t="s">
        <v>1201</v>
      </c>
      <c r="M472" s="67" t="s">
        <v>1358</v>
      </c>
    </row>
    <row r="473" spans="1:13" ht="12" customHeight="1" x14ac:dyDescent="0.2">
      <c r="A473" s="78">
        <v>236871</v>
      </c>
      <c r="B473" s="67" t="s">
        <v>526</v>
      </c>
      <c r="C473" s="67" t="s">
        <v>1196</v>
      </c>
      <c r="D473" s="67" t="s">
        <v>1201</v>
      </c>
      <c r="E473" s="67" t="s">
        <v>1377</v>
      </c>
      <c r="F473" s="67" t="s">
        <v>1644</v>
      </c>
      <c r="G473" s="67" t="s">
        <v>7</v>
      </c>
      <c r="H473" s="68">
        <v>4.8604166666666666</v>
      </c>
      <c r="I473" s="68">
        <v>4.8604166666666666</v>
      </c>
      <c r="J473" s="68"/>
      <c r="K473" s="67" t="s">
        <v>1718</v>
      </c>
      <c r="L473" s="67" t="s">
        <v>1201</v>
      </c>
      <c r="M473" s="67" t="s">
        <v>1377</v>
      </c>
    </row>
    <row r="474" spans="1:13" ht="12" customHeight="1" x14ac:dyDescent="0.2">
      <c r="A474" s="78">
        <v>236353</v>
      </c>
      <c r="B474" s="67" t="s">
        <v>527</v>
      </c>
      <c r="C474" s="67" t="s">
        <v>1196</v>
      </c>
      <c r="D474" s="67" t="s">
        <v>1201</v>
      </c>
      <c r="E474" s="67" t="s">
        <v>1378</v>
      </c>
      <c r="F474" s="67" t="s">
        <v>1641</v>
      </c>
      <c r="G474" s="67" t="s">
        <v>7</v>
      </c>
      <c r="H474" s="68">
        <v>1.1472222222222221</v>
      </c>
      <c r="I474" s="68">
        <v>1.1472222222222221</v>
      </c>
      <c r="J474" s="68"/>
      <c r="K474" s="67" t="s">
        <v>1719</v>
      </c>
      <c r="L474" s="67" t="s">
        <v>1201</v>
      </c>
      <c r="M474" s="67" t="s">
        <v>1378</v>
      </c>
    </row>
    <row r="475" spans="1:13" ht="12" customHeight="1" x14ac:dyDescent="0.2">
      <c r="A475" s="78">
        <v>223504</v>
      </c>
      <c r="B475" s="67" t="s">
        <v>528</v>
      </c>
      <c r="C475" s="67" t="s">
        <v>1196</v>
      </c>
      <c r="D475" s="67" t="s">
        <v>1201</v>
      </c>
      <c r="E475" s="67" t="s">
        <v>1379</v>
      </c>
      <c r="F475" s="67" t="s">
        <v>1649</v>
      </c>
      <c r="G475" s="67" t="s">
        <v>7</v>
      </c>
      <c r="H475" s="68">
        <v>26.290277777777778</v>
      </c>
      <c r="I475" s="68">
        <v>26.290277777777778</v>
      </c>
      <c r="J475" s="68"/>
      <c r="K475" s="67" t="s">
        <v>1720</v>
      </c>
      <c r="L475" s="67" t="s">
        <v>1201</v>
      </c>
      <c r="M475" s="67" t="s">
        <v>1379</v>
      </c>
    </row>
    <row r="476" spans="1:13" ht="12" customHeight="1" x14ac:dyDescent="0.2">
      <c r="A476" s="78">
        <v>229366</v>
      </c>
      <c r="B476" s="67" t="s">
        <v>529</v>
      </c>
      <c r="C476" s="67" t="s">
        <v>1196</v>
      </c>
      <c r="D476" s="67" t="s">
        <v>1201</v>
      </c>
      <c r="E476" s="67" t="s">
        <v>1373</v>
      </c>
      <c r="F476" s="67" t="s">
        <v>1650</v>
      </c>
      <c r="G476" s="67" t="s">
        <v>7</v>
      </c>
      <c r="H476" s="68">
        <v>2.2562500000000001</v>
      </c>
      <c r="I476" s="68">
        <v>2.2562500000000001</v>
      </c>
      <c r="J476" s="68"/>
      <c r="K476" s="67" t="s">
        <v>1718</v>
      </c>
      <c r="L476" s="67" t="s">
        <v>1201</v>
      </c>
      <c r="M476" s="67" t="s">
        <v>1373</v>
      </c>
    </row>
    <row r="477" spans="1:13" ht="12" customHeight="1" x14ac:dyDescent="0.2">
      <c r="A477" s="78">
        <v>230069</v>
      </c>
      <c r="B477" s="67" t="s">
        <v>530</v>
      </c>
      <c r="C477" s="67" t="s">
        <v>1196</v>
      </c>
      <c r="D477" s="67" t="s">
        <v>1201</v>
      </c>
      <c r="E477" s="67" t="s">
        <v>1380</v>
      </c>
      <c r="F477" s="67" t="s">
        <v>1641</v>
      </c>
      <c r="G477" s="67" t="s">
        <v>7</v>
      </c>
      <c r="H477" s="68">
        <v>0.12152777777777778</v>
      </c>
      <c r="I477" s="68">
        <v>0.12152777777777778</v>
      </c>
      <c r="J477" s="68"/>
      <c r="K477" s="67" t="s">
        <v>1719</v>
      </c>
      <c r="L477" s="67" t="s">
        <v>1201</v>
      </c>
      <c r="M477" s="67" t="s">
        <v>1380</v>
      </c>
    </row>
    <row r="478" spans="1:13" ht="12" customHeight="1" x14ac:dyDescent="0.2">
      <c r="A478" s="78">
        <v>218702</v>
      </c>
      <c r="B478" s="67" t="s">
        <v>531</v>
      </c>
      <c r="C478" s="67" t="s">
        <v>1196</v>
      </c>
      <c r="D478" s="67" t="s">
        <v>1201</v>
      </c>
      <c r="E478" s="67" t="s">
        <v>1374</v>
      </c>
      <c r="F478" s="67" t="s">
        <v>1650</v>
      </c>
      <c r="G478" s="67" t="s">
        <v>7</v>
      </c>
      <c r="H478" s="68">
        <v>9.8166666666666664</v>
      </c>
      <c r="I478" s="68">
        <v>9.8166666666666664</v>
      </c>
      <c r="J478" s="68"/>
      <c r="K478" s="67" t="s">
        <v>1720</v>
      </c>
      <c r="L478" s="67" t="s">
        <v>1201</v>
      </c>
      <c r="M478" s="67" t="s">
        <v>1374</v>
      </c>
    </row>
    <row r="479" spans="1:13" ht="12" customHeight="1" x14ac:dyDescent="0.2">
      <c r="A479" s="78">
        <v>233524</v>
      </c>
      <c r="B479" s="67" t="s">
        <v>532</v>
      </c>
      <c r="C479" s="67" t="s">
        <v>1196</v>
      </c>
      <c r="D479" s="67" t="s">
        <v>1201</v>
      </c>
      <c r="E479" s="67" t="s">
        <v>1364</v>
      </c>
      <c r="F479" s="67" t="s">
        <v>1647</v>
      </c>
      <c r="G479" s="67" t="s">
        <v>7</v>
      </c>
      <c r="H479" s="68">
        <v>8.0687499999999996</v>
      </c>
      <c r="I479" s="68">
        <v>8.0687499999999996</v>
      </c>
      <c r="J479" s="68"/>
      <c r="K479" s="67" t="s">
        <v>1718</v>
      </c>
      <c r="L479" s="67" t="s">
        <v>1201</v>
      </c>
      <c r="M479" s="67" t="s">
        <v>1364</v>
      </c>
    </row>
    <row r="480" spans="1:13" ht="12" customHeight="1" x14ac:dyDescent="0.2">
      <c r="A480" s="78">
        <v>224472</v>
      </c>
      <c r="B480" s="67" t="s">
        <v>533</v>
      </c>
      <c r="C480" s="67" t="s">
        <v>1196</v>
      </c>
      <c r="D480" s="67" t="s">
        <v>1201</v>
      </c>
      <c r="E480" s="67" t="s">
        <v>1358</v>
      </c>
      <c r="F480" s="67" t="s">
        <v>1643</v>
      </c>
      <c r="G480" s="67" t="s">
        <v>7</v>
      </c>
      <c r="H480" s="68">
        <v>13.965972222222222</v>
      </c>
      <c r="I480" s="68">
        <v>13.965972222222222</v>
      </c>
      <c r="J480" s="68"/>
      <c r="K480" s="67" t="s">
        <v>1718</v>
      </c>
      <c r="L480" s="67" t="s">
        <v>1201</v>
      </c>
      <c r="M480" s="67" t="s">
        <v>1358</v>
      </c>
    </row>
    <row r="481" spans="1:13" ht="12" customHeight="1" x14ac:dyDescent="0.2">
      <c r="A481" s="78">
        <v>225521</v>
      </c>
      <c r="B481" s="67" t="s">
        <v>534</v>
      </c>
      <c r="C481" s="67" t="s">
        <v>1196</v>
      </c>
      <c r="D481" s="67" t="s">
        <v>1201</v>
      </c>
      <c r="E481" s="67" t="s">
        <v>1358</v>
      </c>
      <c r="F481" s="67" t="s">
        <v>1643</v>
      </c>
      <c r="G481" s="67" t="s">
        <v>7</v>
      </c>
      <c r="H481" s="68">
        <v>16.925694444444446</v>
      </c>
      <c r="I481" s="68">
        <v>16.925694444444446</v>
      </c>
      <c r="J481" s="68"/>
      <c r="K481" s="67" t="s">
        <v>1718</v>
      </c>
      <c r="L481" s="67" t="s">
        <v>1201</v>
      </c>
      <c r="M481" s="67" t="s">
        <v>1358</v>
      </c>
    </row>
    <row r="482" spans="1:13" ht="12" customHeight="1" x14ac:dyDescent="0.2">
      <c r="A482" s="78">
        <v>225904</v>
      </c>
      <c r="B482" s="67" t="s">
        <v>535</v>
      </c>
      <c r="C482" s="67" t="s">
        <v>1196</v>
      </c>
      <c r="D482" s="67" t="s">
        <v>1201</v>
      </c>
      <c r="E482" s="67" t="s">
        <v>1376</v>
      </c>
      <c r="F482" s="67" t="s">
        <v>1642</v>
      </c>
      <c r="G482" s="67" t="s">
        <v>7</v>
      </c>
      <c r="H482" s="68">
        <v>8.9180555555555561</v>
      </c>
      <c r="I482" s="68">
        <v>8.9180555555555561</v>
      </c>
      <c r="J482" s="68"/>
      <c r="K482" s="67" t="s">
        <v>1721</v>
      </c>
      <c r="L482" s="67" t="s">
        <v>1201</v>
      </c>
      <c r="M482" s="67" t="s">
        <v>1376</v>
      </c>
    </row>
    <row r="483" spans="1:13" ht="12" customHeight="1" x14ac:dyDescent="0.2">
      <c r="A483" s="78">
        <v>202375</v>
      </c>
      <c r="B483" s="67" t="s">
        <v>536</v>
      </c>
      <c r="C483" s="67" t="s">
        <v>1196</v>
      </c>
      <c r="D483" s="67" t="s">
        <v>1201</v>
      </c>
      <c r="E483" s="67" t="s">
        <v>1381</v>
      </c>
      <c r="F483" s="67" t="s">
        <v>1643</v>
      </c>
      <c r="G483" s="67" t="s">
        <v>7</v>
      </c>
      <c r="H483" s="68">
        <v>0.16388888888888889</v>
      </c>
      <c r="I483" s="68">
        <v>0.16388888888888889</v>
      </c>
      <c r="J483" s="68"/>
      <c r="K483" s="67" t="s">
        <v>1721</v>
      </c>
      <c r="L483" s="67" t="s">
        <v>1201</v>
      </c>
      <c r="M483" s="67" t="s">
        <v>1381</v>
      </c>
    </row>
    <row r="484" spans="1:13" ht="12" customHeight="1" x14ac:dyDescent="0.2">
      <c r="A484" s="78">
        <v>218514</v>
      </c>
      <c r="B484" s="67" t="s">
        <v>537</v>
      </c>
      <c r="C484" s="67" t="s">
        <v>1196</v>
      </c>
      <c r="D484" s="67" t="s">
        <v>1201</v>
      </c>
      <c r="E484" s="67" t="s">
        <v>1354</v>
      </c>
      <c r="F484" s="67" t="s">
        <v>1640</v>
      </c>
      <c r="G484" s="67" t="s">
        <v>7</v>
      </c>
      <c r="H484" s="68">
        <v>0.22916666666666666</v>
      </c>
      <c r="I484" s="68">
        <v>0.22916666666666666</v>
      </c>
      <c r="J484" s="68"/>
      <c r="K484" s="67" t="s">
        <v>1721</v>
      </c>
      <c r="L484" s="67" t="s">
        <v>1201</v>
      </c>
      <c r="M484" s="67" t="s">
        <v>1354</v>
      </c>
    </row>
    <row r="485" spans="1:13" ht="12" customHeight="1" x14ac:dyDescent="0.2">
      <c r="A485" s="78">
        <v>201900</v>
      </c>
      <c r="B485" s="67" t="s">
        <v>538</v>
      </c>
      <c r="C485" s="67" t="s">
        <v>1196</v>
      </c>
      <c r="D485" s="67" t="s">
        <v>1201</v>
      </c>
      <c r="E485" s="67" t="s">
        <v>1382</v>
      </c>
      <c r="F485" s="67" t="s">
        <v>1652</v>
      </c>
      <c r="G485" s="67" t="s">
        <v>7</v>
      </c>
      <c r="H485" s="68">
        <v>3.8479166666666669</v>
      </c>
      <c r="I485" s="68">
        <v>3.8479166666666669</v>
      </c>
      <c r="J485" s="68"/>
      <c r="K485" s="67" t="s">
        <v>1721</v>
      </c>
      <c r="L485" s="67" t="s">
        <v>1201</v>
      </c>
      <c r="M485" s="67" t="s">
        <v>1382</v>
      </c>
    </row>
    <row r="486" spans="1:13" ht="12" customHeight="1" x14ac:dyDescent="0.2">
      <c r="A486" s="78">
        <v>201783</v>
      </c>
      <c r="B486" s="67" t="s">
        <v>539</v>
      </c>
      <c r="C486" s="67" t="s">
        <v>1196</v>
      </c>
      <c r="D486" s="67" t="s">
        <v>1201</v>
      </c>
      <c r="E486" s="67" t="s">
        <v>1362</v>
      </c>
      <c r="F486" s="67" t="s">
        <v>1646</v>
      </c>
      <c r="G486" s="67" t="s">
        <v>7</v>
      </c>
      <c r="H486" s="68">
        <v>5.0826388888888889</v>
      </c>
      <c r="I486" s="68">
        <v>5.0826388888888889</v>
      </c>
      <c r="J486" s="68"/>
      <c r="K486" s="67" t="s">
        <v>1721</v>
      </c>
      <c r="L486" s="67" t="s">
        <v>1201</v>
      </c>
      <c r="M486" s="67" t="s">
        <v>1362</v>
      </c>
    </row>
    <row r="487" spans="1:13" ht="12" customHeight="1" x14ac:dyDescent="0.2">
      <c r="A487" s="78">
        <v>233411</v>
      </c>
      <c r="B487" s="67" t="s">
        <v>540</v>
      </c>
      <c r="C487" s="67" t="s">
        <v>1196</v>
      </c>
      <c r="D487" s="67" t="s">
        <v>1201</v>
      </c>
      <c r="E487" s="67" t="s">
        <v>1383</v>
      </c>
      <c r="F487" s="67" t="s">
        <v>1653</v>
      </c>
      <c r="G487" s="67" t="s">
        <v>7</v>
      </c>
      <c r="H487" s="68">
        <v>4.6687500000000002</v>
      </c>
      <c r="I487" s="68">
        <v>4.6687500000000002</v>
      </c>
      <c r="J487" s="68"/>
      <c r="K487" s="67" t="s">
        <v>1718</v>
      </c>
      <c r="L487" s="67" t="s">
        <v>1201</v>
      </c>
      <c r="M487" s="67" t="s">
        <v>1383</v>
      </c>
    </row>
    <row r="488" spans="1:13" ht="12" customHeight="1" x14ac:dyDescent="0.2">
      <c r="A488" s="78">
        <v>235496</v>
      </c>
      <c r="B488" s="67" t="s">
        <v>541</v>
      </c>
      <c r="C488" s="67" t="s">
        <v>1196</v>
      </c>
      <c r="D488" s="67" t="s">
        <v>1201</v>
      </c>
      <c r="E488" s="67" t="s">
        <v>1370</v>
      </c>
      <c r="F488" s="67" t="s">
        <v>1646</v>
      </c>
      <c r="G488" s="67" t="s">
        <v>7</v>
      </c>
      <c r="H488" s="68">
        <v>1.5187499999999998</v>
      </c>
      <c r="I488" s="68">
        <v>1.5187499999999998</v>
      </c>
      <c r="J488" s="68"/>
      <c r="K488" s="67" t="s">
        <v>1718</v>
      </c>
      <c r="L488" s="67" t="s">
        <v>1201</v>
      </c>
      <c r="M488" s="67" t="s">
        <v>1370</v>
      </c>
    </row>
    <row r="489" spans="1:13" ht="12" customHeight="1" x14ac:dyDescent="0.2">
      <c r="A489" s="78">
        <v>224785</v>
      </c>
      <c r="B489" s="67" t="s">
        <v>542</v>
      </c>
      <c r="C489" s="67" t="s">
        <v>1196</v>
      </c>
      <c r="D489" s="67" t="s">
        <v>1201</v>
      </c>
      <c r="E489" s="67" t="s">
        <v>1357</v>
      </c>
      <c r="F489" s="67" t="s">
        <v>1642</v>
      </c>
      <c r="G489" s="67" t="s">
        <v>7</v>
      </c>
      <c r="H489" s="68">
        <v>6.8236111111111111</v>
      </c>
      <c r="I489" s="68">
        <v>6.8236111111111111</v>
      </c>
      <c r="J489" s="68"/>
      <c r="K489" s="67" t="s">
        <v>1718</v>
      </c>
      <c r="L489" s="67" t="s">
        <v>1201</v>
      </c>
      <c r="M489" s="67" t="s">
        <v>1357</v>
      </c>
    </row>
    <row r="490" spans="1:13" ht="12" customHeight="1" x14ac:dyDescent="0.2">
      <c r="A490" s="78">
        <v>203327</v>
      </c>
      <c r="B490" s="67" t="s">
        <v>543</v>
      </c>
      <c r="C490" s="67" t="s">
        <v>1196</v>
      </c>
      <c r="D490" s="67" t="s">
        <v>1201</v>
      </c>
      <c r="E490" s="67" t="s">
        <v>1376</v>
      </c>
      <c r="F490" s="67" t="s">
        <v>1642</v>
      </c>
      <c r="G490" s="67" t="s">
        <v>7</v>
      </c>
      <c r="H490" s="68">
        <v>6.864583333333333</v>
      </c>
      <c r="I490" s="68">
        <v>6.864583333333333</v>
      </c>
      <c r="J490" s="68"/>
      <c r="K490" s="67" t="s">
        <v>1722</v>
      </c>
      <c r="L490" s="67" t="s">
        <v>1201</v>
      </c>
      <c r="M490" s="67" t="s">
        <v>1376</v>
      </c>
    </row>
    <row r="491" spans="1:13" ht="12" customHeight="1" x14ac:dyDescent="0.2">
      <c r="A491" s="78">
        <v>236969</v>
      </c>
      <c r="B491" s="67" t="s">
        <v>544</v>
      </c>
      <c r="C491" s="67" t="s">
        <v>1196</v>
      </c>
      <c r="D491" s="67" t="s">
        <v>1201</v>
      </c>
      <c r="E491" s="67" t="s">
        <v>1384</v>
      </c>
      <c r="F491" s="67" t="s">
        <v>1654</v>
      </c>
      <c r="G491" s="67" t="s">
        <v>7</v>
      </c>
      <c r="H491" s="68">
        <v>0.46388888888888885</v>
      </c>
      <c r="I491" s="68">
        <v>0.46388888888888885</v>
      </c>
      <c r="J491" s="68"/>
      <c r="K491" s="67" t="s">
        <v>1718</v>
      </c>
      <c r="L491" s="67" t="s">
        <v>1201</v>
      </c>
      <c r="M491" s="67" t="s">
        <v>1384</v>
      </c>
    </row>
    <row r="492" spans="1:13" ht="12" customHeight="1" x14ac:dyDescent="0.2">
      <c r="A492" s="78">
        <v>218483</v>
      </c>
      <c r="B492" s="67" t="s">
        <v>545</v>
      </c>
      <c r="C492" s="67" t="s">
        <v>1196</v>
      </c>
      <c r="D492" s="67" t="s">
        <v>1201</v>
      </c>
      <c r="E492" s="67" t="s">
        <v>1365</v>
      </c>
      <c r="F492" s="67" t="s">
        <v>1648</v>
      </c>
      <c r="G492" s="67" t="s">
        <v>7</v>
      </c>
      <c r="H492" s="68">
        <v>0.19999999999999998</v>
      </c>
      <c r="I492" s="68">
        <v>0.19999999999999998</v>
      </c>
      <c r="J492" s="68"/>
      <c r="K492" s="67" t="s">
        <v>1720</v>
      </c>
      <c r="L492" s="67" t="s">
        <v>1201</v>
      </c>
      <c r="M492" s="67" t="s">
        <v>1365</v>
      </c>
    </row>
    <row r="493" spans="1:13" ht="12" customHeight="1" x14ac:dyDescent="0.2">
      <c r="A493" s="78">
        <v>234647</v>
      </c>
      <c r="B493" s="67" t="s">
        <v>546</v>
      </c>
      <c r="C493" s="67" t="s">
        <v>1196</v>
      </c>
      <c r="D493" s="67" t="s">
        <v>1201</v>
      </c>
      <c r="E493" s="67" t="s">
        <v>1366</v>
      </c>
      <c r="F493" s="67" t="s">
        <v>1640</v>
      </c>
      <c r="G493" s="67" t="s">
        <v>7</v>
      </c>
      <c r="H493" s="68">
        <v>0.29722222222222222</v>
      </c>
      <c r="I493" s="68">
        <v>0.29722222222222222</v>
      </c>
      <c r="J493" s="68"/>
      <c r="K493" s="67" t="s">
        <v>1718</v>
      </c>
      <c r="L493" s="67" t="s">
        <v>1201</v>
      </c>
      <c r="M493" s="67" t="s">
        <v>1366</v>
      </c>
    </row>
    <row r="494" spans="1:13" ht="12" customHeight="1" x14ac:dyDescent="0.2">
      <c r="A494" s="78">
        <v>236859</v>
      </c>
      <c r="B494" s="67" t="s">
        <v>547</v>
      </c>
      <c r="C494" s="67" t="s">
        <v>1196</v>
      </c>
      <c r="D494" s="67" t="s">
        <v>1201</v>
      </c>
      <c r="E494" s="67" t="s">
        <v>1377</v>
      </c>
      <c r="F494" s="67" t="s">
        <v>1644</v>
      </c>
      <c r="G494" s="67" t="s">
        <v>7</v>
      </c>
      <c r="H494" s="68">
        <v>5.5</v>
      </c>
      <c r="I494" s="68">
        <v>5.5</v>
      </c>
      <c r="J494" s="68"/>
      <c r="K494" s="67" t="s">
        <v>1718</v>
      </c>
      <c r="L494" s="67" t="s">
        <v>1201</v>
      </c>
      <c r="M494" s="67" t="s">
        <v>1377</v>
      </c>
    </row>
    <row r="495" spans="1:13" ht="12" customHeight="1" x14ac:dyDescent="0.2">
      <c r="A495" s="78">
        <v>202364</v>
      </c>
      <c r="B495" s="67" t="s">
        <v>548</v>
      </c>
      <c r="C495" s="67" t="s">
        <v>1196</v>
      </c>
      <c r="D495" s="67" t="s">
        <v>1201</v>
      </c>
      <c r="E495" s="67" t="s">
        <v>1381</v>
      </c>
      <c r="F495" s="67" t="s">
        <v>1643</v>
      </c>
      <c r="G495" s="67" t="s">
        <v>7</v>
      </c>
      <c r="H495" s="68">
        <v>11.53888888888889</v>
      </c>
      <c r="I495" s="68">
        <v>11.53888888888889</v>
      </c>
      <c r="J495" s="68"/>
      <c r="K495" s="67" t="s">
        <v>1720</v>
      </c>
      <c r="L495" s="67" t="s">
        <v>1201</v>
      </c>
      <c r="M495" s="67" t="s">
        <v>1381</v>
      </c>
    </row>
    <row r="496" spans="1:13" ht="12" customHeight="1" x14ac:dyDescent="0.2">
      <c r="A496" s="78">
        <v>232512</v>
      </c>
      <c r="B496" s="67" t="s">
        <v>549</v>
      </c>
      <c r="C496" s="67" t="s">
        <v>1196</v>
      </c>
      <c r="D496" s="67" t="s">
        <v>1201</v>
      </c>
      <c r="E496" s="67" t="s">
        <v>1367</v>
      </c>
      <c r="F496" s="67" t="s">
        <v>1649</v>
      </c>
      <c r="G496" s="67" t="s">
        <v>7</v>
      </c>
      <c r="H496" s="68">
        <v>11.929166666666667</v>
      </c>
      <c r="I496" s="68">
        <v>11.929166666666667</v>
      </c>
      <c r="J496" s="68"/>
      <c r="K496" s="67" t="s">
        <v>1718</v>
      </c>
      <c r="L496" s="67" t="s">
        <v>1201</v>
      </c>
      <c r="M496" s="67" t="s">
        <v>1367</v>
      </c>
    </row>
    <row r="497" spans="1:13" ht="12" customHeight="1" x14ac:dyDescent="0.2">
      <c r="A497" s="78">
        <v>231051</v>
      </c>
      <c r="B497" s="67" t="s">
        <v>550</v>
      </c>
      <c r="C497" s="67" t="s">
        <v>1196</v>
      </c>
      <c r="D497" s="67" t="s">
        <v>1201</v>
      </c>
      <c r="E497" s="67" t="s">
        <v>1370</v>
      </c>
      <c r="F497" s="67" t="s">
        <v>1646</v>
      </c>
      <c r="G497" s="67" t="s">
        <v>7</v>
      </c>
      <c r="H497" s="68">
        <v>1.1902777777777778</v>
      </c>
      <c r="I497" s="68">
        <v>1.1902777777777778</v>
      </c>
      <c r="J497" s="68"/>
      <c r="K497" s="67" t="s">
        <v>1718</v>
      </c>
      <c r="L497" s="67" t="s">
        <v>1201</v>
      </c>
      <c r="M497" s="67" t="s">
        <v>1370</v>
      </c>
    </row>
    <row r="498" spans="1:13" ht="12" customHeight="1" x14ac:dyDescent="0.2">
      <c r="A498" s="78">
        <v>230145</v>
      </c>
      <c r="B498" s="67" t="s">
        <v>551</v>
      </c>
      <c r="C498" s="67" t="s">
        <v>1196</v>
      </c>
      <c r="D498" s="67" t="s">
        <v>1201</v>
      </c>
      <c r="E498" s="67" t="s">
        <v>1376</v>
      </c>
      <c r="F498" s="67" t="s">
        <v>1642</v>
      </c>
      <c r="G498" s="67" t="s">
        <v>7</v>
      </c>
      <c r="H498" s="68">
        <v>15.639583333333333</v>
      </c>
      <c r="I498" s="68">
        <v>15.639583333333333</v>
      </c>
      <c r="J498" s="68"/>
      <c r="K498" s="67" t="s">
        <v>1720</v>
      </c>
      <c r="L498" s="67" t="s">
        <v>1201</v>
      </c>
      <c r="M498" s="67" t="s">
        <v>1376</v>
      </c>
    </row>
    <row r="499" spans="1:13" ht="12" customHeight="1" x14ac:dyDescent="0.2">
      <c r="A499" s="78">
        <v>219230</v>
      </c>
      <c r="B499" s="67" t="s">
        <v>552</v>
      </c>
      <c r="C499" s="67" t="s">
        <v>1196</v>
      </c>
      <c r="D499" s="67" t="s">
        <v>1201</v>
      </c>
      <c r="E499" s="67" t="s">
        <v>1362</v>
      </c>
      <c r="F499" s="67" t="s">
        <v>1646</v>
      </c>
      <c r="G499" s="67" t="s">
        <v>7</v>
      </c>
      <c r="H499" s="68">
        <v>9.4854166666666675</v>
      </c>
      <c r="I499" s="68">
        <v>9.4854166666666675</v>
      </c>
      <c r="J499" s="68"/>
      <c r="K499" s="67" t="s">
        <v>1720</v>
      </c>
      <c r="L499" s="67" t="s">
        <v>1201</v>
      </c>
      <c r="M499" s="67" t="s">
        <v>1362</v>
      </c>
    </row>
    <row r="500" spans="1:13" ht="12" customHeight="1" x14ac:dyDescent="0.2">
      <c r="A500" s="78">
        <v>214218</v>
      </c>
      <c r="B500" s="67" t="s">
        <v>553</v>
      </c>
      <c r="C500" s="67" t="s">
        <v>1196</v>
      </c>
      <c r="D500" s="67" t="s">
        <v>1201</v>
      </c>
      <c r="E500" s="67" t="s">
        <v>1379</v>
      </c>
      <c r="F500" s="67" t="s">
        <v>1649</v>
      </c>
      <c r="G500" s="67" t="s">
        <v>7</v>
      </c>
      <c r="H500" s="68">
        <v>1.2597222222222222</v>
      </c>
      <c r="I500" s="68">
        <v>1.2597222222222222</v>
      </c>
      <c r="J500" s="68"/>
      <c r="K500" s="67" t="s">
        <v>1721</v>
      </c>
      <c r="L500" s="67" t="s">
        <v>1201</v>
      </c>
      <c r="M500" s="67" t="s">
        <v>1379</v>
      </c>
    </row>
    <row r="501" spans="1:13" ht="12" customHeight="1" x14ac:dyDescent="0.2">
      <c r="A501" s="78">
        <v>201691</v>
      </c>
      <c r="B501" s="67" t="s">
        <v>554</v>
      </c>
      <c r="C501" s="67" t="s">
        <v>1196</v>
      </c>
      <c r="D501" s="67" t="s">
        <v>1201</v>
      </c>
      <c r="E501" s="67" t="s">
        <v>1357</v>
      </c>
      <c r="F501" s="67" t="s">
        <v>1642</v>
      </c>
      <c r="G501" s="67" t="s">
        <v>7</v>
      </c>
      <c r="H501" s="68">
        <v>2</v>
      </c>
      <c r="I501" s="68">
        <v>2</v>
      </c>
      <c r="J501" s="68"/>
      <c r="K501" s="67" t="s">
        <v>1718</v>
      </c>
      <c r="L501" s="67" t="s">
        <v>1201</v>
      </c>
      <c r="M501" s="67" t="s">
        <v>1357</v>
      </c>
    </row>
    <row r="502" spans="1:13" ht="12" customHeight="1" x14ac:dyDescent="0.2">
      <c r="A502" s="78">
        <v>224001</v>
      </c>
      <c r="B502" s="67" t="s">
        <v>555</v>
      </c>
      <c r="C502" s="67" t="s">
        <v>1196</v>
      </c>
      <c r="D502" s="67" t="s">
        <v>1201</v>
      </c>
      <c r="E502" s="67" t="s">
        <v>1366</v>
      </c>
      <c r="F502" s="67" t="s">
        <v>1640</v>
      </c>
      <c r="G502" s="67" t="s">
        <v>7</v>
      </c>
      <c r="H502" s="68">
        <v>2.7326388888888888</v>
      </c>
      <c r="I502" s="68">
        <v>2.7326388888888888</v>
      </c>
      <c r="J502" s="68"/>
      <c r="K502" s="67" t="s">
        <v>1718</v>
      </c>
      <c r="L502" s="67" t="s">
        <v>1201</v>
      </c>
      <c r="M502" s="67" t="s">
        <v>1366</v>
      </c>
    </row>
    <row r="503" spans="1:13" ht="12" customHeight="1" x14ac:dyDescent="0.2">
      <c r="A503" s="78">
        <v>217977</v>
      </c>
      <c r="B503" s="67" t="s">
        <v>556</v>
      </c>
      <c r="C503" s="67" t="s">
        <v>1196</v>
      </c>
      <c r="D503" s="67" t="s">
        <v>1201</v>
      </c>
      <c r="E503" s="67" t="s">
        <v>1381</v>
      </c>
      <c r="F503" s="67" t="s">
        <v>1643</v>
      </c>
      <c r="G503" s="67" t="s">
        <v>7</v>
      </c>
      <c r="H503" s="68">
        <v>18.90763888888889</v>
      </c>
      <c r="I503" s="68">
        <v>18.90763888888889</v>
      </c>
      <c r="J503" s="68"/>
      <c r="K503" s="67" t="s">
        <v>1720</v>
      </c>
      <c r="L503" s="67" t="s">
        <v>1201</v>
      </c>
      <c r="M503" s="67" t="s">
        <v>1381</v>
      </c>
    </row>
    <row r="504" spans="1:13" ht="12" customHeight="1" x14ac:dyDescent="0.2">
      <c r="A504" s="78">
        <v>234952</v>
      </c>
      <c r="B504" s="67" t="s">
        <v>557</v>
      </c>
      <c r="C504" s="67" t="s">
        <v>1196</v>
      </c>
      <c r="D504" s="67" t="s">
        <v>1201</v>
      </c>
      <c r="E504" s="67" t="s">
        <v>1385</v>
      </c>
      <c r="F504" s="67" t="s">
        <v>1654</v>
      </c>
      <c r="G504" s="67" t="s">
        <v>7</v>
      </c>
      <c r="H504" s="68">
        <v>0.89583333333333337</v>
      </c>
      <c r="I504" s="68">
        <v>0.89583333333333337</v>
      </c>
      <c r="J504" s="68"/>
      <c r="K504" s="67" t="s">
        <v>1721</v>
      </c>
      <c r="L504" s="67" t="s">
        <v>1201</v>
      </c>
      <c r="M504" s="67" t="s">
        <v>1385</v>
      </c>
    </row>
    <row r="505" spans="1:13" ht="12" customHeight="1" x14ac:dyDescent="0.2">
      <c r="A505" s="78">
        <v>233014</v>
      </c>
      <c r="B505" s="67" t="s">
        <v>558</v>
      </c>
      <c r="C505" s="67" t="s">
        <v>1196</v>
      </c>
      <c r="D505" s="67" t="s">
        <v>1201</v>
      </c>
      <c r="E505" s="67" t="s">
        <v>1386</v>
      </c>
      <c r="F505" s="67" t="s">
        <v>1641</v>
      </c>
      <c r="G505" s="67" t="s">
        <v>7</v>
      </c>
      <c r="H505" s="68">
        <v>1.0472222222222223</v>
      </c>
      <c r="I505" s="68">
        <v>1.0472222222222223</v>
      </c>
      <c r="J505" s="68"/>
      <c r="K505" s="67" t="s">
        <v>1719</v>
      </c>
      <c r="L505" s="67" t="s">
        <v>1201</v>
      </c>
      <c r="M505" s="67" t="s">
        <v>1386</v>
      </c>
    </row>
    <row r="506" spans="1:13" ht="12" customHeight="1" x14ac:dyDescent="0.2">
      <c r="A506" s="78">
        <v>236044</v>
      </c>
      <c r="B506" s="67" t="s">
        <v>559</v>
      </c>
      <c r="C506" s="67" t="s">
        <v>1196</v>
      </c>
      <c r="D506" s="67" t="s">
        <v>1201</v>
      </c>
      <c r="E506" s="67" t="s">
        <v>1387</v>
      </c>
      <c r="F506" s="67" t="s">
        <v>1653</v>
      </c>
      <c r="G506" s="67" t="s">
        <v>7</v>
      </c>
      <c r="H506" s="68">
        <v>1.5729166666666665</v>
      </c>
      <c r="I506" s="68">
        <v>1.5729166666666665</v>
      </c>
      <c r="J506" s="68"/>
      <c r="K506" s="67" t="s">
        <v>1721</v>
      </c>
      <c r="L506" s="67" t="s">
        <v>1201</v>
      </c>
      <c r="M506" s="67" t="s">
        <v>1387</v>
      </c>
    </row>
    <row r="507" spans="1:13" ht="12" customHeight="1" x14ac:dyDescent="0.2">
      <c r="A507" s="78">
        <v>234648</v>
      </c>
      <c r="B507" s="67" t="s">
        <v>560</v>
      </c>
      <c r="C507" s="67" t="s">
        <v>1196</v>
      </c>
      <c r="D507" s="67" t="s">
        <v>1201</v>
      </c>
      <c r="E507" s="67" t="s">
        <v>1367</v>
      </c>
      <c r="F507" s="67" t="s">
        <v>1649</v>
      </c>
      <c r="G507" s="67" t="s">
        <v>7</v>
      </c>
      <c r="H507" s="68">
        <v>8.4409722222222214</v>
      </c>
      <c r="I507" s="68">
        <v>8.4409722222222214</v>
      </c>
      <c r="J507" s="68"/>
      <c r="K507" s="67" t="s">
        <v>1718</v>
      </c>
      <c r="L507" s="67" t="s">
        <v>1201</v>
      </c>
      <c r="M507" s="67" t="s">
        <v>1367</v>
      </c>
    </row>
    <row r="508" spans="1:13" ht="12" customHeight="1" x14ac:dyDescent="0.2">
      <c r="A508" s="78">
        <v>202699</v>
      </c>
      <c r="B508" s="67" t="s">
        <v>561</v>
      </c>
      <c r="C508" s="67" t="s">
        <v>1196</v>
      </c>
      <c r="D508" s="67" t="s">
        <v>1201</v>
      </c>
      <c r="E508" s="67" t="s">
        <v>1364</v>
      </c>
      <c r="F508" s="67" t="s">
        <v>1647</v>
      </c>
      <c r="G508" s="67" t="s">
        <v>7</v>
      </c>
      <c r="H508" s="68">
        <v>7.9333333333333336</v>
      </c>
      <c r="I508" s="68">
        <v>7.9333333333333336</v>
      </c>
      <c r="J508" s="68"/>
      <c r="K508" s="67" t="s">
        <v>1718</v>
      </c>
      <c r="L508" s="67" t="s">
        <v>1201</v>
      </c>
      <c r="M508" s="67" t="s">
        <v>1364</v>
      </c>
    </row>
    <row r="509" spans="1:13" ht="12" customHeight="1" x14ac:dyDescent="0.2">
      <c r="A509" s="78">
        <v>236530</v>
      </c>
      <c r="B509" s="67" t="s">
        <v>562</v>
      </c>
      <c r="C509" s="67" t="s">
        <v>1196</v>
      </c>
      <c r="D509" s="67" t="s">
        <v>1201</v>
      </c>
      <c r="E509" s="67" t="s">
        <v>1387</v>
      </c>
      <c r="F509" s="67" t="s">
        <v>1653</v>
      </c>
      <c r="G509" s="67" t="s">
        <v>7</v>
      </c>
      <c r="H509" s="68">
        <v>7.0173611111111107</v>
      </c>
      <c r="I509" s="68">
        <v>7.0173611111111107</v>
      </c>
      <c r="J509" s="68"/>
      <c r="K509" s="67" t="s">
        <v>1720</v>
      </c>
      <c r="L509" s="67" t="s">
        <v>1201</v>
      </c>
      <c r="M509" s="67" t="s">
        <v>1387</v>
      </c>
    </row>
    <row r="510" spans="1:13" ht="12" customHeight="1" x14ac:dyDescent="0.2">
      <c r="A510" s="78">
        <v>230067</v>
      </c>
      <c r="B510" s="67" t="s">
        <v>563</v>
      </c>
      <c r="C510" s="67" t="s">
        <v>1196</v>
      </c>
      <c r="D510" s="67" t="s">
        <v>1201</v>
      </c>
      <c r="E510" s="67" t="s">
        <v>1388</v>
      </c>
      <c r="F510" s="67" t="s">
        <v>1645</v>
      </c>
      <c r="G510" s="67" t="s">
        <v>7</v>
      </c>
      <c r="H510" s="68">
        <v>0.76041666666666663</v>
      </c>
      <c r="I510" s="68">
        <v>0.76041666666666663</v>
      </c>
      <c r="J510" s="68"/>
      <c r="K510" s="67" t="s">
        <v>1718</v>
      </c>
      <c r="L510" s="67" t="s">
        <v>1201</v>
      </c>
      <c r="M510" s="67" t="s">
        <v>1388</v>
      </c>
    </row>
    <row r="511" spans="1:13" ht="12" customHeight="1" x14ac:dyDescent="0.2">
      <c r="A511" s="78">
        <v>201872</v>
      </c>
      <c r="B511" s="67" t="s">
        <v>564</v>
      </c>
      <c r="C511" s="67" t="s">
        <v>1196</v>
      </c>
      <c r="D511" s="67" t="s">
        <v>1201</v>
      </c>
      <c r="E511" s="67" t="s">
        <v>1382</v>
      </c>
      <c r="F511" s="67" t="s">
        <v>1652</v>
      </c>
      <c r="G511" s="67" t="s">
        <v>7</v>
      </c>
      <c r="H511" s="68">
        <v>0.24930555555555556</v>
      </c>
      <c r="I511" s="68">
        <v>0.24930555555555556</v>
      </c>
      <c r="J511" s="68"/>
      <c r="K511" s="67" t="s">
        <v>1720</v>
      </c>
      <c r="L511" s="67" t="s">
        <v>1201</v>
      </c>
      <c r="M511" s="67" t="s">
        <v>1382</v>
      </c>
    </row>
    <row r="512" spans="1:13" ht="12" customHeight="1" x14ac:dyDescent="0.2">
      <c r="A512" s="78">
        <v>234788</v>
      </c>
      <c r="B512" s="67" t="s">
        <v>565</v>
      </c>
      <c r="C512" s="67" t="s">
        <v>1196</v>
      </c>
      <c r="D512" s="67" t="s">
        <v>1201</v>
      </c>
      <c r="E512" s="67" t="s">
        <v>1384</v>
      </c>
      <c r="F512" s="67" t="s">
        <v>1654</v>
      </c>
      <c r="G512" s="67" t="s">
        <v>7</v>
      </c>
      <c r="H512" s="68">
        <v>2.6284722222222223</v>
      </c>
      <c r="I512" s="68">
        <v>2.6284722222222223</v>
      </c>
      <c r="J512" s="68"/>
      <c r="K512" s="67" t="s">
        <v>1718</v>
      </c>
      <c r="L512" s="67" t="s">
        <v>1201</v>
      </c>
      <c r="M512" s="67" t="s">
        <v>1384</v>
      </c>
    </row>
    <row r="513" spans="1:13" ht="12" customHeight="1" x14ac:dyDescent="0.2">
      <c r="A513" s="78">
        <v>235727</v>
      </c>
      <c r="B513" s="67" t="s">
        <v>566</v>
      </c>
      <c r="C513" s="67" t="s">
        <v>1196</v>
      </c>
      <c r="D513" s="67" t="s">
        <v>1201</v>
      </c>
      <c r="E513" s="67" t="s">
        <v>1353</v>
      </c>
      <c r="F513" s="67" t="s">
        <v>1639</v>
      </c>
      <c r="G513" s="67" t="s">
        <v>7</v>
      </c>
      <c r="H513" s="68">
        <v>0.41666666666666669</v>
      </c>
      <c r="I513" s="68">
        <v>0.41666666666666669</v>
      </c>
      <c r="J513" s="68"/>
      <c r="K513" s="67" t="s">
        <v>1720</v>
      </c>
      <c r="L513" s="67" t="s">
        <v>1201</v>
      </c>
      <c r="M513" s="67" t="s">
        <v>1353</v>
      </c>
    </row>
    <row r="514" spans="1:13" ht="12" customHeight="1" x14ac:dyDescent="0.2">
      <c r="A514" s="78">
        <v>230740</v>
      </c>
      <c r="B514" s="67" t="s">
        <v>567</v>
      </c>
      <c r="C514" s="67" t="s">
        <v>1196</v>
      </c>
      <c r="D514" s="67" t="s">
        <v>1201</v>
      </c>
      <c r="E514" s="67" t="s">
        <v>1383</v>
      </c>
      <c r="F514" s="67" t="s">
        <v>1653</v>
      </c>
      <c r="G514" s="67" t="s">
        <v>8</v>
      </c>
      <c r="H514" s="68">
        <v>9.9215277777777775</v>
      </c>
      <c r="I514" s="68"/>
      <c r="J514" s="68">
        <v>9.9215277777777775</v>
      </c>
      <c r="K514" s="67" t="s">
        <v>1718</v>
      </c>
      <c r="L514" s="67" t="s">
        <v>1201</v>
      </c>
      <c r="M514" s="67" t="s">
        <v>1383</v>
      </c>
    </row>
    <row r="515" spans="1:13" ht="12" customHeight="1" x14ac:dyDescent="0.2">
      <c r="A515" s="78">
        <v>234673</v>
      </c>
      <c r="B515" s="67" t="s">
        <v>568</v>
      </c>
      <c r="C515" s="67" t="s">
        <v>1196</v>
      </c>
      <c r="D515" s="67" t="s">
        <v>1201</v>
      </c>
      <c r="E515" s="67" t="s">
        <v>1383</v>
      </c>
      <c r="F515" s="67" t="s">
        <v>1653</v>
      </c>
      <c r="G515" s="67" t="s">
        <v>8</v>
      </c>
      <c r="H515" s="68">
        <v>4.9333333333333336</v>
      </c>
      <c r="I515" s="68"/>
      <c r="J515" s="68">
        <v>4.9333333333333336</v>
      </c>
      <c r="K515" s="67" t="s">
        <v>1718</v>
      </c>
      <c r="L515" s="67" t="s">
        <v>1201</v>
      </c>
      <c r="M515" s="67" t="s">
        <v>1383</v>
      </c>
    </row>
    <row r="516" spans="1:13" ht="12" customHeight="1" x14ac:dyDescent="0.2">
      <c r="A516" s="78">
        <v>235056</v>
      </c>
      <c r="B516" s="67" t="s">
        <v>569</v>
      </c>
      <c r="C516" s="67" t="s">
        <v>1196</v>
      </c>
      <c r="D516" s="67" t="s">
        <v>1201</v>
      </c>
      <c r="E516" s="67" t="s">
        <v>1383</v>
      </c>
      <c r="F516" s="67" t="s">
        <v>1653</v>
      </c>
      <c r="G516" s="67" t="s">
        <v>8</v>
      </c>
      <c r="H516" s="68">
        <v>3.1374999999999997</v>
      </c>
      <c r="I516" s="68"/>
      <c r="J516" s="68">
        <v>3.1374999999999997</v>
      </c>
      <c r="K516" s="67" t="s">
        <v>1718</v>
      </c>
      <c r="L516" s="67" t="s">
        <v>1201</v>
      </c>
      <c r="M516" s="67" t="s">
        <v>1383</v>
      </c>
    </row>
    <row r="517" spans="1:13" ht="12" customHeight="1" x14ac:dyDescent="0.2">
      <c r="A517" s="78">
        <v>231296</v>
      </c>
      <c r="B517" s="67" t="s">
        <v>570</v>
      </c>
      <c r="C517" s="67" t="s">
        <v>1196</v>
      </c>
      <c r="D517" s="67" t="s">
        <v>1201</v>
      </c>
      <c r="E517" s="67" t="s">
        <v>1383</v>
      </c>
      <c r="F517" s="67" t="s">
        <v>1653</v>
      </c>
      <c r="G517" s="67" t="s">
        <v>8</v>
      </c>
      <c r="H517" s="68">
        <v>3.1034722222222224</v>
      </c>
      <c r="I517" s="68"/>
      <c r="J517" s="68">
        <v>3.1034722222222224</v>
      </c>
      <c r="K517" s="67" t="s">
        <v>1718</v>
      </c>
      <c r="L517" s="67" t="s">
        <v>1201</v>
      </c>
      <c r="M517" s="67" t="s">
        <v>1383</v>
      </c>
    </row>
    <row r="518" spans="1:13" ht="12" customHeight="1" x14ac:dyDescent="0.2">
      <c r="A518" s="78">
        <v>231560</v>
      </c>
      <c r="B518" s="67" t="s">
        <v>571</v>
      </c>
      <c r="C518" s="67" t="s">
        <v>1196</v>
      </c>
      <c r="D518" s="67" t="s">
        <v>1201</v>
      </c>
      <c r="E518" s="67" t="s">
        <v>1388</v>
      </c>
      <c r="F518" s="67" t="s">
        <v>1645</v>
      </c>
      <c r="G518" s="67" t="s">
        <v>8</v>
      </c>
      <c r="H518" s="68">
        <v>2.1770833333333335</v>
      </c>
      <c r="I518" s="68"/>
      <c r="J518" s="68">
        <v>2.1770833333333335</v>
      </c>
      <c r="K518" s="67" t="s">
        <v>1718</v>
      </c>
      <c r="L518" s="67" t="s">
        <v>1201</v>
      </c>
      <c r="M518" s="67" t="s">
        <v>1388</v>
      </c>
    </row>
    <row r="519" spans="1:13" ht="12" customHeight="1" x14ac:dyDescent="0.2">
      <c r="A519" s="78">
        <v>233350</v>
      </c>
      <c r="B519" s="67" t="s">
        <v>572</v>
      </c>
      <c r="C519" s="67" t="s">
        <v>1196</v>
      </c>
      <c r="D519" s="67" t="s">
        <v>1201</v>
      </c>
      <c r="E519" s="67" t="s">
        <v>1366</v>
      </c>
      <c r="F519" s="67" t="s">
        <v>1640</v>
      </c>
      <c r="G519" s="67" t="s">
        <v>8</v>
      </c>
      <c r="H519" s="68">
        <v>2.1374999999999997</v>
      </c>
      <c r="I519" s="68"/>
      <c r="J519" s="68">
        <v>2.1374999999999997</v>
      </c>
      <c r="K519" s="67" t="s">
        <v>1718</v>
      </c>
      <c r="L519" s="67" t="s">
        <v>1201</v>
      </c>
      <c r="M519" s="67" t="s">
        <v>1366</v>
      </c>
    </row>
    <row r="520" spans="1:13" ht="12" customHeight="1" x14ac:dyDescent="0.2">
      <c r="A520" s="78">
        <v>237275</v>
      </c>
      <c r="B520" s="67" t="s">
        <v>573</v>
      </c>
      <c r="C520" s="67" t="s">
        <v>1196</v>
      </c>
      <c r="D520" s="67" t="s">
        <v>1201</v>
      </c>
      <c r="E520" s="67" t="s">
        <v>1377</v>
      </c>
      <c r="F520" s="67" t="s">
        <v>1644</v>
      </c>
      <c r="G520" s="67" t="s">
        <v>8</v>
      </c>
      <c r="H520" s="68">
        <v>1.9944444444444445</v>
      </c>
      <c r="I520" s="68"/>
      <c r="J520" s="68">
        <v>1.9944444444444445</v>
      </c>
      <c r="K520" s="67" t="s">
        <v>1718</v>
      </c>
      <c r="L520" s="67" t="s">
        <v>1201</v>
      </c>
      <c r="M520" s="67" t="s">
        <v>1377</v>
      </c>
    </row>
    <row r="521" spans="1:13" ht="12" customHeight="1" x14ac:dyDescent="0.2">
      <c r="A521" s="78">
        <v>225288</v>
      </c>
      <c r="B521" s="67" t="s">
        <v>574</v>
      </c>
      <c r="C521" s="67" t="s">
        <v>1196</v>
      </c>
      <c r="D521" s="67" t="s">
        <v>1201</v>
      </c>
      <c r="E521" s="67" t="s">
        <v>1389</v>
      </c>
      <c r="F521" s="67" t="s">
        <v>1648</v>
      </c>
      <c r="G521" s="67" t="s">
        <v>8</v>
      </c>
      <c r="H521" s="68">
        <v>1.7208333333333332</v>
      </c>
      <c r="I521" s="68"/>
      <c r="J521" s="68">
        <v>1.7208333333333332</v>
      </c>
      <c r="K521" s="67" t="s">
        <v>1718</v>
      </c>
      <c r="L521" s="67" t="s">
        <v>1201</v>
      </c>
      <c r="M521" s="67" t="s">
        <v>1389</v>
      </c>
    </row>
    <row r="522" spans="1:13" ht="12" customHeight="1" x14ac:dyDescent="0.2">
      <c r="A522" s="78">
        <v>225152</v>
      </c>
      <c r="B522" s="67" t="s">
        <v>575</v>
      </c>
      <c r="C522" s="67" t="s">
        <v>1196</v>
      </c>
      <c r="D522" s="67" t="s">
        <v>1201</v>
      </c>
      <c r="E522" s="67" t="s">
        <v>1388</v>
      </c>
      <c r="F522" s="67" t="s">
        <v>1645</v>
      </c>
      <c r="G522" s="67" t="s">
        <v>8</v>
      </c>
      <c r="H522" s="68">
        <v>1.64375</v>
      </c>
      <c r="I522" s="68"/>
      <c r="J522" s="68">
        <v>1.64375</v>
      </c>
      <c r="K522" s="67" t="s">
        <v>1718</v>
      </c>
      <c r="L522" s="67" t="s">
        <v>1201</v>
      </c>
      <c r="M522" s="67" t="s">
        <v>1388</v>
      </c>
    </row>
    <row r="523" spans="1:13" ht="12" customHeight="1" x14ac:dyDescent="0.2">
      <c r="A523" s="78">
        <v>235468</v>
      </c>
      <c r="B523" s="67" t="s">
        <v>576</v>
      </c>
      <c r="C523" s="67" t="s">
        <v>1196</v>
      </c>
      <c r="D523" s="67" t="s">
        <v>1201</v>
      </c>
      <c r="E523" s="67" t="s">
        <v>1360</v>
      </c>
      <c r="F523" s="67" t="s">
        <v>1645</v>
      </c>
      <c r="G523" s="67" t="s">
        <v>8</v>
      </c>
      <c r="H523" s="68">
        <v>1.6416666666666666</v>
      </c>
      <c r="I523" s="68"/>
      <c r="J523" s="68">
        <v>1.6416666666666666</v>
      </c>
      <c r="K523" s="67" t="s">
        <v>1720</v>
      </c>
      <c r="L523" s="67" t="s">
        <v>1201</v>
      </c>
      <c r="M523" s="67" t="s">
        <v>1360</v>
      </c>
    </row>
    <row r="524" spans="1:13" ht="12" customHeight="1" x14ac:dyDescent="0.2">
      <c r="A524" s="78">
        <v>230476</v>
      </c>
      <c r="B524" s="67" t="s">
        <v>577</v>
      </c>
      <c r="C524" s="67" t="s">
        <v>1196</v>
      </c>
      <c r="D524" s="67" t="s">
        <v>1201</v>
      </c>
      <c r="E524" s="67" t="s">
        <v>1390</v>
      </c>
      <c r="F524" s="67" t="s">
        <v>1652</v>
      </c>
      <c r="G524" s="67" t="s">
        <v>8</v>
      </c>
      <c r="H524" s="68">
        <v>1.53125</v>
      </c>
      <c r="I524" s="68"/>
      <c r="J524" s="68">
        <v>1.53125</v>
      </c>
      <c r="K524" s="67" t="s">
        <v>1718</v>
      </c>
      <c r="L524" s="67" t="s">
        <v>1201</v>
      </c>
      <c r="M524" s="67" t="s">
        <v>1390</v>
      </c>
    </row>
    <row r="525" spans="1:13" ht="12" customHeight="1" x14ac:dyDescent="0.2">
      <c r="A525" s="78">
        <v>232914</v>
      </c>
      <c r="B525" s="67" t="s">
        <v>578</v>
      </c>
      <c r="C525" s="67" t="s">
        <v>1196</v>
      </c>
      <c r="D525" s="67" t="s">
        <v>1201</v>
      </c>
      <c r="E525" s="67" t="s">
        <v>1357</v>
      </c>
      <c r="F525" s="67" t="s">
        <v>1642</v>
      </c>
      <c r="G525" s="67" t="s">
        <v>8</v>
      </c>
      <c r="H525" s="68">
        <v>1.5250000000000001</v>
      </c>
      <c r="I525" s="68"/>
      <c r="J525" s="68">
        <v>1.5250000000000001</v>
      </c>
      <c r="K525" s="67" t="s">
        <v>1718</v>
      </c>
      <c r="L525" s="67" t="s">
        <v>1201</v>
      </c>
      <c r="M525" s="67" t="s">
        <v>1357</v>
      </c>
    </row>
    <row r="526" spans="1:13" ht="12" customHeight="1" x14ac:dyDescent="0.2">
      <c r="A526" s="78">
        <v>235578</v>
      </c>
      <c r="B526" s="67" t="s">
        <v>579</v>
      </c>
      <c r="C526" s="67" t="s">
        <v>1196</v>
      </c>
      <c r="D526" s="67" t="s">
        <v>1201</v>
      </c>
      <c r="E526" s="67" t="s">
        <v>1361</v>
      </c>
      <c r="F526" s="67" t="s">
        <v>1639</v>
      </c>
      <c r="G526" s="67" t="s">
        <v>8</v>
      </c>
      <c r="H526" s="68">
        <v>1.4541666666666666</v>
      </c>
      <c r="I526" s="68"/>
      <c r="J526" s="68">
        <v>1.4541666666666666</v>
      </c>
      <c r="K526" s="67" t="s">
        <v>1718</v>
      </c>
      <c r="L526" s="67" t="s">
        <v>1201</v>
      </c>
      <c r="M526" s="67" t="s">
        <v>1361</v>
      </c>
    </row>
    <row r="527" spans="1:13" ht="12" customHeight="1" x14ac:dyDescent="0.2">
      <c r="A527" s="78">
        <v>203475</v>
      </c>
      <c r="B527" s="67" t="s">
        <v>580</v>
      </c>
      <c r="C527" s="67" t="s">
        <v>1196</v>
      </c>
      <c r="D527" s="67" t="s">
        <v>1201</v>
      </c>
      <c r="E527" s="67" t="s">
        <v>1389</v>
      </c>
      <c r="F527" s="67" t="s">
        <v>1648</v>
      </c>
      <c r="G527" s="67" t="s">
        <v>8</v>
      </c>
      <c r="H527" s="68">
        <v>1.4534722222222223</v>
      </c>
      <c r="I527" s="68"/>
      <c r="J527" s="68">
        <v>1.4534722222222223</v>
      </c>
      <c r="K527" s="67" t="s">
        <v>1718</v>
      </c>
      <c r="L527" s="67" t="s">
        <v>1201</v>
      </c>
      <c r="M527" s="67" t="s">
        <v>1389</v>
      </c>
    </row>
    <row r="528" spans="1:13" ht="12" customHeight="1" x14ac:dyDescent="0.2">
      <c r="A528" s="78">
        <v>237509</v>
      </c>
      <c r="B528" s="67" t="s">
        <v>581</v>
      </c>
      <c r="C528" s="67" t="s">
        <v>1196</v>
      </c>
      <c r="D528" s="67" t="s">
        <v>1201</v>
      </c>
      <c r="E528" s="67" t="s">
        <v>1377</v>
      </c>
      <c r="F528" s="67" t="s">
        <v>1644</v>
      </c>
      <c r="G528" s="67" t="s">
        <v>8</v>
      </c>
      <c r="H528" s="68">
        <v>1.4416666666666667</v>
      </c>
      <c r="I528" s="68"/>
      <c r="J528" s="68">
        <v>1.4416666666666667</v>
      </c>
      <c r="K528" s="67" t="s">
        <v>1718</v>
      </c>
      <c r="L528" s="67" t="s">
        <v>1201</v>
      </c>
      <c r="M528" s="67" t="s">
        <v>1377</v>
      </c>
    </row>
    <row r="529" spans="1:13" ht="12" customHeight="1" x14ac:dyDescent="0.2">
      <c r="A529" s="78">
        <v>237668</v>
      </c>
      <c r="B529" s="67" t="s">
        <v>582</v>
      </c>
      <c r="C529" s="67" t="s">
        <v>1196</v>
      </c>
      <c r="D529" s="67" t="s">
        <v>1201</v>
      </c>
      <c r="E529" s="67" t="s">
        <v>1366</v>
      </c>
      <c r="F529" s="67" t="s">
        <v>1640</v>
      </c>
      <c r="G529" s="67" t="s">
        <v>8</v>
      </c>
      <c r="H529" s="68">
        <v>1.4173611111111111</v>
      </c>
      <c r="I529" s="68"/>
      <c r="J529" s="68">
        <v>1.4173611111111111</v>
      </c>
      <c r="K529" s="67" t="s">
        <v>1718</v>
      </c>
      <c r="L529" s="67" t="s">
        <v>1201</v>
      </c>
      <c r="M529" s="67" t="s">
        <v>1366</v>
      </c>
    </row>
    <row r="530" spans="1:13" ht="12" customHeight="1" x14ac:dyDescent="0.2">
      <c r="A530" s="78">
        <v>231648</v>
      </c>
      <c r="B530" s="67" t="s">
        <v>583</v>
      </c>
      <c r="C530" s="67" t="s">
        <v>1196</v>
      </c>
      <c r="D530" s="67" t="s">
        <v>1201</v>
      </c>
      <c r="E530" s="67" t="s">
        <v>1389</v>
      </c>
      <c r="F530" s="67" t="s">
        <v>1648</v>
      </c>
      <c r="G530" s="67" t="s">
        <v>8</v>
      </c>
      <c r="H530" s="68">
        <v>1.3631944444444446</v>
      </c>
      <c r="I530" s="68"/>
      <c r="J530" s="68">
        <v>1.3631944444444446</v>
      </c>
      <c r="K530" s="67" t="s">
        <v>1718</v>
      </c>
      <c r="L530" s="67" t="s">
        <v>1201</v>
      </c>
      <c r="M530" s="67" t="s">
        <v>1389</v>
      </c>
    </row>
    <row r="531" spans="1:13" ht="12" customHeight="1" x14ac:dyDescent="0.2">
      <c r="A531" s="78">
        <v>232259</v>
      </c>
      <c r="B531" s="67" t="s">
        <v>584</v>
      </c>
      <c r="C531" s="67" t="s">
        <v>1196</v>
      </c>
      <c r="D531" s="67" t="s">
        <v>1201</v>
      </c>
      <c r="E531" s="67" t="s">
        <v>1367</v>
      </c>
      <c r="F531" s="67" t="s">
        <v>1649</v>
      </c>
      <c r="G531" s="67" t="s">
        <v>8</v>
      </c>
      <c r="H531" s="68">
        <v>1.3381944444444445</v>
      </c>
      <c r="I531" s="68"/>
      <c r="J531" s="68">
        <v>1.3381944444444445</v>
      </c>
      <c r="K531" s="67" t="s">
        <v>1718</v>
      </c>
      <c r="L531" s="67" t="s">
        <v>1201</v>
      </c>
      <c r="M531" s="67" t="s">
        <v>1367</v>
      </c>
    </row>
    <row r="532" spans="1:13" ht="12" customHeight="1" x14ac:dyDescent="0.2">
      <c r="A532" s="78">
        <v>237621</v>
      </c>
      <c r="B532" s="67" t="s">
        <v>585</v>
      </c>
      <c r="C532" s="67" t="s">
        <v>1196</v>
      </c>
      <c r="D532" s="67" t="s">
        <v>1201</v>
      </c>
      <c r="E532" s="67" t="s">
        <v>1357</v>
      </c>
      <c r="F532" s="67" t="s">
        <v>1642</v>
      </c>
      <c r="G532" s="67" t="s">
        <v>8</v>
      </c>
      <c r="H532" s="68">
        <v>1.2944444444444445</v>
      </c>
      <c r="I532" s="68"/>
      <c r="J532" s="68">
        <v>1.2944444444444445</v>
      </c>
      <c r="K532" s="67" t="s">
        <v>1718</v>
      </c>
      <c r="L532" s="67" t="s">
        <v>1201</v>
      </c>
      <c r="M532" s="67" t="s">
        <v>1357</v>
      </c>
    </row>
    <row r="533" spans="1:13" ht="12" customHeight="1" x14ac:dyDescent="0.2">
      <c r="A533" s="78">
        <v>232542</v>
      </c>
      <c r="B533" s="67" t="s">
        <v>586</v>
      </c>
      <c r="C533" s="67" t="s">
        <v>1196</v>
      </c>
      <c r="D533" s="67" t="s">
        <v>1201</v>
      </c>
      <c r="E533" s="67" t="s">
        <v>1388</v>
      </c>
      <c r="F533" s="67" t="s">
        <v>1645</v>
      </c>
      <c r="G533" s="67" t="s">
        <v>8</v>
      </c>
      <c r="H533" s="68">
        <v>1.2881944444444444</v>
      </c>
      <c r="I533" s="68"/>
      <c r="J533" s="68">
        <v>1.2881944444444444</v>
      </c>
      <c r="K533" s="67" t="s">
        <v>1718</v>
      </c>
      <c r="L533" s="67" t="s">
        <v>1201</v>
      </c>
      <c r="M533" s="67" t="s">
        <v>1388</v>
      </c>
    </row>
    <row r="534" spans="1:13" ht="12" customHeight="1" x14ac:dyDescent="0.2">
      <c r="A534" s="78">
        <v>238048</v>
      </c>
      <c r="B534" s="67" t="s">
        <v>587</v>
      </c>
      <c r="C534" s="67" t="s">
        <v>1196</v>
      </c>
      <c r="D534" s="67" t="s">
        <v>1201</v>
      </c>
      <c r="E534" s="67" t="s">
        <v>1389</v>
      </c>
      <c r="F534" s="67" t="s">
        <v>1648</v>
      </c>
      <c r="G534" s="67" t="s">
        <v>8</v>
      </c>
      <c r="H534" s="68">
        <v>1.2861111111111112</v>
      </c>
      <c r="I534" s="68"/>
      <c r="J534" s="68">
        <v>1.2861111111111112</v>
      </c>
      <c r="K534" s="67" t="s">
        <v>1718</v>
      </c>
      <c r="L534" s="67" t="s">
        <v>1201</v>
      </c>
      <c r="M534" s="67" t="s">
        <v>1389</v>
      </c>
    </row>
    <row r="535" spans="1:13" ht="12" customHeight="1" x14ac:dyDescent="0.2">
      <c r="A535" s="78">
        <v>234417</v>
      </c>
      <c r="B535" s="67" t="s">
        <v>588</v>
      </c>
      <c r="C535" s="67" t="s">
        <v>1196</v>
      </c>
      <c r="D535" s="67" t="s">
        <v>1201</v>
      </c>
      <c r="E535" s="67" t="s">
        <v>1388</v>
      </c>
      <c r="F535" s="67" t="s">
        <v>1645</v>
      </c>
      <c r="G535" s="67" t="s">
        <v>8</v>
      </c>
      <c r="H535" s="68">
        <v>1.2277777777777776</v>
      </c>
      <c r="I535" s="68"/>
      <c r="J535" s="68">
        <v>1.2277777777777776</v>
      </c>
      <c r="K535" s="67" t="s">
        <v>1718</v>
      </c>
      <c r="L535" s="67" t="s">
        <v>1201</v>
      </c>
      <c r="M535" s="67" t="s">
        <v>1388</v>
      </c>
    </row>
    <row r="536" spans="1:13" ht="12" customHeight="1" x14ac:dyDescent="0.2">
      <c r="A536" s="78">
        <v>236257</v>
      </c>
      <c r="B536" s="67" t="s">
        <v>589</v>
      </c>
      <c r="C536" s="67" t="s">
        <v>1196</v>
      </c>
      <c r="D536" s="67" t="s">
        <v>1201</v>
      </c>
      <c r="E536" s="67" t="s">
        <v>1373</v>
      </c>
      <c r="F536" s="67" t="s">
        <v>1650</v>
      </c>
      <c r="G536" s="67" t="s">
        <v>8</v>
      </c>
      <c r="H536" s="68">
        <v>1.2249999999999999</v>
      </c>
      <c r="I536" s="68"/>
      <c r="J536" s="68">
        <v>1.2249999999999999</v>
      </c>
      <c r="K536" s="67" t="s">
        <v>1718</v>
      </c>
      <c r="L536" s="67" t="s">
        <v>1201</v>
      </c>
      <c r="M536" s="67" t="s">
        <v>1373</v>
      </c>
    </row>
    <row r="537" spans="1:13" ht="12" customHeight="1" x14ac:dyDescent="0.2">
      <c r="A537" s="78">
        <v>233786</v>
      </c>
      <c r="B537" s="67" t="s">
        <v>590</v>
      </c>
      <c r="C537" s="67" t="s">
        <v>1196</v>
      </c>
      <c r="D537" s="67" t="s">
        <v>1201</v>
      </c>
      <c r="E537" s="67" t="s">
        <v>1366</v>
      </c>
      <c r="F537" s="67" t="s">
        <v>1640</v>
      </c>
      <c r="G537" s="67" t="s">
        <v>8</v>
      </c>
      <c r="H537" s="68">
        <v>1.0243055555555556</v>
      </c>
      <c r="I537" s="68"/>
      <c r="J537" s="68">
        <v>1.0243055555555556</v>
      </c>
      <c r="K537" s="67" t="s">
        <v>1718</v>
      </c>
      <c r="L537" s="67" t="s">
        <v>1201</v>
      </c>
      <c r="M537" s="67" t="s">
        <v>1366</v>
      </c>
    </row>
    <row r="538" spans="1:13" ht="12" customHeight="1" x14ac:dyDescent="0.2">
      <c r="A538" s="78">
        <v>225329</v>
      </c>
      <c r="B538" s="67" t="s">
        <v>591</v>
      </c>
      <c r="C538" s="67" t="s">
        <v>1196</v>
      </c>
      <c r="D538" s="67" t="s">
        <v>1201</v>
      </c>
      <c r="E538" s="67" t="s">
        <v>1391</v>
      </c>
      <c r="F538" s="67" t="s">
        <v>1641</v>
      </c>
      <c r="G538" s="67" t="s">
        <v>8</v>
      </c>
      <c r="H538" s="68">
        <v>1.0229166666666667</v>
      </c>
      <c r="I538" s="68"/>
      <c r="J538" s="68">
        <v>1.0229166666666667</v>
      </c>
      <c r="K538" s="67" t="s">
        <v>1719</v>
      </c>
      <c r="L538" s="67" t="s">
        <v>1201</v>
      </c>
      <c r="M538" s="67" t="s">
        <v>1391</v>
      </c>
    </row>
    <row r="539" spans="1:13" ht="12" customHeight="1" x14ac:dyDescent="0.2">
      <c r="A539" s="78">
        <v>229397</v>
      </c>
      <c r="B539" s="67" t="s">
        <v>592</v>
      </c>
      <c r="C539" s="67" t="s">
        <v>1196</v>
      </c>
      <c r="D539" s="67" t="s">
        <v>1201</v>
      </c>
      <c r="E539" s="67" t="s">
        <v>1392</v>
      </c>
      <c r="F539" s="67" t="s">
        <v>1641</v>
      </c>
      <c r="G539" s="67" t="s">
        <v>8</v>
      </c>
      <c r="H539" s="68">
        <v>0.99722222222222223</v>
      </c>
      <c r="I539" s="68"/>
      <c r="J539" s="68">
        <v>0.99722222222222223</v>
      </c>
      <c r="K539" s="67" t="s">
        <v>1726</v>
      </c>
      <c r="L539" s="67" t="s">
        <v>1201</v>
      </c>
      <c r="M539" s="67" t="s">
        <v>1392</v>
      </c>
    </row>
    <row r="540" spans="1:13" ht="12" customHeight="1" x14ac:dyDescent="0.2">
      <c r="A540" s="78">
        <v>237319</v>
      </c>
      <c r="B540" s="67" t="s">
        <v>593</v>
      </c>
      <c r="C540" s="67" t="s">
        <v>1196</v>
      </c>
      <c r="D540" s="67" t="s">
        <v>1201</v>
      </c>
      <c r="E540" s="67" t="s">
        <v>1377</v>
      </c>
      <c r="F540" s="67" t="s">
        <v>1644</v>
      </c>
      <c r="G540" s="67" t="s">
        <v>8</v>
      </c>
      <c r="H540" s="68">
        <v>0.95138888888888884</v>
      </c>
      <c r="I540" s="68"/>
      <c r="J540" s="68">
        <v>0.95138888888888884</v>
      </c>
      <c r="K540" s="67" t="s">
        <v>1718</v>
      </c>
      <c r="L540" s="67" t="s">
        <v>1201</v>
      </c>
      <c r="M540" s="67" t="s">
        <v>1377</v>
      </c>
    </row>
    <row r="541" spans="1:13" ht="12" customHeight="1" x14ac:dyDescent="0.2">
      <c r="A541" s="78">
        <v>201712</v>
      </c>
      <c r="B541" s="67" t="s">
        <v>594</v>
      </c>
      <c r="C541" s="67" t="s">
        <v>1196</v>
      </c>
      <c r="D541" s="67" t="s">
        <v>1201</v>
      </c>
      <c r="E541" s="67" t="s">
        <v>1390</v>
      </c>
      <c r="F541" s="67" t="s">
        <v>1652</v>
      </c>
      <c r="G541" s="67" t="s">
        <v>8</v>
      </c>
      <c r="H541" s="68">
        <v>0.95000000000000007</v>
      </c>
      <c r="I541" s="68"/>
      <c r="J541" s="68">
        <v>0.95000000000000007</v>
      </c>
      <c r="K541" s="67" t="s">
        <v>1718</v>
      </c>
      <c r="L541" s="67" t="s">
        <v>1201</v>
      </c>
      <c r="M541" s="67" t="s">
        <v>1390</v>
      </c>
    </row>
    <row r="542" spans="1:13" ht="12" customHeight="1" x14ac:dyDescent="0.2">
      <c r="A542" s="78">
        <v>235967</v>
      </c>
      <c r="B542" s="67" t="s">
        <v>595</v>
      </c>
      <c r="C542" s="67" t="s">
        <v>1196</v>
      </c>
      <c r="D542" s="67" t="s">
        <v>1201</v>
      </c>
      <c r="E542" s="67" t="s">
        <v>1393</v>
      </c>
      <c r="F542" s="67" t="s">
        <v>1641</v>
      </c>
      <c r="G542" s="67" t="s">
        <v>8</v>
      </c>
      <c r="H542" s="68">
        <v>0.7715277777777777</v>
      </c>
      <c r="I542" s="68"/>
      <c r="J542" s="68">
        <v>0.7715277777777777</v>
      </c>
      <c r="K542" s="67" t="s">
        <v>1719</v>
      </c>
      <c r="L542" s="67" t="s">
        <v>1201</v>
      </c>
      <c r="M542" s="67" t="s">
        <v>1393</v>
      </c>
    </row>
    <row r="543" spans="1:13" ht="12" customHeight="1" x14ac:dyDescent="0.2">
      <c r="A543" s="78">
        <v>237801</v>
      </c>
      <c r="B543" s="67" t="s">
        <v>596</v>
      </c>
      <c r="C543" s="67" t="s">
        <v>1196</v>
      </c>
      <c r="D543" s="67" t="s">
        <v>1201</v>
      </c>
      <c r="E543" s="67" t="s">
        <v>1359</v>
      </c>
      <c r="F543" s="67" t="s">
        <v>1644</v>
      </c>
      <c r="G543" s="67" t="s">
        <v>8</v>
      </c>
      <c r="H543" s="68">
        <v>0.76944444444444438</v>
      </c>
      <c r="I543" s="68"/>
      <c r="J543" s="68">
        <v>0.76944444444444438</v>
      </c>
      <c r="K543" s="67" t="s">
        <v>1720</v>
      </c>
      <c r="L543" s="67" t="s">
        <v>1201</v>
      </c>
      <c r="M543" s="67" t="s">
        <v>1359</v>
      </c>
    </row>
    <row r="544" spans="1:13" ht="12" customHeight="1" x14ac:dyDescent="0.2">
      <c r="A544" s="78">
        <v>231359</v>
      </c>
      <c r="B544" s="67" t="s">
        <v>597</v>
      </c>
      <c r="C544" s="67" t="s">
        <v>1196</v>
      </c>
      <c r="D544" s="67" t="s">
        <v>1201</v>
      </c>
      <c r="E544" s="67" t="s">
        <v>1394</v>
      </c>
      <c r="F544" s="67" t="s">
        <v>1641</v>
      </c>
      <c r="G544" s="67" t="s">
        <v>8</v>
      </c>
      <c r="H544" s="68">
        <v>0.73333333333333339</v>
      </c>
      <c r="I544" s="68"/>
      <c r="J544" s="68">
        <v>0.73333333333333339</v>
      </c>
      <c r="K544" s="67" t="s">
        <v>1719</v>
      </c>
      <c r="L544" s="67" t="s">
        <v>1201</v>
      </c>
      <c r="M544" s="67" t="s">
        <v>1394</v>
      </c>
    </row>
    <row r="545" spans="1:13" ht="12" customHeight="1" x14ac:dyDescent="0.2">
      <c r="A545" s="78">
        <v>237418</v>
      </c>
      <c r="B545" s="67" t="s">
        <v>598</v>
      </c>
      <c r="C545" s="67" t="s">
        <v>1196</v>
      </c>
      <c r="D545" s="67" t="s">
        <v>1201</v>
      </c>
      <c r="E545" s="67" t="s">
        <v>1358</v>
      </c>
      <c r="F545" s="67" t="s">
        <v>1643</v>
      </c>
      <c r="G545" s="67" t="s">
        <v>8</v>
      </c>
      <c r="H545" s="68">
        <v>0.70000000000000007</v>
      </c>
      <c r="I545" s="68"/>
      <c r="J545" s="68">
        <v>0.70000000000000007</v>
      </c>
      <c r="K545" s="67" t="s">
        <v>1718</v>
      </c>
      <c r="L545" s="67" t="s">
        <v>1201</v>
      </c>
      <c r="M545" s="67" t="s">
        <v>1358</v>
      </c>
    </row>
    <row r="546" spans="1:13" ht="12" customHeight="1" x14ac:dyDescent="0.2">
      <c r="A546" s="78">
        <v>230462</v>
      </c>
      <c r="B546" s="67" t="s">
        <v>599</v>
      </c>
      <c r="C546" s="67" t="s">
        <v>1196</v>
      </c>
      <c r="D546" s="67" t="s">
        <v>1201</v>
      </c>
      <c r="E546" s="67" t="s">
        <v>1390</v>
      </c>
      <c r="F546" s="67" t="s">
        <v>1652</v>
      </c>
      <c r="G546" s="67" t="s">
        <v>8</v>
      </c>
      <c r="H546" s="68">
        <v>0.59583333333333333</v>
      </c>
      <c r="I546" s="68"/>
      <c r="J546" s="68">
        <v>0.59583333333333333</v>
      </c>
      <c r="K546" s="67" t="s">
        <v>1718</v>
      </c>
      <c r="L546" s="67" t="s">
        <v>1201</v>
      </c>
      <c r="M546" s="67" t="s">
        <v>1390</v>
      </c>
    </row>
    <row r="547" spans="1:13" ht="12" customHeight="1" x14ac:dyDescent="0.2">
      <c r="A547" s="78">
        <v>235459</v>
      </c>
      <c r="B547" s="67" t="s">
        <v>600</v>
      </c>
      <c r="C547" s="67" t="s">
        <v>1196</v>
      </c>
      <c r="D547" s="67" t="s">
        <v>1201</v>
      </c>
      <c r="E547" s="67" t="s">
        <v>1390</v>
      </c>
      <c r="F547" s="67" t="s">
        <v>1652</v>
      </c>
      <c r="G547" s="67" t="s">
        <v>8</v>
      </c>
      <c r="H547" s="68">
        <v>0.56944444444444442</v>
      </c>
      <c r="I547" s="68"/>
      <c r="J547" s="68">
        <v>0.56944444444444442</v>
      </c>
      <c r="K547" s="67" t="s">
        <v>1718</v>
      </c>
      <c r="L547" s="67" t="s">
        <v>1201</v>
      </c>
      <c r="M547" s="67" t="s">
        <v>1390</v>
      </c>
    </row>
    <row r="548" spans="1:13" ht="12" customHeight="1" x14ac:dyDescent="0.2">
      <c r="A548" s="78">
        <v>201469</v>
      </c>
      <c r="B548" s="67" t="s">
        <v>601</v>
      </c>
      <c r="C548" s="67" t="s">
        <v>1196</v>
      </c>
      <c r="D548" s="67" t="s">
        <v>1201</v>
      </c>
      <c r="E548" s="67" t="s">
        <v>1382</v>
      </c>
      <c r="F548" s="67" t="s">
        <v>1652</v>
      </c>
      <c r="G548" s="67" t="s">
        <v>8</v>
      </c>
      <c r="H548" s="68">
        <v>0.46875</v>
      </c>
      <c r="I548" s="68"/>
      <c r="J548" s="68">
        <v>0.46875</v>
      </c>
      <c r="K548" s="67" t="s">
        <v>1720</v>
      </c>
      <c r="L548" s="67" t="s">
        <v>1201</v>
      </c>
      <c r="M548" s="67" t="s">
        <v>1382</v>
      </c>
    </row>
    <row r="549" spans="1:13" ht="12" customHeight="1" x14ac:dyDescent="0.2">
      <c r="A549" s="78">
        <v>237829</v>
      </c>
      <c r="B549" s="67" t="s">
        <v>602</v>
      </c>
      <c r="C549" s="67" t="s">
        <v>1196</v>
      </c>
      <c r="D549" s="67" t="s">
        <v>1201</v>
      </c>
      <c r="E549" s="67" t="s">
        <v>1373</v>
      </c>
      <c r="F549" s="67" t="s">
        <v>1650</v>
      </c>
      <c r="G549" s="67" t="s">
        <v>8</v>
      </c>
      <c r="H549" s="68">
        <v>0.39861111111111108</v>
      </c>
      <c r="I549" s="68"/>
      <c r="J549" s="68">
        <v>0.39861111111111108</v>
      </c>
      <c r="K549" s="67" t="s">
        <v>1718</v>
      </c>
      <c r="L549" s="67" t="s">
        <v>1201</v>
      </c>
      <c r="M549" s="67" t="s">
        <v>1373</v>
      </c>
    </row>
    <row r="550" spans="1:13" ht="12" customHeight="1" x14ac:dyDescent="0.2">
      <c r="A550" s="78">
        <v>237162</v>
      </c>
      <c r="B550" s="67" t="s">
        <v>603</v>
      </c>
      <c r="C550" s="67" t="s">
        <v>1196</v>
      </c>
      <c r="D550" s="67" t="s">
        <v>1201</v>
      </c>
      <c r="E550" s="67" t="s">
        <v>1385</v>
      </c>
      <c r="F550" s="67" t="s">
        <v>1654</v>
      </c>
      <c r="G550" s="67" t="s">
        <v>8</v>
      </c>
      <c r="H550" s="68">
        <v>0.3923611111111111</v>
      </c>
      <c r="I550" s="68"/>
      <c r="J550" s="68">
        <v>0.3923611111111111</v>
      </c>
      <c r="K550" s="67" t="s">
        <v>1720</v>
      </c>
      <c r="L550" s="67" t="s">
        <v>1201</v>
      </c>
      <c r="M550" s="67" t="s">
        <v>1385</v>
      </c>
    </row>
    <row r="551" spans="1:13" ht="12" customHeight="1" x14ac:dyDescent="0.2">
      <c r="A551" s="78">
        <v>231459</v>
      </c>
      <c r="B551" s="67" t="s">
        <v>604</v>
      </c>
      <c r="C551" s="67" t="s">
        <v>1196</v>
      </c>
      <c r="D551" s="67" t="s">
        <v>1201</v>
      </c>
      <c r="E551" s="67" t="s">
        <v>1375</v>
      </c>
      <c r="F551" s="67" t="s">
        <v>1651</v>
      </c>
      <c r="G551" s="67" t="s">
        <v>8</v>
      </c>
      <c r="H551" s="68">
        <v>0.37013888888888885</v>
      </c>
      <c r="I551" s="68"/>
      <c r="J551" s="68">
        <v>0.37013888888888885</v>
      </c>
      <c r="K551" s="67" t="s">
        <v>1718</v>
      </c>
      <c r="L551" s="67" t="s">
        <v>1201</v>
      </c>
      <c r="M551" s="67" t="s">
        <v>1375</v>
      </c>
    </row>
    <row r="552" spans="1:13" ht="12" customHeight="1" x14ac:dyDescent="0.2">
      <c r="A552" s="78">
        <v>217827</v>
      </c>
      <c r="B552" s="67" t="s">
        <v>605</v>
      </c>
      <c r="C552" s="67" t="s">
        <v>1196</v>
      </c>
      <c r="D552" s="67" t="s">
        <v>1201</v>
      </c>
      <c r="E552" s="67" t="s">
        <v>1374</v>
      </c>
      <c r="F552" s="67" t="s">
        <v>1650</v>
      </c>
      <c r="G552" s="67" t="s">
        <v>8</v>
      </c>
      <c r="H552" s="68">
        <v>0.33194444444444443</v>
      </c>
      <c r="I552" s="68"/>
      <c r="J552" s="68">
        <v>0.33194444444444443</v>
      </c>
      <c r="K552" s="67" t="s">
        <v>1721</v>
      </c>
      <c r="L552" s="67" t="s">
        <v>1201</v>
      </c>
      <c r="M552" s="67" t="s">
        <v>1374</v>
      </c>
    </row>
    <row r="553" spans="1:13" ht="12" customHeight="1" x14ac:dyDescent="0.2">
      <c r="A553" s="78">
        <v>233121</v>
      </c>
      <c r="B553" s="67" t="s">
        <v>606</v>
      </c>
      <c r="C553" s="67" t="s">
        <v>1196</v>
      </c>
      <c r="D553" s="67" t="s">
        <v>1201</v>
      </c>
      <c r="E553" s="67" t="s">
        <v>1373</v>
      </c>
      <c r="F553" s="67" t="s">
        <v>1650</v>
      </c>
      <c r="G553" s="67" t="s">
        <v>8</v>
      </c>
      <c r="H553" s="68">
        <v>0.31319444444444444</v>
      </c>
      <c r="I553" s="68"/>
      <c r="J553" s="68">
        <v>0.31319444444444444</v>
      </c>
      <c r="K553" s="67" t="s">
        <v>1718</v>
      </c>
      <c r="L553" s="67" t="s">
        <v>1201</v>
      </c>
      <c r="M553" s="67" t="s">
        <v>1373</v>
      </c>
    </row>
    <row r="554" spans="1:13" ht="12" customHeight="1" x14ac:dyDescent="0.2">
      <c r="A554" s="78">
        <v>233977</v>
      </c>
      <c r="B554" s="67" t="s">
        <v>607</v>
      </c>
      <c r="C554" s="67" t="s">
        <v>1196</v>
      </c>
      <c r="D554" s="67" t="s">
        <v>1201</v>
      </c>
      <c r="E554" s="67" t="s">
        <v>1370</v>
      </c>
      <c r="F554" s="67" t="s">
        <v>1646</v>
      </c>
      <c r="G554" s="67" t="s">
        <v>8</v>
      </c>
      <c r="H554" s="68">
        <v>0.2722222222222222</v>
      </c>
      <c r="I554" s="68"/>
      <c r="J554" s="68">
        <v>0.2722222222222222</v>
      </c>
      <c r="K554" s="67" t="s">
        <v>1718</v>
      </c>
      <c r="L554" s="67" t="s">
        <v>1201</v>
      </c>
      <c r="M554" s="67" t="s">
        <v>1370</v>
      </c>
    </row>
    <row r="555" spans="1:13" ht="12" customHeight="1" x14ac:dyDescent="0.2">
      <c r="A555" s="78">
        <v>219368</v>
      </c>
      <c r="B555" s="67" t="s">
        <v>608</v>
      </c>
      <c r="C555" s="67" t="s">
        <v>1196</v>
      </c>
      <c r="D555" s="67" t="s">
        <v>1201</v>
      </c>
      <c r="E555" s="67" t="s">
        <v>1395</v>
      </c>
      <c r="F555" s="67" t="s">
        <v>1641</v>
      </c>
      <c r="G555" s="67" t="s">
        <v>8</v>
      </c>
      <c r="H555" s="68">
        <v>0.21180555555555555</v>
      </c>
      <c r="I555" s="68"/>
      <c r="J555" s="68">
        <v>0.21180555555555555</v>
      </c>
      <c r="K555" s="67" t="s">
        <v>1724</v>
      </c>
      <c r="L555" s="67" t="s">
        <v>1201</v>
      </c>
      <c r="M555" s="67" t="s">
        <v>1395</v>
      </c>
    </row>
    <row r="556" spans="1:13" ht="12" customHeight="1" x14ac:dyDescent="0.2">
      <c r="A556" s="78">
        <v>235215</v>
      </c>
      <c r="B556" s="67" t="s">
        <v>609</v>
      </c>
      <c r="C556" s="67" t="s">
        <v>1196</v>
      </c>
      <c r="D556" s="67" t="s">
        <v>1201</v>
      </c>
      <c r="E556" s="67" t="s">
        <v>1375</v>
      </c>
      <c r="F556" s="67" t="s">
        <v>1651</v>
      </c>
      <c r="G556" s="67" t="s">
        <v>8</v>
      </c>
      <c r="H556" s="68">
        <v>0.20902777777777778</v>
      </c>
      <c r="I556" s="68"/>
      <c r="J556" s="68">
        <v>0.20902777777777778</v>
      </c>
      <c r="K556" s="67" t="s">
        <v>1718</v>
      </c>
      <c r="L556" s="67" t="s">
        <v>1201</v>
      </c>
      <c r="M556" s="67" t="s">
        <v>1375</v>
      </c>
    </row>
    <row r="557" spans="1:13" ht="12" customHeight="1" x14ac:dyDescent="0.2">
      <c r="A557" s="78">
        <v>235232</v>
      </c>
      <c r="B557" s="67" t="s">
        <v>610</v>
      </c>
      <c r="C557" s="67" t="s">
        <v>1196</v>
      </c>
      <c r="D557" s="67" t="s">
        <v>1201</v>
      </c>
      <c r="E557" s="67" t="s">
        <v>1366</v>
      </c>
      <c r="F557" s="67" t="s">
        <v>1640</v>
      </c>
      <c r="G557" s="67" t="s">
        <v>8</v>
      </c>
      <c r="H557" s="68">
        <v>0.13194444444444445</v>
      </c>
      <c r="I557" s="68"/>
      <c r="J557" s="68">
        <v>0.13194444444444445</v>
      </c>
      <c r="K557" s="67" t="s">
        <v>1718</v>
      </c>
      <c r="L557" s="67" t="s">
        <v>1201</v>
      </c>
      <c r="M557" s="67" t="s">
        <v>1366</v>
      </c>
    </row>
    <row r="558" spans="1:13" ht="12" customHeight="1" x14ac:dyDescent="0.2">
      <c r="A558" s="78">
        <v>235951</v>
      </c>
      <c r="B558" s="67" t="s">
        <v>611</v>
      </c>
      <c r="C558" s="67" t="s">
        <v>1196</v>
      </c>
      <c r="D558" s="67" t="s">
        <v>1201</v>
      </c>
      <c r="E558" s="67" t="s">
        <v>1375</v>
      </c>
      <c r="F558" s="67" t="s">
        <v>1651</v>
      </c>
      <c r="G558" s="67" t="s">
        <v>8</v>
      </c>
      <c r="H558" s="68">
        <v>0.11805555555555557</v>
      </c>
      <c r="I558" s="68"/>
      <c r="J558" s="68">
        <v>0.11805555555555557</v>
      </c>
      <c r="K558" s="67" t="s">
        <v>1718</v>
      </c>
      <c r="L558" s="67" t="s">
        <v>1201</v>
      </c>
      <c r="M558" s="67" t="s">
        <v>1375</v>
      </c>
    </row>
    <row r="559" spans="1:13" ht="12" customHeight="1" x14ac:dyDescent="0.2">
      <c r="A559" s="78">
        <v>231554</v>
      </c>
      <c r="B559" s="67" t="s">
        <v>612</v>
      </c>
      <c r="C559" s="67" t="s">
        <v>1196</v>
      </c>
      <c r="D559" s="67" t="s">
        <v>1201</v>
      </c>
      <c r="E559" s="67" t="s">
        <v>1390</v>
      </c>
      <c r="F559" s="67" t="s">
        <v>1652</v>
      </c>
      <c r="G559" s="67" t="s">
        <v>8</v>
      </c>
      <c r="H559" s="68">
        <v>9.4444444444444442E-2</v>
      </c>
      <c r="I559" s="68"/>
      <c r="J559" s="68">
        <v>9.4444444444444442E-2</v>
      </c>
      <c r="K559" s="67" t="s">
        <v>1718</v>
      </c>
      <c r="L559" s="67" t="s">
        <v>1201</v>
      </c>
      <c r="M559" s="67" t="s">
        <v>1390</v>
      </c>
    </row>
    <row r="560" spans="1:13" ht="12" customHeight="1" x14ac:dyDescent="0.2">
      <c r="A560" s="78">
        <v>231492</v>
      </c>
      <c r="B560" s="67" t="s">
        <v>613</v>
      </c>
      <c r="C560" s="67" t="s">
        <v>1196</v>
      </c>
      <c r="D560" s="67" t="s">
        <v>1201</v>
      </c>
      <c r="E560" s="67" t="s">
        <v>1396</v>
      </c>
      <c r="F560" s="67" t="s">
        <v>1651</v>
      </c>
      <c r="G560" s="67" t="s">
        <v>8</v>
      </c>
      <c r="H560" s="68">
        <v>8.3333333333333329E-2</v>
      </c>
      <c r="I560" s="68"/>
      <c r="J560" s="68">
        <v>8.3333333333333329E-2</v>
      </c>
      <c r="K560" s="67" t="s">
        <v>1720</v>
      </c>
      <c r="L560" s="67" t="s">
        <v>1201</v>
      </c>
      <c r="M560" s="67" t="s">
        <v>1396</v>
      </c>
    </row>
    <row r="561" spans="1:13" ht="12" customHeight="1" x14ac:dyDescent="0.2">
      <c r="A561" s="78">
        <v>232950</v>
      </c>
      <c r="B561" s="67" t="s">
        <v>614</v>
      </c>
      <c r="C561" s="67" t="s">
        <v>1196</v>
      </c>
      <c r="D561" s="67" t="s">
        <v>1201</v>
      </c>
      <c r="E561" s="67" t="s">
        <v>1370</v>
      </c>
      <c r="F561" s="67" t="s">
        <v>1646</v>
      </c>
      <c r="G561" s="67" t="s">
        <v>8</v>
      </c>
      <c r="H561" s="68">
        <v>5.9027777777777783E-2</v>
      </c>
      <c r="I561" s="68"/>
      <c r="J561" s="68">
        <v>5.9027777777777783E-2</v>
      </c>
      <c r="K561" s="67" t="s">
        <v>1718</v>
      </c>
      <c r="L561" s="67" t="s">
        <v>1201</v>
      </c>
      <c r="M561" s="67" t="s">
        <v>1370</v>
      </c>
    </row>
    <row r="562" spans="1:13" ht="12" customHeight="1" x14ac:dyDescent="0.2">
      <c r="A562" s="78">
        <v>202631</v>
      </c>
      <c r="B562" s="67" t="s">
        <v>615</v>
      </c>
      <c r="C562" s="67" t="s">
        <v>1196</v>
      </c>
      <c r="D562" s="67" t="s">
        <v>1201</v>
      </c>
      <c r="E562" s="67" t="s">
        <v>1389</v>
      </c>
      <c r="F562" s="67" t="s">
        <v>1648</v>
      </c>
      <c r="G562" s="67" t="s">
        <v>8</v>
      </c>
      <c r="H562" s="68">
        <v>4.9999999999999996E-2</v>
      </c>
      <c r="I562" s="68"/>
      <c r="J562" s="68">
        <v>4.9999999999999996E-2</v>
      </c>
      <c r="K562" s="67" t="s">
        <v>1718</v>
      </c>
      <c r="L562" s="67" t="s">
        <v>1201</v>
      </c>
      <c r="M562" s="67" t="s">
        <v>1389</v>
      </c>
    </row>
    <row r="563" spans="1:13" ht="12" customHeight="1" x14ac:dyDescent="0.2">
      <c r="A563" s="78">
        <v>234121</v>
      </c>
      <c r="B563" s="67" t="s">
        <v>616</v>
      </c>
      <c r="C563" s="67" t="s">
        <v>1196</v>
      </c>
      <c r="D563" s="67" t="s">
        <v>1201</v>
      </c>
      <c r="E563" s="67" t="s">
        <v>1370</v>
      </c>
      <c r="F563" s="67" t="s">
        <v>1646</v>
      </c>
      <c r="G563" s="67" t="s">
        <v>8</v>
      </c>
      <c r="H563" s="68">
        <v>4.7916666666666663E-2</v>
      </c>
      <c r="I563" s="68"/>
      <c r="J563" s="68">
        <v>4.7916666666666663E-2</v>
      </c>
      <c r="K563" s="67" t="s">
        <v>1718</v>
      </c>
      <c r="L563" s="67" t="s">
        <v>1201</v>
      </c>
      <c r="M563" s="67" t="s">
        <v>1370</v>
      </c>
    </row>
    <row r="564" spans="1:13" ht="12" customHeight="1" x14ac:dyDescent="0.2">
      <c r="A564" s="78">
        <v>235399</v>
      </c>
      <c r="B564" s="67" t="s">
        <v>617</v>
      </c>
      <c r="C564" s="67" t="s">
        <v>1196</v>
      </c>
      <c r="D564" s="67" t="s">
        <v>1201</v>
      </c>
      <c r="E564" s="67" t="s">
        <v>1370</v>
      </c>
      <c r="F564" s="67" t="s">
        <v>1646</v>
      </c>
      <c r="G564" s="67" t="s">
        <v>8</v>
      </c>
      <c r="H564" s="68">
        <v>4.7222222222222221E-2</v>
      </c>
      <c r="I564" s="68"/>
      <c r="J564" s="68">
        <v>4.7222222222222221E-2</v>
      </c>
      <c r="K564" s="67" t="s">
        <v>1718</v>
      </c>
      <c r="L564" s="67" t="s">
        <v>1201</v>
      </c>
      <c r="M564" s="67" t="s">
        <v>1370</v>
      </c>
    </row>
    <row r="565" spans="1:13" ht="12" customHeight="1" x14ac:dyDescent="0.2">
      <c r="A565" s="78">
        <v>234601</v>
      </c>
      <c r="B565" s="67" t="s">
        <v>618</v>
      </c>
      <c r="C565" s="67" t="s">
        <v>1196</v>
      </c>
      <c r="D565" s="67" t="s">
        <v>1201</v>
      </c>
      <c r="E565" s="67" t="s">
        <v>1361</v>
      </c>
      <c r="F565" s="67" t="s">
        <v>1639</v>
      </c>
      <c r="G565" s="67" t="s">
        <v>8</v>
      </c>
      <c r="H565" s="68">
        <v>2.7083333333333334E-2</v>
      </c>
      <c r="I565" s="68"/>
      <c r="J565" s="68">
        <v>2.7083333333333334E-2</v>
      </c>
      <c r="K565" s="67" t="s">
        <v>1718</v>
      </c>
      <c r="L565" s="67" t="s">
        <v>1201</v>
      </c>
      <c r="M565" s="67" t="s">
        <v>1361</v>
      </c>
    </row>
    <row r="566" spans="1:13" ht="12" customHeight="1" x14ac:dyDescent="0.2">
      <c r="A566" s="78">
        <v>233835</v>
      </c>
      <c r="B566" s="67" t="s">
        <v>619</v>
      </c>
      <c r="C566" s="67" t="s">
        <v>1196</v>
      </c>
      <c r="D566" s="67" t="s">
        <v>1201</v>
      </c>
      <c r="E566" s="67" t="s">
        <v>1396</v>
      </c>
      <c r="F566" s="67" t="s">
        <v>1651</v>
      </c>
      <c r="G566" s="67" t="s">
        <v>8</v>
      </c>
      <c r="H566" s="68">
        <v>1.5972222222222224E-2</v>
      </c>
      <c r="I566" s="68"/>
      <c r="J566" s="68">
        <v>1.5972222222222224E-2</v>
      </c>
      <c r="K566" s="67" t="s">
        <v>1721</v>
      </c>
      <c r="L566" s="67" t="s">
        <v>1201</v>
      </c>
      <c r="M566" s="67" t="s">
        <v>1396</v>
      </c>
    </row>
    <row r="567" spans="1:13" ht="12" customHeight="1" x14ac:dyDescent="0.2">
      <c r="A567" s="78">
        <v>234799</v>
      </c>
      <c r="B567" s="67" t="s">
        <v>620</v>
      </c>
      <c r="C567" s="67" t="s">
        <v>1196</v>
      </c>
      <c r="D567" s="67" t="s">
        <v>1201</v>
      </c>
      <c r="E567" s="67" t="s">
        <v>1384</v>
      </c>
      <c r="F567" s="67" t="s">
        <v>1654</v>
      </c>
      <c r="G567" s="67" t="s">
        <v>8</v>
      </c>
      <c r="H567" s="68">
        <v>1.5277777777777777E-2</v>
      </c>
      <c r="I567" s="68"/>
      <c r="J567" s="68">
        <v>1.5277777777777777E-2</v>
      </c>
      <c r="K567" s="67" t="s">
        <v>1718</v>
      </c>
      <c r="L567" s="67" t="s">
        <v>1201</v>
      </c>
      <c r="M567" s="67" t="s">
        <v>1384</v>
      </c>
    </row>
    <row r="568" spans="1:13" ht="12" customHeight="1" x14ac:dyDescent="0.2">
      <c r="A568" s="78">
        <v>232151</v>
      </c>
      <c r="B568" s="67" t="s">
        <v>621</v>
      </c>
      <c r="C568" s="67" t="s">
        <v>1196</v>
      </c>
      <c r="D568" s="67" t="s">
        <v>1202</v>
      </c>
      <c r="E568" s="67" t="s">
        <v>1397</v>
      </c>
      <c r="F568" s="67" t="s">
        <v>1655</v>
      </c>
      <c r="G568" s="67" t="s">
        <v>7</v>
      </c>
      <c r="H568" s="68">
        <v>0.79583333333333339</v>
      </c>
      <c r="I568" s="68">
        <v>0.79583333333333339</v>
      </c>
      <c r="J568" s="68"/>
      <c r="K568" s="67" t="s">
        <v>1718</v>
      </c>
      <c r="L568" s="67" t="s">
        <v>1202</v>
      </c>
      <c r="M568" s="67" t="s">
        <v>1397</v>
      </c>
    </row>
    <row r="569" spans="1:13" ht="12" customHeight="1" x14ac:dyDescent="0.2">
      <c r="A569" s="78">
        <v>230742</v>
      </c>
      <c r="B569" s="67" t="s">
        <v>622</v>
      </c>
      <c r="C569" s="67" t="s">
        <v>1196</v>
      </c>
      <c r="D569" s="67" t="s">
        <v>1202</v>
      </c>
      <c r="E569" s="67" t="s">
        <v>1398</v>
      </c>
      <c r="F569" s="67" t="s">
        <v>1656</v>
      </c>
      <c r="G569" s="67" t="s">
        <v>7</v>
      </c>
      <c r="H569" s="68">
        <v>1.8423611111111109</v>
      </c>
      <c r="I569" s="68">
        <v>1.8423611111111109</v>
      </c>
      <c r="J569" s="68"/>
      <c r="K569" s="67" t="s">
        <v>1718</v>
      </c>
      <c r="L569" s="67" t="s">
        <v>1202</v>
      </c>
      <c r="M569" s="67" t="s">
        <v>1398</v>
      </c>
    </row>
    <row r="570" spans="1:13" ht="12" customHeight="1" x14ac:dyDescent="0.2">
      <c r="A570" s="78">
        <v>236241</v>
      </c>
      <c r="B570" s="67" t="s">
        <v>623</v>
      </c>
      <c r="C570" s="67" t="s">
        <v>1196</v>
      </c>
      <c r="D570" s="67" t="s">
        <v>1202</v>
      </c>
      <c r="E570" s="67" t="s">
        <v>1399</v>
      </c>
      <c r="F570" s="67" t="s">
        <v>1657</v>
      </c>
      <c r="G570" s="67" t="s">
        <v>7</v>
      </c>
      <c r="H570" s="68">
        <v>4.0590277777777777</v>
      </c>
      <c r="I570" s="68">
        <v>4.0590277777777777</v>
      </c>
      <c r="J570" s="68"/>
      <c r="K570" s="67" t="s">
        <v>1721</v>
      </c>
      <c r="L570" s="67" t="s">
        <v>1202</v>
      </c>
      <c r="M570" s="67" t="s">
        <v>1399</v>
      </c>
    </row>
    <row r="571" spans="1:13" ht="12" customHeight="1" x14ac:dyDescent="0.2">
      <c r="A571" s="78">
        <v>230634</v>
      </c>
      <c r="B571" s="67" t="s">
        <v>624</v>
      </c>
      <c r="C571" s="67" t="s">
        <v>1196</v>
      </c>
      <c r="D571" s="67" t="s">
        <v>1202</v>
      </c>
      <c r="E571" s="67" t="s">
        <v>1400</v>
      </c>
      <c r="F571" s="67" t="s">
        <v>1658</v>
      </c>
      <c r="G571" s="67" t="s">
        <v>7</v>
      </c>
      <c r="H571" s="68">
        <v>1.6798611111111112</v>
      </c>
      <c r="I571" s="68">
        <v>1.6798611111111112</v>
      </c>
      <c r="J571" s="68"/>
      <c r="K571" s="67" t="s">
        <v>1718</v>
      </c>
      <c r="L571" s="67" t="s">
        <v>1202</v>
      </c>
      <c r="M571" s="67" t="s">
        <v>1400</v>
      </c>
    </row>
    <row r="572" spans="1:13" ht="12" customHeight="1" x14ac:dyDescent="0.2">
      <c r="A572" s="78">
        <v>203590</v>
      </c>
      <c r="B572" s="67" t="s">
        <v>625</v>
      </c>
      <c r="C572" s="67" t="s">
        <v>1196</v>
      </c>
      <c r="D572" s="67" t="s">
        <v>1202</v>
      </c>
      <c r="E572" s="67" t="s">
        <v>1397</v>
      </c>
      <c r="F572" s="67" t="s">
        <v>1655</v>
      </c>
      <c r="G572" s="67" t="s">
        <v>7</v>
      </c>
      <c r="H572" s="68">
        <v>1.5194444444444444</v>
      </c>
      <c r="I572" s="68">
        <v>1.5194444444444444</v>
      </c>
      <c r="J572" s="68"/>
      <c r="K572" s="67" t="s">
        <v>1718</v>
      </c>
      <c r="L572" s="67" t="s">
        <v>1202</v>
      </c>
      <c r="M572" s="67" t="s">
        <v>1397</v>
      </c>
    </row>
    <row r="573" spans="1:13" ht="12" customHeight="1" x14ac:dyDescent="0.2">
      <c r="A573" s="78">
        <v>218141</v>
      </c>
      <c r="B573" s="67" t="s">
        <v>626</v>
      </c>
      <c r="C573" s="67" t="s">
        <v>1196</v>
      </c>
      <c r="D573" s="67" t="s">
        <v>1202</v>
      </c>
      <c r="E573" s="67" t="s">
        <v>1401</v>
      </c>
      <c r="F573" s="67" t="s">
        <v>1655</v>
      </c>
      <c r="G573" s="67" t="s">
        <v>7</v>
      </c>
      <c r="H573" s="68">
        <v>6.9611111111111112</v>
      </c>
      <c r="I573" s="68">
        <v>6.9611111111111112</v>
      </c>
      <c r="J573" s="68"/>
      <c r="K573" s="67" t="s">
        <v>1720</v>
      </c>
      <c r="L573" s="67" t="s">
        <v>1202</v>
      </c>
      <c r="M573" s="67" t="s">
        <v>1401</v>
      </c>
    </row>
    <row r="574" spans="1:13" ht="12" customHeight="1" x14ac:dyDescent="0.2">
      <c r="A574" s="78">
        <v>233601</v>
      </c>
      <c r="B574" s="67" t="s">
        <v>627</v>
      </c>
      <c r="C574" s="67" t="s">
        <v>1196</v>
      </c>
      <c r="D574" s="67" t="s">
        <v>1202</v>
      </c>
      <c r="E574" s="67" t="s">
        <v>1402</v>
      </c>
      <c r="F574" s="67" t="s">
        <v>1659</v>
      </c>
      <c r="G574" s="67" t="s">
        <v>7</v>
      </c>
      <c r="H574" s="68">
        <v>0.34791666666666665</v>
      </c>
      <c r="I574" s="68">
        <v>0.34791666666666665</v>
      </c>
      <c r="J574" s="68"/>
      <c r="K574" s="67" t="s">
        <v>1720</v>
      </c>
      <c r="L574" s="67" t="s">
        <v>1202</v>
      </c>
      <c r="M574" s="67" t="s">
        <v>1402</v>
      </c>
    </row>
    <row r="575" spans="1:13" ht="12" customHeight="1" x14ac:dyDescent="0.2">
      <c r="A575" s="78">
        <v>231250</v>
      </c>
      <c r="B575" s="67" t="s">
        <v>628</v>
      </c>
      <c r="C575" s="67" t="s">
        <v>1196</v>
      </c>
      <c r="D575" s="67" t="s">
        <v>1202</v>
      </c>
      <c r="E575" s="67" t="s">
        <v>1403</v>
      </c>
      <c r="F575" s="67" t="s">
        <v>1656</v>
      </c>
      <c r="G575" s="67" t="s">
        <v>7</v>
      </c>
      <c r="H575" s="68">
        <v>1.5770833333333334</v>
      </c>
      <c r="I575" s="68">
        <v>1.5770833333333334</v>
      </c>
      <c r="J575" s="68"/>
      <c r="K575" s="67" t="s">
        <v>1720</v>
      </c>
      <c r="L575" s="67" t="s">
        <v>1202</v>
      </c>
      <c r="M575" s="67" t="s">
        <v>1403</v>
      </c>
    </row>
    <row r="576" spans="1:13" ht="12" customHeight="1" x14ac:dyDescent="0.2">
      <c r="A576" s="78">
        <v>232830</v>
      </c>
      <c r="B576" s="67" t="s">
        <v>629</v>
      </c>
      <c r="C576" s="67" t="s">
        <v>1196</v>
      </c>
      <c r="D576" s="67" t="s">
        <v>1202</v>
      </c>
      <c r="E576" s="67" t="s">
        <v>1404</v>
      </c>
      <c r="F576" s="67" t="s">
        <v>1658</v>
      </c>
      <c r="G576" s="67" t="s">
        <v>7</v>
      </c>
      <c r="H576" s="68">
        <v>0.22430555555555556</v>
      </c>
      <c r="I576" s="68">
        <v>0.22430555555555556</v>
      </c>
      <c r="J576" s="68"/>
      <c r="K576" s="67" t="s">
        <v>1718</v>
      </c>
      <c r="L576" s="67" t="s">
        <v>1202</v>
      </c>
      <c r="M576" s="67" t="s">
        <v>1404</v>
      </c>
    </row>
    <row r="577" spans="1:13" ht="12" customHeight="1" x14ac:dyDescent="0.2">
      <c r="A577" s="78">
        <v>200513</v>
      </c>
      <c r="B577" s="67" t="s">
        <v>630</v>
      </c>
      <c r="C577" s="67" t="s">
        <v>1196</v>
      </c>
      <c r="D577" s="67" t="s">
        <v>1202</v>
      </c>
      <c r="E577" s="67" t="s">
        <v>1405</v>
      </c>
      <c r="F577" s="67" t="s">
        <v>1660</v>
      </c>
      <c r="G577" s="67" t="s">
        <v>7</v>
      </c>
      <c r="H577" s="68">
        <v>2.4375</v>
      </c>
      <c r="I577" s="68">
        <v>2.4375</v>
      </c>
      <c r="J577" s="68"/>
      <c r="K577" s="67" t="s">
        <v>1720</v>
      </c>
      <c r="L577" s="67" t="s">
        <v>1202</v>
      </c>
      <c r="M577" s="67" t="s">
        <v>1405</v>
      </c>
    </row>
    <row r="578" spans="1:13" ht="12" customHeight="1" x14ac:dyDescent="0.2">
      <c r="A578" s="78">
        <v>237423</v>
      </c>
      <c r="B578" s="67" t="s">
        <v>631</v>
      </c>
      <c r="C578" s="67" t="s">
        <v>1196</v>
      </c>
      <c r="D578" s="67" t="s">
        <v>1202</v>
      </c>
      <c r="E578" s="67" t="s">
        <v>1406</v>
      </c>
      <c r="F578" s="67" t="s">
        <v>1661</v>
      </c>
      <c r="G578" s="67" t="s">
        <v>7</v>
      </c>
      <c r="H578" s="68">
        <v>6.9444444444444447E-4</v>
      </c>
      <c r="I578" s="68">
        <v>6.9444444444444447E-4</v>
      </c>
      <c r="J578" s="68"/>
      <c r="K578" s="67" t="s">
        <v>1718</v>
      </c>
      <c r="L578" s="67" t="s">
        <v>1202</v>
      </c>
      <c r="M578" s="67" t="s">
        <v>1406</v>
      </c>
    </row>
    <row r="579" spans="1:13" ht="12" customHeight="1" x14ac:dyDescent="0.2">
      <c r="A579" s="78">
        <v>224240</v>
      </c>
      <c r="B579" s="67" t="s">
        <v>632</v>
      </c>
      <c r="C579" s="67" t="s">
        <v>1196</v>
      </c>
      <c r="D579" s="67" t="s">
        <v>1202</v>
      </c>
      <c r="E579" s="67" t="s">
        <v>1407</v>
      </c>
      <c r="F579" s="67" t="s">
        <v>1662</v>
      </c>
      <c r="G579" s="67" t="s">
        <v>7</v>
      </c>
      <c r="H579" s="68">
        <v>4.1666666666666666E-3</v>
      </c>
      <c r="I579" s="68">
        <v>4.1666666666666666E-3</v>
      </c>
      <c r="J579" s="68"/>
      <c r="K579" s="67" t="s">
        <v>1724</v>
      </c>
      <c r="L579" s="67" t="s">
        <v>1202</v>
      </c>
      <c r="M579" s="67" t="s">
        <v>1407</v>
      </c>
    </row>
    <row r="580" spans="1:13" ht="12" customHeight="1" x14ac:dyDescent="0.2">
      <c r="A580" s="78">
        <v>237210</v>
      </c>
      <c r="B580" s="67" t="s">
        <v>633</v>
      </c>
      <c r="C580" s="67" t="s">
        <v>1196</v>
      </c>
      <c r="D580" s="67" t="s">
        <v>1202</v>
      </c>
      <c r="E580" s="67" t="s">
        <v>1408</v>
      </c>
      <c r="F580" s="67" t="s">
        <v>1663</v>
      </c>
      <c r="G580" s="67" t="s">
        <v>7</v>
      </c>
      <c r="H580" s="68">
        <v>0.32013888888888892</v>
      </c>
      <c r="I580" s="68">
        <v>0.32013888888888892</v>
      </c>
      <c r="J580" s="68"/>
      <c r="K580" s="67" t="s">
        <v>1720</v>
      </c>
      <c r="L580" s="67" t="s">
        <v>1202</v>
      </c>
      <c r="M580" s="67" t="s">
        <v>1408</v>
      </c>
    </row>
    <row r="581" spans="1:13" ht="12" customHeight="1" x14ac:dyDescent="0.2">
      <c r="A581" s="78">
        <v>234147</v>
      </c>
      <c r="B581" s="67" t="s">
        <v>634</v>
      </c>
      <c r="C581" s="67" t="s">
        <v>1196</v>
      </c>
      <c r="D581" s="67" t="s">
        <v>1202</v>
      </c>
      <c r="E581" s="67" t="s">
        <v>1409</v>
      </c>
      <c r="F581" s="67" t="s">
        <v>1660</v>
      </c>
      <c r="G581" s="67" t="s">
        <v>7</v>
      </c>
      <c r="H581" s="68">
        <v>1.9895833333333335</v>
      </c>
      <c r="I581" s="68">
        <v>1.9895833333333335</v>
      </c>
      <c r="J581" s="68"/>
      <c r="K581" s="67" t="s">
        <v>1718</v>
      </c>
      <c r="L581" s="67" t="s">
        <v>1202</v>
      </c>
      <c r="M581" s="67" t="s">
        <v>1409</v>
      </c>
    </row>
    <row r="582" spans="1:13" ht="12" customHeight="1" x14ac:dyDescent="0.2">
      <c r="A582" s="78">
        <v>203599</v>
      </c>
      <c r="B582" s="67" t="s">
        <v>635</v>
      </c>
      <c r="C582" s="67" t="s">
        <v>1196</v>
      </c>
      <c r="D582" s="67" t="s">
        <v>1202</v>
      </c>
      <c r="E582" s="67" t="s">
        <v>1410</v>
      </c>
      <c r="F582" s="67" t="s">
        <v>1664</v>
      </c>
      <c r="G582" s="67" t="s">
        <v>7</v>
      </c>
      <c r="H582" s="68">
        <v>0.85555555555555562</v>
      </c>
      <c r="I582" s="68">
        <v>0.85555555555555562</v>
      </c>
      <c r="J582" s="68"/>
      <c r="K582" s="67" t="s">
        <v>1718</v>
      </c>
      <c r="L582" s="67" t="s">
        <v>1202</v>
      </c>
      <c r="M582" s="67" t="s">
        <v>1410</v>
      </c>
    </row>
    <row r="583" spans="1:13" ht="12" customHeight="1" x14ac:dyDescent="0.2">
      <c r="A583" s="78">
        <v>200893</v>
      </c>
      <c r="B583" s="67" t="s">
        <v>636</v>
      </c>
      <c r="C583" s="67" t="s">
        <v>1196</v>
      </c>
      <c r="D583" s="67" t="s">
        <v>1202</v>
      </c>
      <c r="E583" s="67" t="s">
        <v>1408</v>
      </c>
      <c r="F583" s="67" t="s">
        <v>1663</v>
      </c>
      <c r="G583" s="67" t="s">
        <v>7</v>
      </c>
      <c r="H583" s="68">
        <v>6.7180555555555559</v>
      </c>
      <c r="I583" s="68">
        <v>6.7180555555555559</v>
      </c>
      <c r="J583" s="68"/>
      <c r="K583" s="67" t="s">
        <v>1721</v>
      </c>
      <c r="L583" s="67" t="s">
        <v>1202</v>
      </c>
      <c r="M583" s="67" t="s">
        <v>1408</v>
      </c>
    </row>
    <row r="584" spans="1:13" ht="12" customHeight="1" x14ac:dyDescent="0.2">
      <c r="A584" s="78">
        <v>200533</v>
      </c>
      <c r="B584" s="67" t="s">
        <v>637</v>
      </c>
      <c r="C584" s="67" t="s">
        <v>1196</v>
      </c>
      <c r="D584" s="67" t="s">
        <v>1202</v>
      </c>
      <c r="E584" s="67" t="s">
        <v>1411</v>
      </c>
      <c r="F584" s="67" t="s">
        <v>1664</v>
      </c>
      <c r="G584" s="67" t="s">
        <v>7</v>
      </c>
      <c r="H584" s="68">
        <v>0.44236111111111115</v>
      </c>
      <c r="I584" s="68">
        <v>0.44236111111111115</v>
      </c>
      <c r="J584" s="68"/>
      <c r="K584" s="67" t="s">
        <v>1721</v>
      </c>
      <c r="L584" s="67" t="s">
        <v>1202</v>
      </c>
      <c r="M584" s="67" t="s">
        <v>1411</v>
      </c>
    </row>
    <row r="585" spans="1:13" ht="12" customHeight="1" x14ac:dyDescent="0.2">
      <c r="A585" s="78">
        <v>230857</v>
      </c>
      <c r="B585" s="67" t="s">
        <v>638</v>
      </c>
      <c r="C585" s="67" t="s">
        <v>1196</v>
      </c>
      <c r="D585" s="67" t="s">
        <v>1202</v>
      </c>
      <c r="E585" s="67" t="s">
        <v>1405</v>
      </c>
      <c r="F585" s="67" t="s">
        <v>1660</v>
      </c>
      <c r="G585" s="67" t="s">
        <v>7</v>
      </c>
      <c r="H585" s="68">
        <v>4.0861111111111112</v>
      </c>
      <c r="I585" s="68">
        <v>4.0861111111111112</v>
      </c>
      <c r="J585" s="68"/>
      <c r="K585" s="67" t="s">
        <v>1720</v>
      </c>
      <c r="L585" s="67" t="s">
        <v>1202</v>
      </c>
      <c r="M585" s="67" t="s">
        <v>1405</v>
      </c>
    </row>
    <row r="586" spans="1:13" ht="12" customHeight="1" x14ac:dyDescent="0.2">
      <c r="A586" s="78">
        <v>237160</v>
      </c>
      <c r="B586" s="67" t="s">
        <v>639</v>
      </c>
      <c r="C586" s="67" t="s">
        <v>1196</v>
      </c>
      <c r="D586" s="67" t="s">
        <v>1202</v>
      </c>
      <c r="E586" s="67" t="s">
        <v>1412</v>
      </c>
      <c r="F586" s="67" t="s">
        <v>1665</v>
      </c>
      <c r="G586" s="67" t="s">
        <v>7</v>
      </c>
      <c r="H586" s="68">
        <v>0.47222222222222227</v>
      </c>
      <c r="I586" s="68">
        <v>0.47222222222222227</v>
      </c>
      <c r="J586" s="68"/>
      <c r="K586" s="67" t="s">
        <v>1720</v>
      </c>
      <c r="L586" s="67" t="s">
        <v>1202</v>
      </c>
      <c r="M586" s="67" t="s">
        <v>1412</v>
      </c>
    </row>
    <row r="587" spans="1:13" ht="12" customHeight="1" x14ac:dyDescent="0.2">
      <c r="A587" s="78">
        <v>224228</v>
      </c>
      <c r="B587" s="67" t="s">
        <v>640</v>
      </c>
      <c r="C587" s="67" t="s">
        <v>1196</v>
      </c>
      <c r="D587" s="67" t="s">
        <v>1202</v>
      </c>
      <c r="E587" s="67" t="s">
        <v>1404</v>
      </c>
      <c r="F587" s="67" t="s">
        <v>1658</v>
      </c>
      <c r="G587" s="67" t="s">
        <v>7</v>
      </c>
      <c r="H587" s="68">
        <v>2.8</v>
      </c>
      <c r="I587" s="68">
        <v>2.8</v>
      </c>
      <c r="J587" s="68"/>
      <c r="K587" s="67" t="s">
        <v>1718</v>
      </c>
      <c r="L587" s="67" t="s">
        <v>1202</v>
      </c>
      <c r="M587" s="67" t="s">
        <v>1404</v>
      </c>
    </row>
    <row r="588" spans="1:13" ht="12" customHeight="1" x14ac:dyDescent="0.2">
      <c r="A588" s="78">
        <v>230748</v>
      </c>
      <c r="B588" s="67" t="s">
        <v>641</v>
      </c>
      <c r="C588" s="67" t="s">
        <v>1196</v>
      </c>
      <c r="D588" s="67" t="s">
        <v>1202</v>
      </c>
      <c r="E588" s="67" t="s">
        <v>1406</v>
      </c>
      <c r="F588" s="67" t="s">
        <v>1661</v>
      </c>
      <c r="G588" s="67" t="s">
        <v>7</v>
      </c>
      <c r="H588" s="68">
        <v>2.7777777777777779E-3</v>
      </c>
      <c r="I588" s="68">
        <v>2.7777777777777779E-3</v>
      </c>
      <c r="J588" s="68"/>
      <c r="K588" s="67" t="s">
        <v>1718</v>
      </c>
      <c r="L588" s="67" t="s">
        <v>1202</v>
      </c>
      <c r="M588" s="67" t="s">
        <v>1406</v>
      </c>
    </row>
    <row r="589" spans="1:13" ht="12" customHeight="1" x14ac:dyDescent="0.2">
      <c r="A589" s="78">
        <v>237216</v>
      </c>
      <c r="B589" s="67" t="s">
        <v>642</v>
      </c>
      <c r="C589" s="67" t="s">
        <v>1196</v>
      </c>
      <c r="D589" s="67" t="s">
        <v>1202</v>
      </c>
      <c r="E589" s="67" t="s">
        <v>1413</v>
      </c>
      <c r="F589" s="67" t="s">
        <v>1665</v>
      </c>
      <c r="G589" s="67" t="s">
        <v>7</v>
      </c>
      <c r="H589" s="68">
        <v>0.46319444444444446</v>
      </c>
      <c r="I589" s="68">
        <v>0.46319444444444446</v>
      </c>
      <c r="J589" s="68"/>
      <c r="K589" s="67" t="s">
        <v>1718</v>
      </c>
      <c r="L589" s="67" t="s">
        <v>1202</v>
      </c>
      <c r="M589" s="67" t="s">
        <v>1413</v>
      </c>
    </row>
    <row r="590" spans="1:13" ht="12" customHeight="1" x14ac:dyDescent="0.2">
      <c r="A590" s="78">
        <v>232856</v>
      </c>
      <c r="B590" s="67" t="s">
        <v>643</v>
      </c>
      <c r="C590" s="67" t="s">
        <v>1196</v>
      </c>
      <c r="D590" s="67" t="s">
        <v>1202</v>
      </c>
      <c r="E590" s="67" t="s">
        <v>1402</v>
      </c>
      <c r="F590" s="67" t="s">
        <v>1659</v>
      </c>
      <c r="G590" s="67" t="s">
        <v>7</v>
      </c>
      <c r="H590" s="68">
        <v>0.88680555555555562</v>
      </c>
      <c r="I590" s="68">
        <v>0.88680555555555562</v>
      </c>
      <c r="J590" s="68"/>
      <c r="K590" s="67" t="s">
        <v>1722</v>
      </c>
      <c r="L590" s="67" t="s">
        <v>1202</v>
      </c>
      <c r="M590" s="67" t="s">
        <v>1402</v>
      </c>
    </row>
    <row r="591" spans="1:13" ht="12" customHeight="1" x14ac:dyDescent="0.2">
      <c r="A591" s="78">
        <v>230931</v>
      </c>
      <c r="B591" s="67" t="s">
        <v>644</v>
      </c>
      <c r="C591" s="67" t="s">
        <v>1196</v>
      </c>
      <c r="D591" s="67" t="s">
        <v>1202</v>
      </c>
      <c r="E591" s="67" t="s">
        <v>1403</v>
      </c>
      <c r="F591" s="67" t="s">
        <v>1656</v>
      </c>
      <c r="G591" s="67" t="s">
        <v>7</v>
      </c>
      <c r="H591" s="68">
        <v>0.31736111111111115</v>
      </c>
      <c r="I591" s="68">
        <v>0.31736111111111115</v>
      </c>
      <c r="J591" s="68"/>
      <c r="K591" s="67" t="s">
        <v>1721</v>
      </c>
      <c r="L591" s="67" t="s">
        <v>1202</v>
      </c>
      <c r="M591" s="67" t="s">
        <v>1403</v>
      </c>
    </row>
    <row r="592" spans="1:13" ht="12" customHeight="1" x14ac:dyDescent="0.2">
      <c r="A592" s="78">
        <v>236004</v>
      </c>
      <c r="B592" s="67" t="s">
        <v>645</v>
      </c>
      <c r="C592" s="67" t="s">
        <v>1196</v>
      </c>
      <c r="D592" s="67" t="s">
        <v>1202</v>
      </c>
      <c r="E592" s="67" t="s">
        <v>1403</v>
      </c>
      <c r="F592" s="67" t="s">
        <v>1656</v>
      </c>
      <c r="G592" s="67" t="s">
        <v>7</v>
      </c>
      <c r="H592" s="68">
        <v>0.50486111111111109</v>
      </c>
      <c r="I592" s="68">
        <v>0.50486111111111109</v>
      </c>
      <c r="J592" s="68"/>
      <c r="K592" s="67" t="s">
        <v>1720</v>
      </c>
      <c r="L592" s="67" t="s">
        <v>1202</v>
      </c>
      <c r="M592" s="67" t="s">
        <v>1403</v>
      </c>
    </row>
    <row r="593" spans="1:13" ht="12" customHeight="1" x14ac:dyDescent="0.2">
      <c r="A593" s="78">
        <v>224160</v>
      </c>
      <c r="B593" s="67" t="s">
        <v>646</v>
      </c>
      <c r="C593" s="67" t="s">
        <v>1196</v>
      </c>
      <c r="D593" s="67" t="s">
        <v>1202</v>
      </c>
      <c r="E593" s="67" t="s">
        <v>1397</v>
      </c>
      <c r="F593" s="67" t="s">
        <v>1655</v>
      </c>
      <c r="G593" s="67" t="s">
        <v>7</v>
      </c>
      <c r="H593" s="68">
        <v>0.36249999999999999</v>
      </c>
      <c r="I593" s="68">
        <v>0.36249999999999999</v>
      </c>
      <c r="J593" s="68"/>
      <c r="K593" s="67" t="s">
        <v>1718</v>
      </c>
      <c r="L593" s="67" t="s">
        <v>1202</v>
      </c>
      <c r="M593" s="67" t="s">
        <v>1397</v>
      </c>
    </row>
    <row r="594" spans="1:13" ht="12" customHeight="1" x14ac:dyDescent="0.2">
      <c r="A594" s="78">
        <v>203637</v>
      </c>
      <c r="B594" s="67" t="s">
        <v>647</v>
      </c>
      <c r="C594" s="67" t="s">
        <v>1196</v>
      </c>
      <c r="D594" s="67" t="s">
        <v>1202</v>
      </c>
      <c r="E594" s="67" t="s">
        <v>1414</v>
      </c>
      <c r="F594" s="67" t="s">
        <v>1657</v>
      </c>
      <c r="G594" s="67" t="s">
        <v>7</v>
      </c>
      <c r="H594" s="68">
        <v>0.19305555555555554</v>
      </c>
      <c r="I594" s="68">
        <v>0.19305555555555554</v>
      </c>
      <c r="J594" s="68"/>
      <c r="K594" s="67" t="s">
        <v>1718</v>
      </c>
      <c r="L594" s="67" t="s">
        <v>1202</v>
      </c>
      <c r="M594" s="67" t="s">
        <v>1414</v>
      </c>
    </row>
    <row r="595" spans="1:13" ht="12" customHeight="1" x14ac:dyDescent="0.2">
      <c r="A595" s="78">
        <v>230584</v>
      </c>
      <c r="B595" s="67" t="s">
        <v>648</v>
      </c>
      <c r="C595" s="67" t="s">
        <v>1196</v>
      </c>
      <c r="D595" s="67" t="s">
        <v>1202</v>
      </c>
      <c r="E595" s="67" t="s">
        <v>1402</v>
      </c>
      <c r="F595" s="67" t="s">
        <v>1659</v>
      </c>
      <c r="G595" s="67" t="s">
        <v>7</v>
      </c>
      <c r="H595" s="68">
        <v>1.3687499999999999</v>
      </c>
      <c r="I595" s="68">
        <v>1.3687499999999999</v>
      </c>
      <c r="J595" s="68"/>
      <c r="K595" s="67" t="s">
        <v>1721</v>
      </c>
      <c r="L595" s="67" t="s">
        <v>1202</v>
      </c>
      <c r="M595" s="67" t="s">
        <v>1402</v>
      </c>
    </row>
    <row r="596" spans="1:13" ht="12" customHeight="1" x14ac:dyDescent="0.2">
      <c r="A596" s="78">
        <v>200784</v>
      </c>
      <c r="B596" s="67" t="s">
        <v>649</v>
      </c>
      <c r="C596" s="67" t="s">
        <v>1196</v>
      </c>
      <c r="D596" s="67" t="s">
        <v>1202</v>
      </c>
      <c r="E596" s="67" t="s">
        <v>1405</v>
      </c>
      <c r="F596" s="67" t="s">
        <v>1660</v>
      </c>
      <c r="G596" s="67" t="s">
        <v>7</v>
      </c>
      <c r="H596" s="68">
        <v>0.14027777777777778</v>
      </c>
      <c r="I596" s="68">
        <v>0.14027777777777778</v>
      </c>
      <c r="J596" s="68"/>
      <c r="K596" s="67" t="s">
        <v>1721</v>
      </c>
      <c r="L596" s="67" t="s">
        <v>1202</v>
      </c>
      <c r="M596" s="67" t="s">
        <v>1405</v>
      </c>
    </row>
    <row r="597" spans="1:13" ht="12" customHeight="1" x14ac:dyDescent="0.2">
      <c r="A597" s="78">
        <v>236168</v>
      </c>
      <c r="B597" s="67" t="s">
        <v>650</v>
      </c>
      <c r="C597" s="67" t="s">
        <v>1196</v>
      </c>
      <c r="D597" s="67" t="s">
        <v>1202</v>
      </c>
      <c r="E597" s="67" t="s">
        <v>1413</v>
      </c>
      <c r="F597" s="67" t="s">
        <v>1665</v>
      </c>
      <c r="G597" s="67" t="s">
        <v>7</v>
      </c>
      <c r="H597" s="68">
        <v>1.2166666666666668</v>
      </c>
      <c r="I597" s="68">
        <v>1.2166666666666668</v>
      </c>
      <c r="J597" s="68"/>
      <c r="K597" s="67" t="s">
        <v>1718</v>
      </c>
      <c r="L597" s="67" t="s">
        <v>1202</v>
      </c>
      <c r="M597" s="67" t="s">
        <v>1413</v>
      </c>
    </row>
    <row r="598" spans="1:13" ht="12" customHeight="1" x14ac:dyDescent="0.2">
      <c r="A598" s="78">
        <v>214135</v>
      </c>
      <c r="B598" s="67" t="s">
        <v>651</v>
      </c>
      <c r="C598" s="67" t="s">
        <v>1196</v>
      </c>
      <c r="D598" s="67" t="s">
        <v>1202</v>
      </c>
      <c r="E598" s="67" t="s">
        <v>1404</v>
      </c>
      <c r="F598" s="67" t="s">
        <v>1658</v>
      </c>
      <c r="G598" s="67" t="s">
        <v>7</v>
      </c>
      <c r="H598" s="68">
        <v>1.6881944444444446</v>
      </c>
      <c r="I598" s="68">
        <v>1.6881944444444446</v>
      </c>
      <c r="J598" s="68"/>
      <c r="K598" s="67" t="s">
        <v>1718</v>
      </c>
      <c r="L598" s="67" t="s">
        <v>1202</v>
      </c>
      <c r="M598" s="67" t="s">
        <v>1404</v>
      </c>
    </row>
    <row r="599" spans="1:13" ht="12" customHeight="1" x14ac:dyDescent="0.2">
      <c r="A599" s="78">
        <v>235983</v>
      </c>
      <c r="B599" s="67" t="s">
        <v>652</v>
      </c>
      <c r="C599" s="67" t="s">
        <v>1196</v>
      </c>
      <c r="D599" s="67" t="s">
        <v>1202</v>
      </c>
      <c r="E599" s="67" t="s">
        <v>1413</v>
      </c>
      <c r="F599" s="67" t="s">
        <v>1665</v>
      </c>
      <c r="G599" s="67" t="s">
        <v>7</v>
      </c>
      <c r="H599" s="68">
        <v>1.8041666666666667</v>
      </c>
      <c r="I599" s="68">
        <v>1.8041666666666667</v>
      </c>
      <c r="J599" s="68"/>
      <c r="K599" s="67" t="s">
        <v>1718</v>
      </c>
      <c r="L599" s="67" t="s">
        <v>1202</v>
      </c>
      <c r="M599" s="67" t="s">
        <v>1413</v>
      </c>
    </row>
    <row r="600" spans="1:13" ht="12" customHeight="1" x14ac:dyDescent="0.2">
      <c r="A600" s="78">
        <v>232012</v>
      </c>
      <c r="B600" s="67" t="s">
        <v>653</v>
      </c>
      <c r="C600" s="67" t="s">
        <v>1196</v>
      </c>
      <c r="D600" s="67" t="s">
        <v>1202</v>
      </c>
      <c r="E600" s="67" t="s">
        <v>1405</v>
      </c>
      <c r="F600" s="67" t="s">
        <v>1660</v>
      </c>
      <c r="G600" s="67" t="s">
        <v>7</v>
      </c>
      <c r="H600" s="68">
        <v>3.7972222222222221</v>
      </c>
      <c r="I600" s="68">
        <v>3.7972222222222221</v>
      </c>
      <c r="J600" s="68"/>
      <c r="K600" s="67" t="s">
        <v>1720</v>
      </c>
      <c r="L600" s="67" t="s">
        <v>1202</v>
      </c>
      <c r="M600" s="67" t="s">
        <v>1405</v>
      </c>
    </row>
    <row r="601" spans="1:13" ht="12" customHeight="1" x14ac:dyDescent="0.2">
      <c r="A601" s="78">
        <v>203078</v>
      </c>
      <c r="B601" s="67" t="s">
        <v>654</v>
      </c>
      <c r="C601" s="67" t="s">
        <v>1196</v>
      </c>
      <c r="D601" s="67" t="s">
        <v>1202</v>
      </c>
      <c r="E601" s="67" t="s">
        <v>1397</v>
      </c>
      <c r="F601" s="67" t="s">
        <v>1655</v>
      </c>
      <c r="G601" s="67" t="s">
        <v>7</v>
      </c>
      <c r="H601" s="68">
        <v>2.9472222222222224</v>
      </c>
      <c r="I601" s="68">
        <v>2.9472222222222224</v>
      </c>
      <c r="J601" s="68"/>
      <c r="K601" s="67" t="s">
        <v>1718</v>
      </c>
      <c r="L601" s="67" t="s">
        <v>1202</v>
      </c>
      <c r="M601" s="67" t="s">
        <v>1397</v>
      </c>
    </row>
    <row r="602" spans="1:13" ht="12" customHeight="1" x14ac:dyDescent="0.2">
      <c r="A602" s="78">
        <v>225762</v>
      </c>
      <c r="B602" s="67" t="s">
        <v>655</v>
      </c>
      <c r="C602" s="67" t="s">
        <v>1196</v>
      </c>
      <c r="D602" s="67" t="s">
        <v>1202</v>
      </c>
      <c r="E602" s="67" t="s">
        <v>1397</v>
      </c>
      <c r="F602" s="67" t="s">
        <v>1655</v>
      </c>
      <c r="G602" s="67" t="s">
        <v>7</v>
      </c>
      <c r="H602" s="68">
        <v>3.4131944444444446</v>
      </c>
      <c r="I602" s="68">
        <v>3.4131944444444446</v>
      </c>
      <c r="J602" s="68"/>
      <c r="K602" s="67" t="s">
        <v>1718</v>
      </c>
      <c r="L602" s="67" t="s">
        <v>1202</v>
      </c>
      <c r="M602" s="67" t="s">
        <v>1397</v>
      </c>
    </row>
    <row r="603" spans="1:13" ht="12" customHeight="1" x14ac:dyDescent="0.2">
      <c r="A603" s="78">
        <v>225545</v>
      </c>
      <c r="B603" s="67" t="s">
        <v>656</v>
      </c>
      <c r="C603" s="67" t="s">
        <v>1196</v>
      </c>
      <c r="D603" s="67" t="s">
        <v>1202</v>
      </c>
      <c r="E603" s="67" t="s">
        <v>1402</v>
      </c>
      <c r="F603" s="67" t="s">
        <v>1659</v>
      </c>
      <c r="G603" s="67" t="s">
        <v>7</v>
      </c>
      <c r="H603" s="68">
        <v>0.15972222222222224</v>
      </c>
      <c r="I603" s="68">
        <v>0.15972222222222224</v>
      </c>
      <c r="J603" s="68"/>
      <c r="K603" s="67" t="s">
        <v>1720</v>
      </c>
      <c r="L603" s="67" t="s">
        <v>1202</v>
      </c>
      <c r="M603" s="67" t="s">
        <v>1402</v>
      </c>
    </row>
    <row r="604" spans="1:13" ht="12" customHeight="1" x14ac:dyDescent="0.2">
      <c r="A604" s="78">
        <v>231981</v>
      </c>
      <c r="B604" s="67" t="s">
        <v>657</v>
      </c>
      <c r="C604" s="67" t="s">
        <v>1196</v>
      </c>
      <c r="D604" s="67" t="s">
        <v>1202</v>
      </c>
      <c r="E604" s="67" t="s">
        <v>1409</v>
      </c>
      <c r="F604" s="67" t="s">
        <v>1660</v>
      </c>
      <c r="G604" s="67" t="s">
        <v>7</v>
      </c>
      <c r="H604" s="68">
        <v>8.819444444444445E-2</v>
      </c>
      <c r="I604" s="68">
        <v>8.819444444444445E-2</v>
      </c>
      <c r="J604" s="68"/>
      <c r="K604" s="67" t="s">
        <v>1718</v>
      </c>
      <c r="L604" s="67" t="s">
        <v>1202</v>
      </c>
      <c r="M604" s="67" t="s">
        <v>1409</v>
      </c>
    </row>
    <row r="605" spans="1:13" ht="12" customHeight="1" x14ac:dyDescent="0.2">
      <c r="A605" s="78">
        <v>222928</v>
      </c>
      <c r="B605" s="67" t="s">
        <v>658</v>
      </c>
      <c r="C605" s="67" t="s">
        <v>1196</v>
      </c>
      <c r="D605" s="67" t="s">
        <v>1202</v>
      </c>
      <c r="E605" s="67" t="s">
        <v>1406</v>
      </c>
      <c r="F605" s="67" t="s">
        <v>1661</v>
      </c>
      <c r="G605" s="67" t="s">
        <v>7</v>
      </c>
      <c r="H605" s="68">
        <v>6.2499999999999995E-3</v>
      </c>
      <c r="I605" s="68">
        <v>6.2499999999999995E-3</v>
      </c>
      <c r="J605" s="68"/>
      <c r="K605" s="67" t="s">
        <v>1718</v>
      </c>
      <c r="L605" s="67" t="s">
        <v>1202</v>
      </c>
      <c r="M605" s="67" t="s">
        <v>1406</v>
      </c>
    </row>
    <row r="606" spans="1:13" ht="12" customHeight="1" x14ac:dyDescent="0.2">
      <c r="A606" s="78">
        <v>232287</v>
      </c>
      <c r="B606" s="67" t="s">
        <v>659</v>
      </c>
      <c r="C606" s="67" t="s">
        <v>1196</v>
      </c>
      <c r="D606" s="67" t="s">
        <v>1202</v>
      </c>
      <c r="E606" s="67" t="s">
        <v>1415</v>
      </c>
      <c r="F606" s="67" t="s">
        <v>1657</v>
      </c>
      <c r="G606" s="67" t="s">
        <v>7</v>
      </c>
      <c r="H606" s="68">
        <v>1.2875000000000001</v>
      </c>
      <c r="I606" s="68">
        <v>1.2875000000000001</v>
      </c>
      <c r="J606" s="68"/>
      <c r="K606" s="67" t="s">
        <v>1718</v>
      </c>
      <c r="L606" s="67" t="s">
        <v>1202</v>
      </c>
      <c r="M606" s="67" t="s">
        <v>1415</v>
      </c>
    </row>
    <row r="607" spans="1:13" ht="12" customHeight="1" x14ac:dyDescent="0.2">
      <c r="A607" s="78">
        <v>217689</v>
      </c>
      <c r="B607" s="67" t="s">
        <v>660</v>
      </c>
      <c r="C607" s="67" t="s">
        <v>1196</v>
      </c>
      <c r="D607" s="67" t="s">
        <v>1202</v>
      </c>
      <c r="E607" s="67" t="s">
        <v>1416</v>
      </c>
      <c r="F607" s="67" t="s">
        <v>1666</v>
      </c>
      <c r="G607" s="67" t="s">
        <v>7</v>
      </c>
      <c r="H607" s="68">
        <v>20.820833333333333</v>
      </c>
      <c r="I607" s="68">
        <v>20.820833333333333</v>
      </c>
      <c r="J607" s="68"/>
      <c r="K607" s="67" t="s">
        <v>1721</v>
      </c>
      <c r="L607" s="67" t="s">
        <v>1202</v>
      </c>
      <c r="M607" s="67" t="s">
        <v>1416</v>
      </c>
    </row>
    <row r="608" spans="1:13" ht="12" customHeight="1" x14ac:dyDescent="0.2">
      <c r="A608" s="78">
        <v>233057</v>
      </c>
      <c r="B608" s="67" t="s">
        <v>661</v>
      </c>
      <c r="C608" s="67" t="s">
        <v>1196</v>
      </c>
      <c r="D608" s="67" t="s">
        <v>1202</v>
      </c>
      <c r="E608" s="67" t="s">
        <v>1417</v>
      </c>
      <c r="F608" s="67" t="s">
        <v>1658</v>
      </c>
      <c r="G608" s="67" t="s">
        <v>7</v>
      </c>
      <c r="H608" s="68">
        <v>5.4013888888888886</v>
      </c>
      <c r="I608" s="68">
        <v>5.4013888888888886</v>
      </c>
      <c r="J608" s="68"/>
      <c r="K608" s="67" t="s">
        <v>1722</v>
      </c>
      <c r="L608" s="67" t="s">
        <v>1202</v>
      </c>
      <c r="M608" s="67" t="s">
        <v>1417</v>
      </c>
    </row>
    <row r="609" spans="1:13" ht="12" customHeight="1" x14ac:dyDescent="0.2">
      <c r="A609" s="78">
        <v>224380</v>
      </c>
      <c r="B609" s="67" t="s">
        <v>662</v>
      </c>
      <c r="C609" s="67" t="s">
        <v>1196</v>
      </c>
      <c r="D609" s="67" t="s">
        <v>1202</v>
      </c>
      <c r="E609" s="67" t="s">
        <v>1418</v>
      </c>
      <c r="F609" s="67" t="s">
        <v>1659</v>
      </c>
      <c r="G609" s="67" t="s">
        <v>7</v>
      </c>
      <c r="H609" s="68">
        <v>0.75624999999999998</v>
      </c>
      <c r="I609" s="68">
        <v>0.75624999999999998</v>
      </c>
      <c r="J609" s="68"/>
      <c r="K609" s="67" t="s">
        <v>1718</v>
      </c>
      <c r="L609" s="67" t="s">
        <v>1202</v>
      </c>
      <c r="M609" s="67" t="s">
        <v>1418</v>
      </c>
    </row>
    <row r="610" spans="1:13" ht="12" customHeight="1" x14ac:dyDescent="0.2">
      <c r="A610" s="78">
        <v>222847</v>
      </c>
      <c r="B610" s="67" t="s">
        <v>663</v>
      </c>
      <c r="C610" s="67" t="s">
        <v>1196</v>
      </c>
      <c r="D610" s="67" t="s">
        <v>1202</v>
      </c>
      <c r="E610" s="67" t="s">
        <v>1404</v>
      </c>
      <c r="F610" s="67" t="s">
        <v>1658</v>
      </c>
      <c r="G610" s="67" t="s">
        <v>7</v>
      </c>
      <c r="H610" s="68">
        <v>0.30277777777777776</v>
      </c>
      <c r="I610" s="68">
        <v>0.30277777777777776</v>
      </c>
      <c r="J610" s="68"/>
      <c r="K610" s="67" t="s">
        <v>1718</v>
      </c>
      <c r="L610" s="67" t="s">
        <v>1202</v>
      </c>
      <c r="M610" s="67" t="s">
        <v>1404</v>
      </c>
    </row>
    <row r="611" spans="1:13" ht="12" customHeight="1" x14ac:dyDescent="0.2">
      <c r="A611" s="78">
        <v>234611</v>
      </c>
      <c r="B611" s="67" t="s">
        <v>664</v>
      </c>
      <c r="C611" s="67" t="s">
        <v>1196</v>
      </c>
      <c r="D611" s="67" t="s">
        <v>1202</v>
      </c>
      <c r="E611" s="67" t="s">
        <v>1419</v>
      </c>
      <c r="F611" s="67" t="s">
        <v>1663</v>
      </c>
      <c r="G611" s="67" t="s">
        <v>7</v>
      </c>
      <c r="H611" s="68">
        <v>4.5833333333333337E-2</v>
      </c>
      <c r="I611" s="68">
        <v>4.5833333333333337E-2</v>
      </c>
      <c r="J611" s="68"/>
      <c r="K611" s="67" t="s">
        <v>1718</v>
      </c>
      <c r="L611" s="67" t="s">
        <v>1202</v>
      </c>
      <c r="M611" s="67" t="s">
        <v>1419</v>
      </c>
    </row>
    <row r="612" spans="1:13" ht="12" customHeight="1" x14ac:dyDescent="0.2">
      <c r="A612" s="78">
        <v>203499</v>
      </c>
      <c r="B612" s="67" t="s">
        <v>665</v>
      </c>
      <c r="C612" s="67" t="s">
        <v>1196</v>
      </c>
      <c r="D612" s="67" t="s">
        <v>1202</v>
      </c>
      <c r="E612" s="67" t="s">
        <v>1410</v>
      </c>
      <c r="F612" s="67" t="s">
        <v>1664</v>
      </c>
      <c r="G612" s="67" t="s">
        <v>8</v>
      </c>
      <c r="H612" s="68">
        <v>3.4777777777777779</v>
      </c>
      <c r="I612" s="68"/>
      <c r="J612" s="68">
        <v>3.4777777777777779</v>
      </c>
      <c r="K612" s="67" t="s">
        <v>1718</v>
      </c>
      <c r="L612" s="67" t="s">
        <v>1202</v>
      </c>
      <c r="M612" s="67" t="s">
        <v>1410</v>
      </c>
    </row>
    <row r="613" spans="1:13" ht="12" customHeight="1" x14ac:dyDescent="0.2">
      <c r="A613" s="78">
        <v>225192</v>
      </c>
      <c r="B613" s="67" t="s">
        <v>666</v>
      </c>
      <c r="C613" s="67" t="s">
        <v>1196</v>
      </c>
      <c r="D613" s="67" t="s">
        <v>1202</v>
      </c>
      <c r="E613" s="67" t="s">
        <v>1420</v>
      </c>
      <c r="F613" s="67" t="s">
        <v>1667</v>
      </c>
      <c r="G613" s="67" t="s">
        <v>8</v>
      </c>
      <c r="H613" s="68">
        <v>2.9020833333333336</v>
      </c>
      <c r="I613" s="68"/>
      <c r="J613" s="68">
        <v>2.9020833333333336</v>
      </c>
      <c r="K613" s="67" t="s">
        <v>1718</v>
      </c>
      <c r="L613" s="67" t="s">
        <v>1202</v>
      </c>
      <c r="M613" s="67" t="s">
        <v>1420</v>
      </c>
    </row>
    <row r="614" spans="1:13" ht="12" customHeight="1" x14ac:dyDescent="0.2">
      <c r="A614" s="78">
        <v>230859</v>
      </c>
      <c r="B614" s="67" t="s">
        <v>667</v>
      </c>
      <c r="C614" s="67" t="s">
        <v>1196</v>
      </c>
      <c r="D614" s="67" t="s">
        <v>1202</v>
      </c>
      <c r="E614" s="67" t="s">
        <v>1398</v>
      </c>
      <c r="F614" s="67" t="s">
        <v>1656</v>
      </c>
      <c r="G614" s="67" t="s">
        <v>8</v>
      </c>
      <c r="H614" s="68">
        <v>2.5236111111111112</v>
      </c>
      <c r="I614" s="68"/>
      <c r="J614" s="68">
        <v>2.5236111111111112</v>
      </c>
      <c r="K614" s="67" t="s">
        <v>1718</v>
      </c>
      <c r="L614" s="67" t="s">
        <v>1202</v>
      </c>
      <c r="M614" s="67" t="s">
        <v>1398</v>
      </c>
    </row>
    <row r="615" spans="1:13" ht="12" customHeight="1" x14ac:dyDescent="0.2">
      <c r="A615" s="78">
        <v>236302</v>
      </c>
      <c r="B615" s="67" t="s">
        <v>668</v>
      </c>
      <c r="C615" s="67" t="s">
        <v>1196</v>
      </c>
      <c r="D615" s="67" t="s">
        <v>1202</v>
      </c>
      <c r="E615" s="67" t="s">
        <v>1421</v>
      </c>
      <c r="F615" s="67" t="s">
        <v>1668</v>
      </c>
      <c r="G615" s="67" t="s">
        <v>8</v>
      </c>
      <c r="H615" s="68">
        <v>2.2354166666666666</v>
      </c>
      <c r="I615" s="68"/>
      <c r="J615" s="68">
        <v>2.2354166666666666</v>
      </c>
      <c r="K615" s="67" t="s">
        <v>1718</v>
      </c>
      <c r="L615" s="67" t="s">
        <v>1202</v>
      </c>
      <c r="M615" s="67" t="s">
        <v>1421</v>
      </c>
    </row>
    <row r="616" spans="1:13" ht="12" customHeight="1" x14ac:dyDescent="0.2">
      <c r="A616" s="78">
        <v>237944</v>
      </c>
      <c r="B616" s="67" t="s">
        <v>669</v>
      </c>
      <c r="C616" s="67" t="s">
        <v>1196</v>
      </c>
      <c r="D616" s="67" t="s">
        <v>1202</v>
      </c>
      <c r="E616" s="67" t="s">
        <v>1409</v>
      </c>
      <c r="F616" s="67" t="s">
        <v>1660</v>
      </c>
      <c r="G616" s="67" t="s">
        <v>8</v>
      </c>
      <c r="H616" s="68">
        <v>2.1833333333333331</v>
      </c>
      <c r="I616" s="68"/>
      <c r="J616" s="68">
        <v>2.1833333333333331</v>
      </c>
      <c r="K616" s="67" t="s">
        <v>1718</v>
      </c>
      <c r="L616" s="67" t="s">
        <v>1202</v>
      </c>
      <c r="M616" s="67" t="s">
        <v>1409</v>
      </c>
    </row>
    <row r="617" spans="1:13" ht="12" customHeight="1" x14ac:dyDescent="0.2">
      <c r="A617" s="78">
        <v>229826</v>
      </c>
      <c r="B617" s="67" t="s">
        <v>670</v>
      </c>
      <c r="C617" s="67" t="s">
        <v>1196</v>
      </c>
      <c r="D617" s="67" t="s">
        <v>1202</v>
      </c>
      <c r="E617" s="67" t="s">
        <v>1422</v>
      </c>
      <c r="F617" s="67" t="s">
        <v>1668</v>
      </c>
      <c r="G617" s="67" t="s">
        <v>8</v>
      </c>
      <c r="H617" s="68">
        <v>2.0437499999999997</v>
      </c>
      <c r="I617" s="68"/>
      <c r="J617" s="68">
        <v>2.0437499999999997</v>
      </c>
      <c r="K617" s="67" t="s">
        <v>1720</v>
      </c>
      <c r="L617" s="67" t="s">
        <v>1202</v>
      </c>
      <c r="M617" s="67" t="s">
        <v>1422</v>
      </c>
    </row>
    <row r="618" spans="1:13" ht="12" customHeight="1" x14ac:dyDescent="0.2">
      <c r="A618" s="78">
        <v>235803</v>
      </c>
      <c r="B618" s="67" t="s">
        <v>671</v>
      </c>
      <c r="C618" s="67" t="s">
        <v>1196</v>
      </c>
      <c r="D618" s="67" t="s">
        <v>1202</v>
      </c>
      <c r="E618" s="67" t="s">
        <v>1410</v>
      </c>
      <c r="F618" s="67" t="s">
        <v>1664</v>
      </c>
      <c r="G618" s="67" t="s">
        <v>8</v>
      </c>
      <c r="H618" s="68">
        <v>2.0256944444444445</v>
      </c>
      <c r="I618" s="68"/>
      <c r="J618" s="68">
        <v>2.0256944444444445</v>
      </c>
      <c r="K618" s="67" t="s">
        <v>1718</v>
      </c>
      <c r="L618" s="67" t="s">
        <v>1202</v>
      </c>
      <c r="M618" s="67" t="s">
        <v>1410</v>
      </c>
    </row>
    <row r="619" spans="1:13" ht="12" customHeight="1" x14ac:dyDescent="0.2">
      <c r="A619" s="78">
        <v>223399</v>
      </c>
      <c r="B619" s="67" t="s">
        <v>672</v>
      </c>
      <c r="C619" s="67" t="s">
        <v>1196</v>
      </c>
      <c r="D619" s="67" t="s">
        <v>1202</v>
      </c>
      <c r="E619" s="67" t="s">
        <v>1401</v>
      </c>
      <c r="F619" s="67" t="s">
        <v>1655</v>
      </c>
      <c r="G619" s="67" t="s">
        <v>8</v>
      </c>
      <c r="H619" s="68">
        <v>1.7430555555555556</v>
      </c>
      <c r="I619" s="68"/>
      <c r="J619" s="68">
        <v>1.7430555555555556</v>
      </c>
      <c r="K619" s="67" t="s">
        <v>1720</v>
      </c>
      <c r="L619" s="67" t="s">
        <v>1202</v>
      </c>
      <c r="M619" s="67" t="s">
        <v>1401</v>
      </c>
    </row>
    <row r="620" spans="1:13" ht="12" customHeight="1" x14ac:dyDescent="0.2">
      <c r="A620" s="78">
        <v>220151</v>
      </c>
      <c r="B620" s="67" t="s">
        <v>673</v>
      </c>
      <c r="C620" s="67" t="s">
        <v>1196</v>
      </c>
      <c r="D620" s="67" t="s">
        <v>1202</v>
      </c>
      <c r="E620" s="67" t="s">
        <v>1402</v>
      </c>
      <c r="F620" s="67" t="s">
        <v>1659</v>
      </c>
      <c r="G620" s="67" t="s">
        <v>8</v>
      </c>
      <c r="H620" s="68">
        <v>1.5097222222222222</v>
      </c>
      <c r="I620" s="68"/>
      <c r="J620" s="68">
        <v>1.5097222222222222</v>
      </c>
      <c r="K620" s="67" t="s">
        <v>1720</v>
      </c>
      <c r="L620" s="67" t="s">
        <v>1202</v>
      </c>
      <c r="M620" s="67" t="s">
        <v>1402</v>
      </c>
    </row>
    <row r="621" spans="1:13" ht="12" customHeight="1" x14ac:dyDescent="0.2">
      <c r="A621" s="78">
        <v>236301</v>
      </c>
      <c r="B621" s="67" t="s">
        <v>674</v>
      </c>
      <c r="C621" s="67" t="s">
        <v>1196</v>
      </c>
      <c r="D621" s="67" t="s">
        <v>1202</v>
      </c>
      <c r="E621" s="67" t="s">
        <v>1421</v>
      </c>
      <c r="F621" s="67" t="s">
        <v>1668</v>
      </c>
      <c r="G621" s="67" t="s">
        <v>8</v>
      </c>
      <c r="H621" s="68">
        <v>1.4909722222222221</v>
      </c>
      <c r="I621" s="68"/>
      <c r="J621" s="68">
        <v>1.4909722222222221</v>
      </c>
      <c r="K621" s="67" t="s">
        <v>1718</v>
      </c>
      <c r="L621" s="67" t="s">
        <v>1202</v>
      </c>
      <c r="M621" s="67" t="s">
        <v>1421</v>
      </c>
    </row>
    <row r="622" spans="1:13" ht="12" customHeight="1" x14ac:dyDescent="0.2">
      <c r="A622" s="78">
        <v>203617</v>
      </c>
      <c r="B622" s="67" t="s">
        <v>675</v>
      </c>
      <c r="C622" s="67" t="s">
        <v>1196</v>
      </c>
      <c r="D622" s="67" t="s">
        <v>1202</v>
      </c>
      <c r="E622" s="67" t="s">
        <v>1419</v>
      </c>
      <c r="F622" s="67" t="s">
        <v>1663</v>
      </c>
      <c r="G622" s="67" t="s">
        <v>8</v>
      </c>
      <c r="H622" s="68">
        <v>1.409027777777778</v>
      </c>
      <c r="I622" s="68"/>
      <c r="J622" s="68">
        <v>1.409027777777778</v>
      </c>
      <c r="K622" s="67" t="s">
        <v>1718</v>
      </c>
      <c r="L622" s="67" t="s">
        <v>1202</v>
      </c>
      <c r="M622" s="67" t="s">
        <v>1419</v>
      </c>
    </row>
    <row r="623" spans="1:13" ht="12" customHeight="1" x14ac:dyDescent="0.2">
      <c r="A623" s="78">
        <v>203277</v>
      </c>
      <c r="B623" s="67" t="s">
        <v>676</v>
      </c>
      <c r="C623" s="67" t="s">
        <v>1196</v>
      </c>
      <c r="D623" s="67" t="s">
        <v>1202</v>
      </c>
      <c r="E623" s="67" t="s">
        <v>1409</v>
      </c>
      <c r="F623" s="67" t="s">
        <v>1660</v>
      </c>
      <c r="G623" s="67" t="s">
        <v>8</v>
      </c>
      <c r="H623" s="68">
        <v>1.377777777777778</v>
      </c>
      <c r="I623" s="68"/>
      <c r="J623" s="68">
        <v>1.377777777777778</v>
      </c>
      <c r="K623" s="67" t="s">
        <v>1718</v>
      </c>
      <c r="L623" s="67" t="s">
        <v>1202</v>
      </c>
      <c r="M623" s="67" t="s">
        <v>1409</v>
      </c>
    </row>
    <row r="624" spans="1:13" ht="12" customHeight="1" x14ac:dyDescent="0.2">
      <c r="A624" s="78">
        <v>230858</v>
      </c>
      <c r="B624" s="67" t="s">
        <v>677</v>
      </c>
      <c r="C624" s="67" t="s">
        <v>1196</v>
      </c>
      <c r="D624" s="67" t="s">
        <v>1202</v>
      </c>
      <c r="E624" s="67" t="s">
        <v>1409</v>
      </c>
      <c r="F624" s="67" t="s">
        <v>1660</v>
      </c>
      <c r="G624" s="67" t="s">
        <v>8</v>
      </c>
      <c r="H624" s="68">
        <v>1.3673611111111112</v>
      </c>
      <c r="I624" s="68"/>
      <c r="J624" s="68">
        <v>1.3673611111111112</v>
      </c>
      <c r="K624" s="67" t="s">
        <v>1718</v>
      </c>
      <c r="L624" s="67" t="s">
        <v>1202</v>
      </c>
      <c r="M624" s="67" t="s">
        <v>1409</v>
      </c>
    </row>
    <row r="625" spans="1:13" ht="12" customHeight="1" x14ac:dyDescent="0.2">
      <c r="A625" s="78">
        <v>230861</v>
      </c>
      <c r="B625" s="67" t="s">
        <v>678</v>
      </c>
      <c r="C625" s="67" t="s">
        <v>1196</v>
      </c>
      <c r="D625" s="67" t="s">
        <v>1202</v>
      </c>
      <c r="E625" s="67" t="s">
        <v>1398</v>
      </c>
      <c r="F625" s="67" t="s">
        <v>1656</v>
      </c>
      <c r="G625" s="67" t="s">
        <v>8</v>
      </c>
      <c r="H625" s="68">
        <v>1.3256944444444445</v>
      </c>
      <c r="I625" s="68"/>
      <c r="J625" s="68">
        <v>1.3256944444444445</v>
      </c>
      <c r="K625" s="67" t="s">
        <v>1718</v>
      </c>
      <c r="L625" s="67" t="s">
        <v>1202</v>
      </c>
      <c r="M625" s="67" t="s">
        <v>1398</v>
      </c>
    </row>
    <row r="626" spans="1:13" ht="12" customHeight="1" x14ac:dyDescent="0.2">
      <c r="A626" s="78">
        <v>234334</v>
      </c>
      <c r="B626" s="67" t="s">
        <v>679</v>
      </c>
      <c r="C626" s="67" t="s">
        <v>1196</v>
      </c>
      <c r="D626" s="67" t="s">
        <v>1202</v>
      </c>
      <c r="E626" s="67" t="s">
        <v>1415</v>
      </c>
      <c r="F626" s="67" t="s">
        <v>1657</v>
      </c>
      <c r="G626" s="67" t="s">
        <v>8</v>
      </c>
      <c r="H626" s="68">
        <v>1.3138888888888889</v>
      </c>
      <c r="I626" s="68"/>
      <c r="J626" s="68">
        <v>1.3138888888888889</v>
      </c>
      <c r="K626" s="67" t="s">
        <v>1718</v>
      </c>
      <c r="L626" s="67" t="s">
        <v>1202</v>
      </c>
      <c r="M626" s="67" t="s">
        <v>1415</v>
      </c>
    </row>
    <row r="627" spans="1:13" ht="12" customHeight="1" x14ac:dyDescent="0.2">
      <c r="A627" s="78">
        <v>235476</v>
      </c>
      <c r="B627" s="67" t="s">
        <v>680</v>
      </c>
      <c r="C627" s="67" t="s">
        <v>1196</v>
      </c>
      <c r="D627" s="67" t="s">
        <v>1202</v>
      </c>
      <c r="E627" s="67" t="s">
        <v>1423</v>
      </c>
      <c r="F627" s="67" t="s">
        <v>1662</v>
      </c>
      <c r="G627" s="67" t="s">
        <v>8</v>
      </c>
      <c r="H627" s="68">
        <v>1.2083333333333333</v>
      </c>
      <c r="I627" s="68"/>
      <c r="J627" s="68">
        <v>1.2083333333333333</v>
      </c>
      <c r="K627" s="67" t="s">
        <v>1726</v>
      </c>
      <c r="L627" s="67" t="s">
        <v>1202</v>
      </c>
      <c r="M627" s="67" t="s">
        <v>1423</v>
      </c>
    </row>
    <row r="628" spans="1:13" ht="12" customHeight="1" x14ac:dyDescent="0.2">
      <c r="A628" s="78">
        <v>222890</v>
      </c>
      <c r="B628" s="67" t="s">
        <v>681</v>
      </c>
      <c r="C628" s="67" t="s">
        <v>1196</v>
      </c>
      <c r="D628" s="67" t="s">
        <v>1202</v>
      </c>
      <c r="E628" s="67" t="s">
        <v>1424</v>
      </c>
      <c r="F628" s="67" t="s">
        <v>1662</v>
      </c>
      <c r="G628" s="67" t="s">
        <v>8</v>
      </c>
      <c r="H628" s="68">
        <v>1.1784722222222224</v>
      </c>
      <c r="I628" s="68"/>
      <c r="J628" s="68">
        <v>1.1784722222222224</v>
      </c>
      <c r="K628" s="67" t="s">
        <v>1726</v>
      </c>
      <c r="L628" s="67" t="s">
        <v>1202</v>
      </c>
      <c r="M628" s="67" t="s">
        <v>1424</v>
      </c>
    </row>
    <row r="629" spans="1:13" ht="12" customHeight="1" x14ac:dyDescent="0.2">
      <c r="A629" s="78">
        <v>237421</v>
      </c>
      <c r="B629" s="67" t="s">
        <v>682</v>
      </c>
      <c r="C629" s="67" t="s">
        <v>1196</v>
      </c>
      <c r="D629" s="67" t="s">
        <v>1202</v>
      </c>
      <c r="E629" s="67" t="s">
        <v>1425</v>
      </c>
      <c r="F629" s="67" t="s">
        <v>1662</v>
      </c>
      <c r="G629" s="67" t="s">
        <v>8</v>
      </c>
      <c r="H629" s="68">
        <v>1.163888888888889</v>
      </c>
      <c r="I629" s="68"/>
      <c r="J629" s="68">
        <v>1.163888888888889</v>
      </c>
      <c r="K629" s="67" t="s">
        <v>1719</v>
      </c>
      <c r="L629" s="67" t="s">
        <v>1202</v>
      </c>
      <c r="M629" s="67" t="s">
        <v>1425</v>
      </c>
    </row>
    <row r="630" spans="1:13" ht="12" customHeight="1" x14ac:dyDescent="0.2">
      <c r="A630" s="78">
        <v>219427</v>
      </c>
      <c r="B630" s="67" t="s">
        <v>683</v>
      </c>
      <c r="C630" s="67" t="s">
        <v>1196</v>
      </c>
      <c r="D630" s="67" t="s">
        <v>1202</v>
      </c>
      <c r="E630" s="67" t="s">
        <v>1411</v>
      </c>
      <c r="F630" s="67" t="s">
        <v>1664</v>
      </c>
      <c r="G630" s="67" t="s">
        <v>8</v>
      </c>
      <c r="H630" s="68">
        <v>1.1458333333333333</v>
      </c>
      <c r="I630" s="68"/>
      <c r="J630" s="68">
        <v>1.1458333333333333</v>
      </c>
      <c r="K630" s="67" t="s">
        <v>1720</v>
      </c>
      <c r="L630" s="67" t="s">
        <v>1202</v>
      </c>
      <c r="M630" s="67" t="s">
        <v>1411</v>
      </c>
    </row>
    <row r="631" spans="1:13" ht="12" customHeight="1" x14ac:dyDescent="0.2">
      <c r="A631" s="78">
        <v>233564</v>
      </c>
      <c r="B631" s="67" t="s">
        <v>684</v>
      </c>
      <c r="C631" s="67" t="s">
        <v>1196</v>
      </c>
      <c r="D631" s="67" t="s">
        <v>1202</v>
      </c>
      <c r="E631" s="67" t="s">
        <v>1420</v>
      </c>
      <c r="F631" s="67" t="s">
        <v>1667</v>
      </c>
      <c r="G631" s="67" t="s">
        <v>8</v>
      </c>
      <c r="H631" s="68">
        <v>1.1430555555555555</v>
      </c>
      <c r="I631" s="68"/>
      <c r="J631" s="68">
        <v>1.1430555555555555</v>
      </c>
      <c r="K631" s="67" t="s">
        <v>1718</v>
      </c>
      <c r="L631" s="67" t="s">
        <v>1202</v>
      </c>
      <c r="M631" s="67" t="s">
        <v>1420</v>
      </c>
    </row>
    <row r="632" spans="1:13" ht="12" customHeight="1" x14ac:dyDescent="0.2">
      <c r="A632" s="78">
        <v>236588</v>
      </c>
      <c r="B632" s="67" t="s">
        <v>685</v>
      </c>
      <c r="C632" s="67" t="s">
        <v>1196</v>
      </c>
      <c r="D632" s="67" t="s">
        <v>1202</v>
      </c>
      <c r="E632" s="67" t="s">
        <v>1426</v>
      </c>
      <c r="F632" s="67" t="s">
        <v>1667</v>
      </c>
      <c r="G632" s="67" t="s">
        <v>8</v>
      </c>
      <c r="H632" s="68">
        <v>1.1409722222222223</v>
      </c>
      <c r="I632" s="68"/>
      <c r="J632" s="68">
        <v>1.1409722222222223</v>
      </c>
      <c r="K632" s="67" t="s">
        <v>1720</v>
      </c>
      <c r="L632" s="67" t="s">
        <v>1202</v>
      </c>
      <c r="M632" s="67" t="s">
        <v>1426</v>
      </c>
    </row>
    <row r="633" spans="1:13" ht="12" customHeight="1" x14ac:dyDescent="0.2">
      <c r="A633" s="78">
        <v>222075</v>
      </c>
      <c r="B633" s="67" t="s">
        <v>686</v>
      </c>
      <c r="C633" s="67" t="s">
        <v>1196</v>
      </c>
      <c r="D633" s="67" t="s">
        <v>1202</v>
      </c>
      <c r="E633" s="67" t="s">
        <v>1411</v>
      </c>
      <c r="F633" s="67" t="s">
        <v>1664</v>
      </c>
      <c r="G633" s="67" t="s">
        <v>8</v>
      </c>
      <c r="H633" s="68">
        <v>1.0694444444444444</v>
      </c>
      <c r="I633" s="68"/>
      <c r="J633" s="68">
        <v>1.0694444444444444</v>
      </c>
      <c r="K633" s="67" t="s">
        <v>1720</v>
      </c>
      <c r="L633" s="67" t="s">
        <v>1202</v>
      </c>
      <c r="M633" s="67" t="s">
        <v>1411</v>
      </c>
    </row>
    <row r="634" spans="1:13" ht="12" customHeight="1" x14ac:dyDescent="0.2">
      <c r="A634" s="78">
        <v>236521</v>
      </c>
      <c r="B634" s="67" t="s">
        <v>687</v>
      </c>
      <c r="C634" s="67" t="s">
        <v>1196</v>
      </c>
      <c r="D634" s="67" t="s">
        <v>1202</v>
      </c>
      <c r="E634" s="67" t="s">
        <v>1417</v>
      </c>
      <c r="F634" s="67" t="s">
        <v>1658</v>
      </c>
      <c r="G634" s="67" t="s">
        <v>8</v>
      </c>
      <c r="H634" s="68">
        <v>1.0604166666666666</v>
      </c>
      <c r="I634" s="68"/>
      <c r="J634" s="68">
        <v>1.0604166666666666</v>
      </c>
      <c r="K634" s="67" t="s">
        <v>1720</v>
      </c>
      <c r="L634" s="67" t="s">
        <v>1202</v>
      </c>
      <c r="M634" s="67" t="s">
        <v>1417</v>
      </c>
    </row>
    <row r="635" spans="1:13" ht="12" customHeight="1" x14ac:dyDescent="0.2">
      <c r="A635" s="78">
        <v>236514</v>
      </c>
      <c r="B635" s="67" t="s">
        <v>688</v>
      </c>
      <c r="C635" s="67" t="s">
        <v>1196</v>
      </c>
      <c r="D635" s="67" t="s">
        <v>1202</v>
      </c>
      <c r="E635" s="67" t="s">
        <v>1404</v>
      </c>
      <c r="F635" s="67" t="s">
        <v>1658</v>
      </c>
      <c r="G635" s="67" t="s">
        <v>8</v>
      </c>
      <c r="H635" s="68">
        <v>1.0430555555555556</v>
      </c>
      <c r="I635" s="68"/>
      <c r="J635" s="68">
        <v>1.0430555555555556</v>
      </c>
      <c r="K635" s="67" t="s">
        <v>1718</v>
      </c>
      <c r="L635" s="67" t="s">
        <v>1202</v>
      </c>
      <c r="M635" s="67" t="s">
        <v>1404</v>
      </c>
    </row>
    <row r="636" spans="1:13" ht="12" customHeight="1" x14ac:dyDescent="0.2">
      <c r="A636" s="78">
        <v>217780</v>
      </c>
      <c r="B636" s="67" t="s">
        <v>689</v>
      </c>
      <c r="C636" s="67" t="s">
        <v>1196</v>
      </c>
      <c r="D636" s="67" t="s">
        <v>1202</v>
      </c>
      <c r="E636" s="67" t="s">
        <v>1427</v>
      </c>
      <c r="F636" s="67" t="s">
        <v>1662</v>
      </c>
      <c r="G636" s="67" t="s">
        <v>8</v>
      </c>
      <c r="H636" s="68">
        <v>1.038888888888889</v>
      </c>
      <c r="I636" s="68"/>
      <c r="J636" s="68">
        <v>1.038888888888889</v>
      </c>
      <c r="K636" s="67" t="s">
        <v>1726</v>
      </c>
      <c r="L636" s="67" t="s">
        <v>1202</v>
      </c>
      <c r="M636" s="67" t="s">
        <v>1427</v>
      </c>
    </row>
    <row r="637" spans="1:13" ht="12" customHeight="1" x14ac:dyDescent="0.2">
      <c r="A637" s="78">
        <v>230808</v>
      </c>
      <c r="B637" s="67" t="s">
        <v>690</v>
      </c>
      <c r="C637" s="67" t="s">
        <v>1196</v>
      </c>
      <c r="D637" s="67" t="s">
        <v>1202</v>
      </c>
      <c r="E637" s="67" t="s">
        <v>1428</v>
      </c>
      <c r="F637" s="67" t="s">
        <v>1668</v>
      </c>
      <c r="G637" s="67" t="s">
        <v>8</v>
      </c>
      <c r="H637" s="68">
        <v>1.0166666666666666</v>
      </c>
      <c r="I637" s="68"/>
      <c r="J637" s="68">
        <v>1.0166666666666666</v>
      </c>
      <c r="K637" s="67" t="s">
        <v>1720</v>
      </c>
      <c r="L637" s="67" t="s">
        <v>1202</v>
      </c>
      <c r="M637" s="67" t="s">
        <v>1428</v>
      </c>
    </row>
    <row r="638" spans="1:13" ht="12" customHeight="1" x14ac:dyDescent="0.2">
      <c r="A638" s="78">
        <v>233500</v>
      </c>
      <c r="B638" s="67" t="s">
        <v>691</v>
      </c>
      <c r="C638" s="67" t="s">
        <v>1196</v>
      </c>
      <c r="D638" s="67" t="s">
        <v>1202</v>
      </c>
      <c r="E638" s="67" t="s">
        <v>1417</v>
      </c>
      <c r="F638" s="67" t="s">
        <v>1658</v>
      </c>
      <c r="G638" s="67" t="s">
        <v>8</v>
      </c>
      <c r="H638" s="68">
        <v>0.9902777777777777</v>
      </c>
      <c r="I638" s="68"/>
      <c r="J638" s="68">
        <v>0.9902777777777777</v>
      </c>
      <c r="K638" s="67" t="s">
        <v>1720</v>
      </c>
      <c r="L638" s="67" t="s">
        <v>1202</v>
      </c>
      <c r="M638" s="67" t="s">
        <v>1417</v>
      </c>
    </row>
    <row r="639" spans="1:13" ht="12" customHeight="1" x14ac:dyDescent="0.2">
      <c r="A639" s="78">
        <v>233838</v>
      </c>
      <c r="B639" s="67" t="s">
        <v>692</v>
      </c>
      <c r="C639" s="67" t="s">
        <v>1196</v>
      </c>
      <c r="D639" s="67" t="s">
        <v>1202</v>
      </c>
      <c r="E639" s="67" t="s">
        <v>1419</v>
      </c>
      <c r="F639" s="67" t="s">
        <v>1663</v>
      </c>
      <c r="G639" s="67" t="s">
        <v>8</v>
      </c>
      <c r="H639" s="68">
        <v>0.97569444444444453</v>
      </c>
      <c r="I639" s="68"/>
      <c r="J639" s="68">
        <v>0.97569444444444453</v>
      </c>
      <c r="K639" s="67" t="s">
        <v>1718</v>
      </c>
      <c r="L639" s="67" t="s">
        <v>1202</v>
      </c>
      <c r="M639" s="67" t="s">
        <v>1419</v>
      </c>
    </row>
    <row r="640" spans="1:13" ht="12" customHeight="1" x14ac:dyDescent="0.2">
      <c r="A640" s="78">
        <v>202644</v>
      </c>
      <c r="B640" s="67" t="s">
        <v>693</v>
      </c>
      <c r="C640" s="67" t="s">
        <v>1196</v>
      </c>
      <c r="D640" s="67" t="s">
        <v>1202</v>
      </c>
      <c r="E640" s="67" t="s">
        <v>1418</v>
      </c>
      <c r="F640" s="67" t="s">
        <v>1659</v>
      </c>
      <c r="G640" s="67" t="s">
        <v>8</v>
      </c>
      <c r="H640" s="68">
        <v>0.88611111111111107</v>
      </c>
      <c r="I640" s="68"/>
      <c r="J640" s="68">
        <v>0.88611111111111107</v>
      </c>
      <c r="K640" s="67" t="s">
        <v>1718</v>
      </c>
      <c r="L640" s="67" t="s">
        <v>1202</v>
      </c>
      <c r="M640" s="67" t="s">
        <v>1418</v>
      </c>
    </row>
    <row r="641" spans="1:13" ht="12" customHeight="1" x14ac:dyDescent="0.2">
      <c r="A641" s="78">
        <v>203258</v>
      </c>
      <c r="B641" s="67" t="s">
        <v>694</v>
      </c>
      <c r="C641" s="67" t="s">
        <v>1196</v>
      </c>
      <c r="D641" s="67" t="s">
        <v>1202</v>
      </c>
      <c r="E641" s="67" t="s">
        <v>1409</v>
      </c>
      <c r="F641" s="67" t="s">
        <v>1660</v>
      </c>
      <c r="G641" s="67" t="s">
        <v>8</v>
      </c>
      <c r="H641" s="68">
        <v>0.85972222222222217</v>
      </c>
      <c r="I641" s="68"/>
      <c r="J641" s="68">
        <v>0.85972222222222217</v>
      </c>
      <c r="K641" s="67" t="s">
        <v>1718</v>
      </c>
      <c r="L641" s="67" t="s">
        <v>1202</v>
      </c>
      <c r="M641" s="67" t="s">
        <v>1409</v>
      </c>
    </row>
    <row r="642" spans="1:13" ht="12" customHeight="1" x14ac:dyDescent="0.2">
      <c r="A642" s="78">
        <v>203144</v>
      </c>
      <c r="B642" s="67" t="s">
        <v>695</v>
      </c>
      <c r="C642" s="67" t="s">
        <v>1196</v>
      </c>
      <c r="D642" s="67" t="s">
        <v>1202</v>
      </c>
      <c r="E642" s="67" t="s">
        <v>1429</v>
      </c>
      <c r="F642" s="67" t="s">
        <v>1666</v>
      </c>
      <c r="G642" s="67" t="s">
        <v>8</v>
      </c>
      <c r="H642" s="68">
        <v>0.81597222222222221</v>
      </c>
      <c r="I642" s="68"/>
      <c r="J642" s="68">
        <v>0.81597222222222221</v>
      </c>
      <c r="K642" s="67" t="s">
        <v>1718</v>
      </c>
      <c r="L642" s="67" t="s">
        <v>1202</v>
      </c>
      <c r="M642" s="67" t="s">
        <v>1429</v>
      </c>
    </row>
    <row r="643" spans="1:13" ht="12" customHeight="1" x14ac:dyDescent="0.2">
      <c r="A643" s="78">
        <v>233269</v>
      </c>
      <c r="B643" s="67" t="s">
        <v>696</v>
      </c>
      <c r="C643" s="67" t="s">
        <v>1196</v>
      </c>
      <c r="D643" s="67" t="s">
        <v>1202</v>
      </c>
      <c r="E643" s="67" t="s">
        <v>1414</v>
      </c>
      <c r="F643" s="67" t="s">
        <v>1657</v>
      </c>
      <c r="G643" s="67" t="s">
        <v>8</v>
      </c>
      <c r="H643" s="68">
        <v>0.79583333333333339</v>
      </c>
      <c r="I643" s="68"/>
      <c r="J643" s="68">
        <v>0.79583333333333339</v>
      </c>
      <c r="K643" s="67" t="s">
        <v>1718</v>
      </c>
      <c r="L643" s="67" t="s">
        <v>1202</v>
      </c>
      <c r="M643" s="67" t="s">
        <v>1414</v>
      </c>
    </row>
    <row r="644" spans="1:13" ht="12" customHeight="1" x14ac:dyDescent="0.2">
      <c r="A644" s="78">
        <v>230034</v>
      </c>
      <c r="B644" s="67" t="s">
        <v>697</v>
      </c>
      <c r="C644" s="67" t="s">
        <v>1196</v>
      </c>
      <c r="D644" s="67" t="s">
        <v>1202</v>
      </c>
      <c r="E644" s="67" t="s">
        <v>1429</v>
      </c>
      <c r="F644" s="67" t="s">
        <v>1666</v>
      </c>
      <c r="G644" s="67" t="s">
        <v>8</v>
      </c>
      <c r="H644" s="68">
        <v>0.78749999999999998</v>
      </c>
      <c r="I644" s="68"/>
      <c r="J644" s="68">
        <v>0.78749999999999998</v>
      </c>
      <c r="K644" s="67" t="s">
        <v>1718</v>
      </c>
      <c r="L644" s="67" t="s">
        <v>1202</v>
      </c>
      <c r="M644" s="67" t="s">
        <v>1429</v>
      </c>
    </row>
    <row r="645" spans="1:13" ht="12" customHeight="1" x14ac:dyDescent="0.2">
      <c r="A645" s="78">
        <v>232238</v>
      </c>
      <c r="B645" s="67" t="s">
        <v>698</v>
      </c>
      <c r="C645" s="67" t="s">
        <v>1196</v>
      </c>
      <c r="D645" s="67" t="s">
        <v>1202</v>
      </c>
      <c r="E645" s="67" t="s">
        <v>1398</v>
      </c>
      <c r="F645" s="67" t="s">
        <v>1656</v>
      </c>
      <c r="G645" s="67" t="s">
        <v>8</v>
      </c>
      <c r="H645" s="68">
        <v>0.7729166666666667</v>
      </c>
      <c r="I645" s="68"/>
      <c r="J645" s="68">
        <v>0.7729166666666667</v>
      </c>
      <c r="K645" s="67" t="s">
        <v>1718</v>
      </c>
      <c r="L645" s="67" t="s">
        <v>1202</v>
      </c>
      <c r="M645" s="67" t="s">
        <v>1398</v>
      </c>
    </row>
    <row r="646" spans="1:13" ht="12" customHeight="1" x14ac:dyDescent="0.2">
      <c r="A646" s="78">
        <v>201250</v>
      </c>
      <c r="B646" s="67" t="s">
        <v>699</v>
      </c>
      <c r="C646" s="67" t="s">
        <v>1196</v>
      </c>
      <c r="D646" s="67" t="s">
        <v>1202</v>
      </c>
      <c r="E646" s="67" t="s">
        <v>1399</v>
      </c>
      <c r="F646" s="67" t="s">
        <v>1657</v>
      </c>
      <c r="G646" s="67" t="s">
        <v>8</v>
      </c>
      <c r="H646" s="68">
        <v>0.71250000000000002</v>
      </c>
      <c r="I646" s="68"/>
      <c r="J646" s="68">
        <v>0.71250000000000002</v>
      </c>
      <c r="K646" s="67" t="s">
        <v>1720</v>
      </c>
      <c r="L646" s="67" t="s">
        <v>1202</v>
      </c>
      <c r="M646" s="67" t="s">
        <v>1399</v>
      </c>
    </row>
    <row r="647" spans="1:13" ht="12" customHeight="1" x14ac:dyDescent="0.2">
      <c r="A647" s="78">
        <v>222543</v>
      </c>
      <c r="B647" s="67" t="s">
        <v>700</v>
      </c>
      <c r="C647" s="67" t="s">
        <v>1196</v>
      </c>
      <c r="D647" s="67" t="s">
        <v>1202</v>
      </c>
      <c r="E647" s="67" t="s">
        <v>1430</v>
      </c>
      <c r="F647" s="67" t="s">
        <v>1662</v>
      </c>
      <c r="G647" s="67" t="s">
        <v>8</v>
      </c>
      <c r="H647" s="68">
        <v>0.7104166666666667</v>
      </c>
      <c r="I647" s="68"/>
      <c r="J647" s="68">
        <v>0.7104166666666667</v>
      </c>
      <c r="K647" s="67" t="s">
        <v>1724</v>
      </c>
      <c r="L647" s="67" t="s">
        <v>1202</v>
      </c>
      <c r="M647" s="67" t="s">
        <v>1430</v>
      </c>
    </row>
    <row r="648" spans="1:13" ht="12" customHeight="1" x14ac:dyDescent="0.2">
      <c r="A648" s="78">
        <v>203305</v>
      </c>
      <c r="B648" s="67" t="s">
        <v>701</v>
      </c>
      <c r="C648" s="67" t="s">
        <v>1196</v>
      </c>
      <c r="D648" s="67" t="s">
        <v>1202</v>
      </c>
      <c r="E648" s="67" t="s">
        <v>1429</v>
      </c>
      <c r="F648" s="67" t="s">
        <v>1666</v>
      </c>
      <c r="G648" s="67" t="s">
        <v>8</v>
      </c>
      <c r="H648" s="68">
        <v>0.67708333333333337</v>
      </c>
      <c r="I648" s="68"/>
      <c r="J648" s="68">
        <v>0.67708333333333337</v>
      </c>
      <c r="K648" s="67" t="s">
        <v>1718</v>
      </c>
      <c r="L648" s="67" t="s">
        <v>1202</v>
      </c>
      <c r="M648" s="67" t="s">
        <v>1429</v>
      </c>
    </row>
    <row r="649" spans="1:13" ht="12" customHeight="1" x14ac:dyDescent="0.2">
      <c r="A649" s="78">
        <v>237633</v>
      </c>
      <c r="B649" s="67" t="s">
        <v>702</v>
      </c>
      <c r="C649" s="67" t="s">
        <v>1196</v>
      </c>
      <c r="D649" s="67" t="s">
        <v>1202</v>
      </c>
      <c r="E649" s="67" t="s">
        <v>1401</v>
      </c>
      <c r="F649" s="67" t="s">
        <v>1655</v>
      </c>
      <c r="G649" s="67" t="s">
        <v>8</v>
      </c>
      <c r="H649" s="68">
        <v>0.64097222222222217</v>
      </c>
      <c r="I649" s="68"/>
      <c r="J649" s="68">
        <v>0.64097222222222217</v>
      </c>
      <c r="K649" s="67" t="s">
        <v>1721</v>
      </c>
      <c r="L649" s="67" t="s">
        <v>1202</v>
      </c>
      <c r="M649" s="67" t="s">
        <v>1401</v>
      </c>
    </row>
    <row r="650" spans="1:13" ht="12" customHeight="1" x14ac:dyDescent="0.2">
      <c r="A650" s="78">
        <v>203385</v>
      </c>
      <c r="B650" s="67" t="s">
        <v>703</v>
      </c>
      <c r="C650" s="67" t="s">
        <v>1196</v>
      </c>
      <c r="D650" s="67" t="s">
        <v>1202</v>
      </c>
      <c r="E650" s="67" t="s">
        <v>1429</v>
      </c>
      <c r="F650" s="67" t="s">
        <v>1666</v>
      </c>
      <c r="G650" s="67" t="s">
        <v>8</v>
      </c>
      <c r="H650" s="68">
        <v>0.63611111111111118</v>
      </c>
      <c r="I650" s="68"/>
      <c r="J650" s="68">
        <v>0.63611111111111118</v>
      </c>
      <c r="K650" s="67" t="s">
        <v>1718</v>
      </c>
      <c r="L650" s="67" t="s">
        <v>1202</v>
      </c>
      <c r="M650" s="67" t="s">
        <v>1429</v>
      </c>
    </row>
    <row r="651" spans="1:13" ht="12" customHeight="1" x14ac:dyDescent="0.2">
      <c r="A651" s="78">
        <v>202078</v>
      </c>
      <c r="B651" s="67" t="s">
        <v>704</v>
      </c>
      <c r="C651" s="67" t="s">
        <v>1196</v>
      </c>
      <c r="D651" s="67" t="s">
        <v>1202</v>
      </c>
      <c r="E651" s="67" t="s">
        <v>1418</v>
      </c>
      <c r="F651" s="67" t="s">
        <v>1659</v>
      </c>
      <c r="G651" s="67" t="s">
        <v>8</v>
      </c>
      <c r="H651" s="68">
        <v>0.61527777777777781</v>
      </c>
      <c r="I651" s="68"/>
      <c r="J651" s="68">
        <v>0.61527777777777781</v>
      </c>
      <c r="K651" s="67" t="s">
        <v>1718</v>
      </c>
      <c r="L651" s="67" t="s">
        <v>1202</v>
      </c>
      <c r="M651" s="67" t="s">
        <v>1418</v>
      </c>
    </row>
    <row r="652" spans="1:13" ht="12" customHeight="1" x14ac:dyDescent="0.2">
      <c r="A652" s="78">
        <v>235982</v>
      </c>
      <c r="B652" s="67" t="s">
        <v>705</v>
      </c>
      <c r="C652" s="67" t="s">
        <v>1196</v>
      </c>
      <c r="D652" s="67" t="s">
        <v>1202</v>
      </c>
      <c r="E652" s="67" t="s">
        <v>1413</v>
      </c>
      <c r="F652" s="67" t="s">
        <v>1665</v>
      </c>
      <c r="G652" s="67" t="s">
        <v>8</v>
      </c>
      <c r="H652" s="68">
        <v>0.61249999999999993</v>
      </c>
      <c r="I652" s="68"/>
      <c r="J652" s="68">
        <v>0.61249999999999993</v>
      </c>
      <c r="K652" s="67" t="s">
        <v>1718</v>
      </c>
      <c r="L652" s="67" t="s">
        <v>1202</v>
      </c>
      <c r="M652" s="67" t="s">
        <v>1413</v>
      </c>
    </row>
    <row r="653" spans="1:13" ht="12" customHeight="1" x14ac:dyDescent="0.2">
      <c r="A653" s="78">
        <v>230259</v>
      </c>
      <c r="B653" s="67" t="s">
        <v>706</v>
      </c>
      <c r="C653" s="67" t="s">
        <v>1196</v>
      </c>
      <c r="D653" s="67" t="s">
        <v>1202</v>
      </c>
      <c r="E653" s="67" t="s">
        <v>1397</v>
      </c>
      <c r="F653" s="67" t="s">
        <v>1655</v>
      </c>
      <c r="G653" s="67" t="s">
        <v>8</v>
      </c>
      <c r="H653" s="68">
        <v>0.58124999999999993</v>
      </c>
      <c r="I653" s="68"/>
      <c r="J653" s="68">
        <v>0.58124999999999993</v>
      </c>
      <c r="K653" s="67" t="s">
        <v>1718</v>
      </c>
      <c r="L653" s="67" t="s">
        <v>1202</v>
      </c>
      <c r="M653" s="67" t="s">
        <v>1397</v>
      </c>
    </row>
    <row r="654" spans="1:13" ht="12" customHeight="1" x14ac:dyDescent="0.2">
      <c r="A654" s="78">
        <v>230304</v>
      </c>
      <c r="B654" s="67" t="s">
        <v>707</v>
      </c>
      <c r="C654" s="67" t="s">
        <v>1196</v>
      </c>
      <c r="D654" s="67" t="s">
        <v>1202</v>
      </c>
      <c r="E654" s="67" t="s">
        <v>1418</v>
      </c>
      <c r="F654" s="67" t="s">
        <v>1659</v>
      </c>
      <c r="G654" s="67" t="s">
        <v>8</v>
      </c>
      <c r="H654" s="68">
        <v>0.57152777777777775</v>
      </c>
      <c r="I654" s="68"/>
      <c r="J654" s="68">
        <v>0.57152777777777775</v>
      </c>
      <c r="K654" s="67" t="s">
        <v>1718</v>
      </c>
      <c r="L654" s="67" t="s">
        <v>1202</v>
      </c>
      <c r="M654" s="67" t="s">
        <v>1418</v>
      </c>
    </row>
    <row r="655" spans="1:13" ht="12" customHeight="1" x14ac:dyDescent="0.2">
      <c r="A655" s="78">
        <v>230587</v>
      </c>
      <c r="B655" s="67" t="s">
        <v>708</v>
      </c>
      <c r="C655" s="67" t="s">
        <v>1196</v>
      </c>
      <c r="D655" s="67" t="s">
        <v>1202</v>
      </c>
      <c r="E655" s="67" t="s">
        <v>1429</v>
      </c>
      <c r="F655" s="67" t="s">
        <v>1666</v>
      </c>
      <c r="G655" s="67" t="s">
        <v>8</v>
      </c>
      <c r="H655" s="68">
        <v>0.56041666666666667</v>
      </c>
      <c r="I655" s="68"/>
      <c r="J655" s="68">
        <v>0.56041666666666667</v>
      </c>
      <c r="K655" s="67" t="s">
        <v>1718</v>
      </c>
      <c r="L655" s="67" t="s">
        <v>1202</v>
      </c>
      <c r="M655" s="67" t="s">
        <v>1429</v>
      </c>
    </row>
    <row r="656" spans="1:13" ht="12" customHeight="1" x14ac:dyDescent="0.2">
      <c r="A656" s="78">
        <v>222842</v>
      </c>
      <c r="B656" s="67" t="s">
        <v>709</v>
      </c>
      <c r="C656" s="67" t="s">
        <v>1196</v>
      </c>
      <c r="D656" s="67" t="s">
        <v>1202</v>
      </c>
      <c r="E656" s="67" t="s">
        <v>1404</v>
      </c>
      <c r="F656" s="67" t="s">
        <v>1658</v>
      </c>
      <c r="G656" s="67" t="s">
        <v>8</v>
      </c>
      <c r="H656" s="68">
        <v>0.54722222222222217</v>
      </c>
      <c r="I656" s="68"/>
      <c r="J656" s="68">
        <v>0.54722222222222217</v>
      </c>
      <c r="K656" s="67" t="s">
        <v>1718</v>
      </c>
      <c r="L656" s="67" t="s">
        <v>1202</v>
      </c>
      <c r="M656" s="67" t="s">
        <v>1404</v>
      </c>
    </row>
    <row r="657" spans="1:13" ht="12" customHeight="1" x14ac:dyDescent="0.2">
      <c r="A657" s="78">
        <v>231226</v>
      </c>
      <c r="B657" s="67" t="s">
        <v>710</v>
      </c>
      <c r="C657" s="67" t="s">
        <v>1196</v>
      </c>
      <c r="D657" s="67" t="s">
        <v>1202</v>
      </c>
      <c r="E657" s="67" t="s">
        <v>1419</v>
      </c>
      <c r="F657" s="67" t="s">
        <v>1663</v>
      </c>
      <c r="G657" s="67" t="s">
        <v>8</v>
      </c>
      <c r="H657" s="68">
        <v>0.5444444444444444</v>
      </c>
      <c r="I657" s="68"/>
      <c r="J657" s="68">
        <v>0.5444444444444444</v>
      </c>
      <c r="K657" s="67" t="s">
        <v>1718</v>
      </c>
      <c r="L657" s="67" t="s">
        <v>1202</v>
      </c>
      <c r="M657" s="67" t="s">
        <v>1419</v>
      </c>
    </row>
    <row r="658" spans="1:13" ht="12" customHeight="1" x14ac:dyDescent="0.2">
      <c r="A658" s="78">
        <v>232918</v>
      </c>
      <c r="B658" s="67" t="s">
        <v>711</v>
      </c>
      <c r="C658" s="67" t="s">
        <v>1196</v>
      </c>
      <c r="D658" s="67" t="s">
        <v>1202</v>
      </c>
      <c r="E658" s="67" t="s">
        <v>1419</v>
      </c>
      <c r="F658" s="67" t="s">
        <v>1663</v>
      </c>
      <c r="G658" s="67" t="s">
        <v>8</v>
      </c>
      <c r="H658" s="68">
        <v>0.50208333333333333</v>
      </c>
      <c r="I658" s="68"/>
      <c r="J658" s="68">
        <v>0.50208333333333333</v>
      </c>
      <c r="K658" s="67" t="s">
        <v>1718</v>
      </c>
      <c r="L658" s="67" t="s">
        <v>1202</v>
      </c>
      <c r="M658" s="67" t="s">
        <v>1419</v>
      </c>
    </row>
    <row r="659" spans="1:13" ht="12" customHeight="1" x14ac:dyDescent="0.2">
      <c r="A659" s="78">
        <v>236304</v>
      </c>
      <c r="B659" s="67" t="s">
        <v>712</v>
      </c>
      <c r="C659" s="67" t="s">
        <v>1196</v>
      </c>
      <c r="D659" s="67" t="s">
        <v>1202</v>
      </c>
      <c r="E659" s="67" t="s">
        <v>1421</v>
      </c>
      <c r="F659" s="67" t="s">
        <v>1668</v>
      </c>
      <c r="G659" s="67" t="s">
        <v>8</v>
      </c>
      <c r="H659" s="68">
        <v>0.49861111111111112</v>
      </c>
      <c r="I659" s="68"/>
      <c r="J659" s="68">
        <v>0.49861111111111112</v>
      </c>
      <c r="K659" s="67" t="s">
        <v>1718</v>
      </c>
      <c r="L659" s="67" t="s">
        <v>1202</v>
      </c>
      <c r="M659" s="67" t="s">
        <v>1421</v>
      </c>
    </row>
    <row r="660" spans="1:13" ht="12" customHeight="1" x14ac:dyDescent="0.2">
      <c r="A660" s="78">
        <v>223561</v>
      </c>
      <c r="B660" s="67" t="s">
        <v>713</v>
      </c>
      <c r="C660" s="67" t="s">
        <v>1196</v>
      </c>
      <c r="D660" s="67" t="s">
        <v>1202</v>
      </c>
      <c r="E660" s="67" t="s">
        <v>1398</v>
      </c>
      <c r="F660" s="67" t="s">
        <v>1656</v>
      </c>
      <c r="G660" s="67" t="s">
        <v>8</v>
      </c>
      <c r="H660" s="68">
        <v>0.47847222222222219</v>
      </c>
      <c r="I660" s="68"/>
      <c r="J660" s="68">
        <v>0.47847222222222219</v>
      </c>
      <c r="K660" s="67" t="s">
        <v>1718</v>
      </c>
      <c r="L660" s="67" t="s">
        <v>1202</v>
      </c>
      <c r="M660" s="67" t="s">
        <v>1398</v>
      </c>
    </row>
    <row r="661" spans="1:13" ht="12" customHeight="1" x14ac:dyDescent="0.2">
      <c r="A661" s="78">
        <v>234853</v>
      </c>
      <c r="B661" s="67" t="s">
        <v>714</v>
      </c>
      <c r="C661" s="67" t="s">
        <v>1196</v>
      </c>
      <c r="D661" s="67" t="s">
        <v>1202</v>
      </c>
      <c r="E661" s="67" t="s">
        <v>1397</v>
      </c>
      <c r="F661" s="67" t="s">
        <v>1655</v>
      </c>
      <c r="G661" s="67" t="s">
        <v>8</v>
      </c>
      <c r="H661" s="68">
        <v>0.47500000000000003</v>
      </c>
      <c r="I661" s="68"/>
      <c r="J661" s="68">
        <v>0.47500000000000003</v>
      </c>
      <c r="K661" s="67" t="s">
        <v>1718</v>
      </c>
      <c r="L661" s="67" t="s">
        <v>1202</v>
      </c>
      <c r="M661" s="67" t="s">
        <v>1397</v>
      </c>
    </row>
    <row r="662" spans="1:13" ht="12" customHeight="1" x14ac:dyDescent="0.2">
      <c r="A662" s="78">
        <v>222380</v>
      </c>
      <c r="B662" s="67" t="s">
        <v>715</v>
      </c>
      <c r="C662" s="67" t="s">
        <v>1196</v>
      </c>
      <c r="D662" s="67" t="s">
        <v>1202</v>
      </c>
      <c r="E662" s="67" t="s">
        <v>1431</v>
      </c>
      <c r="F662" s="67" t="s">
        <v>1662</v>
      </c>
      <c r="G662" s="67" t="s">
        <v>8</v>
      </c>
      <c r="H662" s="68">
        <v>0.47152777777777777</v>
      </c>
      <c r="I662" s="68"/>
      <c r="J662" s="68">
        <v>0.47152777777777777</v>
      </c>
      <c r="K662" s="67" t="s">
        <v>1726</v>
      </c>
      <c r="L662" s="67" t="s">
        <v>1202</v>
      </c>
      <c r="M662" s="67" t="s">
        <v>1431</v>
      </c>
    </row>
    <row r="663" spans="1:13" ht="12" customHeight="1" x14ac:dyDescent="0.2">
      <c r="A663" s="78">
        <v>219371</v>
      </c>
      <c r="B663" s="67" t="s">
        <v>716</v>
      </c>
      <c r="C663" s="67" t="s">
        <v>1196</v>
      </c>
      <c r="D663" s="67" t="s">
        <v>1202</v>
      </c>
      <c r="E663" s="67" t="s">
        <v>1432</v>
      </c>
      <c r="F663" s="67" t="s">
        <v>1662</v>
      </c>
      <c r="G663" s="67" t="s">
        <v>8</v>
      </c>
      <c r="H663" s="68">
        <v>0.4548611111111111</v>
      </c>
      <c r="I663" s="68"/>
      <c r="J663" s="68">
        <v>0.4548611111111111</v>
      </c>
      <c r="K663" s="67" t="s">
        <v>1724</v>
      </c>
      <c r="L663" s="67" t="s">
        <v>1202</v>
      </c>
      <c r="M663" s="67" t="s">
        <v>1432</v>
      </c>
    </row>
    <row r="664" spans="1:13" ht="12" customHeight="1" x14ac:dyDescent="0.2">
      <c r="A664" s="78">
        <v>223317</v>
      </c>
      <c r="B664" s="67" t="s">
        <v>717</v>
      </c>
      <c r="C664" s="67" t="s">
        <v>1196</v>
      </c>
      <c r="D664" s="67" t="s">
        <v>1202</v>
      </c>
      <c r="E664" s="67" t="s">
        <v>1418</v>
      </c>
      <c r="F664" s="67" t="s">
        <v>1659</v>
      </c>
      <c r="G664" s="67" t="s">
        <v>8</v>
      </c>
      <c r="H664" s="68">
        <v>0.4465277777777778</v>
      </c>
      <c r="I664" s="68"/>
      <c r="J664" s="68">
        <v>0.4465277777777778</v>
      </c>
      <c r="K664" s="67" t="s">
        <v>1718</v>
      </c>
      <c r="L664" s="67" t="s">
        <v>1202</v>
      </c>
      <c r="M664" s="67" t="s">
        <v>1418</v>
      </c>
    </row>
    <row r="665" spans="1:13" ht="12" customHeight="1" x14ac:dyDescent="0.2">
      <c r="A665" s="78">
        <v>229877</v>
      </c>
      <c r="B665" s="67" t="s">
        <v>718</v>
      </c>
      <c r="C665" s="67" t="s">
        <v>1196</v>
      </c>
      <c r="D665" s="67" t="s">
        <v>1202</v>
      </c>
      <c r="E665" s="67" t="s">
        <v>1417</v>
      </c>
      <c r="F665" s="67" t="s">
        <v>1658</v>
      </c>
      <c r="G665" s="67" t="s">
        <v>8</v>
      </c>
      <c r="H665" s="68">
        <v>0.44027777777777777</v>
      </c>
      <c r="I665" s="68"/>
      <c r="J665" s="68">
        <v>0.44027777777777777</v>
      </c>
      <c r="K665" s="67" t="s">
        <v>1721</v>
      </c>
      <c r="L665" s="67" t="s">
        <v>1202</v>
      </c>
      <c r="M665" s="67" t="s">
        <v>1417</v>
      </c>
    </row>
    <row r="666" spans="1:13" ht="12" customHeight="1" x14ac:dyDescent="0.2">
      <c r="A666" s="78">
        <v>235243</v>
      </c>
      <c r="B666" s="67" t="s">
        <v>719</v>
      </c>
      <c r="C666" s="67" t="s">
        <v>1196</v>
      </c>
      <c r="D666" s="67" t="s">
        <v>1202</v>
      </c>
      <c r="E666" s="67" t="s">
        <v>1418</v>
      </c>
      <c r="F666" s="67" t="s">
        <v>1659</v>
      </c>
      <c r="G666" s="67" t="s">
        <v>8</v>
      </c>
      <c r="H666" s="68">
        <v>0.42986111111111108</v>
      </c>
      <c r="I666" s="68"/>
      <c r="J666" s="68">
        <v>0.42986111111111108</v>
      </c>
      <c r="K666" s="67" t="s">
        <v>1718</v>
      </c>
      <c r="L666" s="67" t="s">
        <v>1202</v>
      </c>
      <c r="M666" s="67" t="s">
        <v>1418</v>
      </c>
    </row>
    <row r="667" spans="1:13" ht="12" customHeight="1" x14ac:dyDescent="0.2">
      <c r="A667" s="78">
        <v>225263</v>
      </c>
      <c r="B667" s="67" t="s">
        <v>720</v>
      </c>
      <c r="C667" s="67" t="s">
        <v>1196</v>
      </c>
      <c r="D667" s="67" t="s">
        <v>1202</v>
      </c>
      <c r="E667" s="67" t="s">
        <v>1426</v>
      </c>
      <c r="F667" s="67" t="s">
        <v>1667</v>
      </c>
      <c r="G667" s="67" t="s">
        <v>8</v>
      </c>
      <c r="H667" s="68">
        <v>0.38125000000000003</v>
      </c>
      <c r="I667" s="68"/>
      <c r="J667" s="68">
        <v>0.38125000000000003</v>
      </c>
      <c r="K667" s="67" t="s">
        <v>1728</v>
      </c>
      <c r="L667" s="67" t="s">
        <v>1202</v>
      </c>
      <c r="M667" s="67" t="s">
        <v>1426</v>
      </c>
    </row>
    <row r="668" spans="1:13" ht="12" customHeight="1" x14ac:dyDescent="0.2">
      <c r="A668" s="78">
        <v>203332</v>
      </c>
      <c r="B668" s="67" t="s">
        <v>721</v>
      </c>
      <c r="C668" s="67" t="s">
        <v>1196</v>
      </c>
      <c r="D668" s="67" t="s">
        <v>1202</v>
      </c>
      <c r="E668" s="67" t="s">
        <v>1429</v>
      </c>
      <c r="F668" s="67" t="s">
        <v>1666</v>
      </c>
      <c r="G668" s="67" t="s">
        <v>8</v>
      </c>
      <c r="H668" s="68">
        <v>0.35555555555555557</v>
      </c>
      <c r="I668" s="68"/>
      <c r="J668" s="68">
        <v>0.35555555555555557</v>
      </c>
      <c r="K668" s="67" t="s">
        <v>1718</v>
      </c>
      <c r="L668" s="67" t="s">
        <v>1202</v>
      </c>
      <c r="M668" s="67" t="s">
        <v>1429</v>
      </c>
    </row>
    <row r="669" spans="1:13" ht="12" customHeight="1" x14ac:dyDescent="0.2">
      <c r="A669" s="78">
        <v>201280</v>
      </c>
      <c r="B669" s="67" t="s">
        <v>722</v>
      </c>
      <c r="C669" s="67" t="s">
        <v>1196</v>
      </c>
      <c r="D669" s="67" t="s">
        <v>1202</v>
      </c>
      <c r="E669" s="67" t="s">
        <v>1399</v>
      </c>
      <c r="F669" s="67" t="s">
        <v>1657</v>
      </c>
      <c r="G669" s="67" t="s">
        <v>8</v>
      </c>
      <c r="H669" s="68">
        <v>0.34583333333333338</v>
      </c>
      <c r="I669" s="68"/>
      <c r="J669" s="68">
        <v>0.34583333333333338</v>
      </c>
      <c r="K669" s="67" t="s">
        <v>1720</v>
      </c>
      <c r="L669" s="67" t="s">
        <v>1202</v>
      </c>
      <c r="M669" s="67" t="s">
        <v>1399</v>
      </c>
    </row>
    <row r="670" spans="1:13" ht="12" customHeight="1" x14ac:dyDescent="0.2">
      <c r="A670" s="78">
        <v>219778</v>
      </c>
      <c r="B670" s="67" t="s">
        <v>723</v>
      </c>
      <c r="C670" s="67" t="s">
        <v>1196</v>
      </c>
      <c r="D670" s="67" t="s">
        <v>1202</v>
      </c>
      <c r="E670" s="67" t="s">
        <v>1433</v>
      </c>
      <c r="F670" s="67" t="s">
        <v>1662</v>
      </c>
      <c r="G670" s="67" t="s">
        <v>8</v>
      </c>
      <c r="H670" s="68">
        <v>0.33124999999999999</v>
      </c>
      <c r="I670" s="68"/>
      <c r="J670" s="68">
        <v>0.33124999999999999</v>
      </c>
      <c r="K670" s="67" t="s">
        <v>1724</v>
      </c>
      <c r="L670" s="67" t="s">
        <v>1202</v>
      </c>
      <c r="M670" s="67" t="s">
        <v>1433</v>
      </c>
    </row>
    <row r="671" spans="1:13" ht="12" customHeight="1" x14ac:dyDescent="0.2">
      <c r="A671" s="78">
        <v>200858</v>
      </c>
      <c r="B671" s="67" t="s">
        <v>724</v>
      </c>
      <c r="C671" s="67" t="s">
        <v>1196</v>
      </c>
      <c r="D671" s="67" t="s">
        <v>1202</v>
      </c>
      <c r="E671" s="67" t="s">
        <v>1434</v>
      </c>
      <c r="F671" s="67" t="s">
        <v>1662</v>
      </c>
      <c r="G671" s="67" t="s">
        <v>8</v>
      </c>
      <c r="H671" s="68">
        <v>0.30416666666666664</v>
      </c>
      <c r="I671" s="68"/>
      <c r="J671" s="68">
        <v>0.30416666666666664</v>
      </c>
      <c r="K671" s="67" t="s">
        <v>1724</v>
      </c>
      <c r="L671" s="67" t="s">
        <v>1202</v>
      </c>
      <c r="M671" s="67" t="s">
        <v>1434</v>
      </c>
    </row>
    <row r="672" spans="1:13" ht="12" customHeight="1" x14ac:dyDescent="0.2">
      <c r="A672" s="78">
        <v>236529</v>
      </c>
      <c r="B672" s="67" t="s">
        <v>725</v>
      </c>
      <c r="C672" s="67" t="s">
        <v>1196</v>
      </c>
      <c r="D672" s="67" t="s">
        <v>1202</v>
      </c>
      <c r="E672" s="67" t="s">
        <v>1416</v>
      </c>
      <c r="F672" s="67" t="s">
        <v>1666</v>
      </c>
      <c r="G672" s="67" t="s">
        <v>8</v>
      </c>
      <c r="H672" s="68">
        <v>0.29652777777777778</v>
      </c>
      <c r="I672" s="68"/>
      <c r="J672" s="68">
        <v>0.29652777777777778</v>
      </c>
      <c r="K672" s="67" t="s">
        <v>1720</v>
      </c>
      <c r="L672" s="67" t="s">
        <v>1202</v>
      </c>
      <c r="M672" s="67" t="s">
        <v>1416</v>
      </c>
    </row>
    <row r="673" spans="1:13" ht="12" customHeight="1" x14ac:dyDescent="0.2">
      <c r="A673" s="78">
        <v>237178</v>
      </c>
      <c r="B673" s="67" t="s">
        <v>726</v>
      </c>
      <c r="C673" s="67" t="s">
        <v>1196</v>
      </c>
      <c r="D673" s="67" t="s">
        <v>1202</v>
      </c>
      <c r="E673" s="67" t="s">
        <v>1428</v>
      </c>
      <c r="F673" s="67" t="s">
        <v>1668</v>
      </c>
      <c r="G673" s="67" t="s">
        <v>8</v>
      </c>
      <c r="H673" s="68">
        <v>0.28750000000000003</v>
      </c>
      <c r="I673" s="68"/>
      <c r="J673" s="68">
        <v>0.28750000000000003</v>
      </c>
      <c r="K673" s="67" t="s">
        <v>1721</v>
      </c>
      <c r="L673" s="67" t="s">
        <v>1202</v>
      </c>
      <c r="M673" s="67" t="s">
        <v>1428</v>
      </c>
    </row>
    <row r="674" spans="1:13" ht="12" customHeight="1" x14ac:dyDescent="0.2">
      <c r="A674" s="78">
        <v>223095</v>
      </c>
      <c r="B674" s="67" t="s">
        <v>727</v>
      </c>
      <c r="C674" s="67" t="s">
        <v>1196</v>
      </c>
      <c r="D674" s="67" t="s">
        <v>1202</v>
      </c>
      <c r="E674" s="67" t="s">
        <v>1404</v>
      </c>
      <c r="F674" s="67" t="s">
        <v>1658</v>
      </c>
      <c r="G674" s="67" t="s">
        <v>8</v>
      </c>
      <c r="H674" s="68">
        <v>0.27777777777777779</v>
      </c>
      <c r="I674" s="68"/>
      <c r="J674" s="68">
        <v>0.27777777777777779</v>
      </c>
      <c r="K674" s="67" t="s">
        <v>1718</v>
      </c>
      <c r="L674" s="67" t="s">
        <v>1202</v>
      </c>
      <c r="M674" s="67" t="s">
        <v>1404</v>
      </c>
    </row>
    <row r="675" spans="1:13" ht="12" customHeight="1" x14ac:dyDescent="0.2">
      <c r="A675" s="78">
        <v>236041</v>
      </c>
      <c r="B675" s="67" t="s">
        <v>728</v>
      </c>
      <c r="C675" s="67" t="s">
        <v>1196</v>
      </c>
      <c r="D675" s="67" t="s">
        <v>1202</v>
      </c>
      <c r="E675" s="67" t="s">
        <v>1435</v>
      </c>
      <c r="F675" s="67" t="s">
        <v>1662</v>
      </c>
      <c r="G675" s="67" t="s">
        <v>8</v>
      </c>
      <c r="H675" s="68">
        <v>0.27083333333333331</v>
      </c>
      <c r="I675" s="68"/>
      <c r="J675" s="68">
        <v>0.27083333333333331</v>
      </c>
      <c r="K675" s="67" t="s">
        <v>1719</v>
      </c>
      <c r="L675" s="67" t="s">
        <v>1202</v>
      </c>
      <c r="M675" s="67" t="s">
        <v>1435</v>
      </c>
    </row>
    <row r="676" spans="1:13" ht="12" customHeight="1" x14ac:dyDescent="0.2">
      <c r="A676" s="78">
        <v>236499</v>
      </c>
      <c r="B676" s="67" t="s">
        <v>729</v>
      </c>
      <c r="C676" s="67" t="s">
        <v>1196</v>
      </c>
      <c r="D676" s="67" t="s">
        <v>1202</v>
      </c>
      <c r="E676" s="67" t="s">
        <v>1416</v>
      </c>
      <c r="F676" s="67" t="s">
        <v>1666</v>
      </c>
      <c r="G676" s="67" t="s">
        <v>8</v>
      </c>
      <c r="H676" s="68">
        <v>0.26180555555555557</v>
      </c>
      <c r="I676" s="68"/>
      <c r="J676" s="68">
        <v>0.26180555555555557</v>
      </c>
      <c r="K676" s="67" t="s">
        <v>1720</v>
      </c>
      <c r="L676" s="67" t="s">
        <v>1202</v>
      </c>
      <c r="M676" s="67" t="s">
        <v>1416</v>
      </c>
    </row>
    <row r="677" spans="1:13" ht="12" customHeight="1" x14ac:dyDescent="0.2">
      <c r="A677" s="78">
        <v>203549</v>
      </c>
      <c r="B677" s="67" t="s">
        <v>730</v>
      </c>
      <c r="C677" s="67" t="s">
        <v>1196</v>
      </c>
      <c r="D677" s="67" t="s">
        <v>1202</v>
      </c>
      <c r="E677" s="67" t="s">
        <v>1414</v>
      </c>
      <c r="F677" s="67" t="s">
        <v>1657</v>
      </c>
      <c r="G677" s="67" t="s">
        <v>8</v>
      </c>
      <c r="H677" s="68">
        <v>0.2590277777777778</v>
      </c>
      <c r="I677" s="68"/>
      <c r="J677" s="68">
        <v>0.2590277777777778</v>
      </c>
      <c r="K677" s="67" t="s">
        <v>1718</v>
      </c>
      <c r="L677" s="67" t="s">
        <v>1202</v>
      </c>
      <c r="M677" s="67" t="s">
        <v>1414</v>
      </c>
    </row>
    <row r="678" spans="1:13" ht="12" customHeight="1" x14ac:dyDescent="0.2">
      <c r="A678" s="78">
        <v>231994</v>
      </c>
      <c r="B678" s="67" t="s">
        <v>731</v>
      </c>
      <c r="C678" s="67" t="s">
        <v>1196</v>
      </c>
      <c r="D678" s="67" t="s">
        <v>1202</v>
      </c>
      <c r="E678" s="67" t="s">
        <v>1410</v>
      </c>
      <c r="F678" s="67" t="s">
        <v>1664</v>
      </c>
      <c r="G678" s="67" t="s">
        <v>8</v>
      </c>
      <c r="H678" s="68">
        <v>0.21805555555555556</v>
      </c>
      <c r="I678" s="68"/>
      <c r="J678" s="68">
        <v>0.21805555555555556</v>
      </c>
      <c r="K678" s="67" t="s">
        <v>1718</v>
      </c>
      <c r="L678" s="67" t="s">
        <v>1202</v>
      </c>
      <c r="M678" s="67" t="s">
        <v>1410</v>
      </c>
    </row>
    <row r="679" spans="1:13" ht="12" customHeight="1" x14ac:dyDescent="0.2">
      <c r="A679" s="78">
        <v>237749</v>
      </c>
      <c r="B679" s="67" t="s">
        <v>732</v>
      </c>
      <c r="C679" s="67" t="s">
        <v>1196</v>
      </c>
      <c r="D679" s="67" t="s">
        <v>1202</v>
      </c>
      <c r="E679" s="67" t="s">
        <v>1416</v>
      </c>
      <c r="F679" s="67" t="s">
        <v>1666</v>
      </c>
      <c r="G679" s="67" t="s">
        <v>8</v>
      </c>
      <c r="H679" s="68">
        <v>0.19722222222222222</v>
      </c>
      <c r="I679" s="68"/>
      <c r="J679" s="68">
        <v>0.19722222222222222</v>
      </c>
      <c r="K679" s="67" t="s">
        <v>1721</v>
      </c>
      <c r="L679" s="67" t="s">
        <v>1202</v>
      </c>
      <c r="M679" s="67" t="s">
        <v>1416</v>
      </c>
    </row>
    <row r="680" spans="1:13" ht="12" customHeight="1" x14ac:dyDescent="0.2">
      <c r="A680" s="78">
        <v>236321</v>
      </c>
      <c r="B680" s="67" t="s">
        <v>733</v>
      </c>
      <c r="C680" s="67" t="s">
        <v>1196</v>
      </c>
      <c r="D680" s="67" t="s">
        <v>1202</v>
      </c>
      <c r="E680" s="67" t="s">
        <v>1436</v>
      </c>
      <c r="F680" s="67" t="s">
        <v>1662</v>
      </c>
      <c r="G680" s="67" t="s">
        <v>8</v>
      </c>
      <c r="H680" s="68">
        <v>0.18611111111111112</v>
      </c>
      <c r="I680" s="68"/>
      <c r="J680" s="68">
        <v>0.18611111111111112</v>
      </c>
      <c r="K680" s="67" t="s">
        <v>1719</v>
      </c>
      <c r="L680" s="67" t="s">
        <v>1202</v>
      </c>
      <c r="M680" s="67" t="s">
        <v>1436</v>
      </c>
    </row>
    <row r="681" spans="1:13" ht="12" customHeight="1" x14ac:dyDescent="0.2">
      <c r="A681" s="78">
        <v>230374</v>
      </c>
      <c r="B681" s="67" t="s">
        <v>734</v>
      </c>
      <c r="C681" s="67" t="s">
        <v>1196</v>
      </c>
      <c r="D681" s="67" t="s">
        <v>1202</v>
      </c>
      <c r="E681" s="67" t="s">
        <v>1419</v>
      </c>
      <c r="F681" s="67" t="s">
        <v>1663</v>
      </c>
      <c r="G681" s="67" t="s">
        <v>8</v>
      </c>
      <c r="H681" s="68">
        <v>0.16666666666666666</v>
      </c>
      <c r="I681" s="68"/>
      <c r="J681" s="68">
        <v>0.16666666666666666</v>
      </c>
      <c r="K681" s="67" t="s">
        <v>1718</v>
      </c>
      <c r="L681" s="67" t="s">
        <v>1202</v>
      </c>
      <c r="M681" s="67" t="s">
        <v>1419</v>
      </c>
    </row>
    <row r="682" spans="1:13" ht="12" customHeight="1" x14ac:dyDescent="0.2">
      <c r="A682" s="78">
        <v>219370</v>
      </c>
      <c r="B682" s="67" t="s">
        <v>735</v>
      </c>
      <c r="C682" s="67" t="s">
        <v>1196</v>
      </c>
      <c r="D682" s="67" t="s">
        <v>1202</v>
      </c>
      <c r="E682" s="67" t="s">
        <v>1437</v>
      </c>
      <c r="F682" s="67" t="s">
        <v>1662</v>
      </c>
      <c r="G682" s="67" t="s">
        <v>8</v>
      </c>
      <c r="H682" s="68">
        <v>0.14583333333333334</v>
      </c>
      <c r="I682" s="68"/>
      <c r="J682" s="68">
        <v>0.14583333333333334</v>
      </c>
      <c r="K682" s="67" t="s">
        <v>1724</v>
      </c>
      <c r="L682" s="67" t="s">
        <v>1202</v>
      </c>
      <c r="M682" s="67" t="s">
        <v>1437</v>
      </c>
    </row>
    <row r="683" spans="1:13" ht="12" customHeight="1" x14ac:dyDescent="0.2">
      <c r="A683" s="78">
        <v>235236</v>
      </c>
      <c r="B683" s="67" t="s">
        <v>736</v>
      </c>
      <c r="C683" s="67" t="s">
        <v>1196</v>
      </c>
      <c r="D683" s="67" t="s">
        <v>1202</v>
      </c>
      <c r="E683" s="67" t="s">
        <v>1416</v>
      </c>
      <c r="F683" s="67" t="s">
        <v>1666</v>
      </c>
      <c r="G683" s="67" t="s">
        <v>8</v>
      </c>
      <c r="H683" s="68">
        <v>0.12847222222222224</v>
      </c>
      <c r="I683" s="68"/>
      <c r="J683" s="68">
        <v>0.12847222222222224</v>
      </c>
      <c r="K683" s="67" t="s">
        <v>1720</v>
      </c>
      <c r="L683" s="67" t="s">
        <v>1202</v>
      </c>
      <c r="M683" s="67" t="s">
        <v>1416</v>
      </c>
    </row>
    <row r="684" spans="1:13" ht="12" customHeight="1" x14ac:dyDescent="0.2">
      <c r="A684" s="78">
        <v>202385</v>
      </c>
      <c r="B684" s="67" t="s">
        <v>737</v>
      </c>
      <c r="C684" s="67" t="s">
        <v>1196</v>
      </c>
      <c r="D684" s="67" t="s">
        <v>1202</v>
      </c>
      <c r="E684" s="67" t="s">
        <v>1401</v>
      </c>
      <c r="F684" s="67" t="s">
        <v>1655</v>
      </c>
      <c r="G684" s="67" t="s">
        <v>8</v>
      </c>
      <c r="H684" s="68">
        <v>0.125</v>
      </c>
      <c r="I684" s="68"/>
      <c r="J684" s="68">
        <v>0.125</v>
      </c>
      <c r="K684" s="67" t="s">
        <v>1720</v>
      </c>
      <c r="L684" s="67" t="s">
        <v>1202</v>
      </c>
      <c r="M684" s="67" t="s">
        <v>1401</v>
      </c>
    </row>
    <row r="685" spans="1:13" ht="12" customHeight="1" x14ac:dyDescent="0.2">
      <c r="A685" s="78">
        <v>236306</v>
      </c>
      <c r="B685" s="67" t="s">
        <v>738</v>
      </c>
      <c r="C685" s="67" t="s">
        <v>1196</v>
      </c>
      <c r="D685" s="67" t="s">
        <v>1202</v>
      </c>
      <c r="E685" s="67" t="s">
        <v>1421</v>
      </c>
      <c r="F685" s="67" t="s">
        <v>1668</v>
      </c>
      <c r="G685" s="67" t="s">
        <v>8</v>
      </c>
      <c r="H685" s="68">
        <v>0.11041666666666666</v>
      </c>
      <c r="I685" s="68"/>
      <c r="J685" s="68">
        <v>0.11041666666666666</v>
      </c>
      <c r="K685" s="67" t="s">
        <v>1718</v>
      </c>
      <c r="L685" s="67" t="s">
        <v>1202</v>
      </c>
      <c r="M685" s="67" t="s">
        <v>1421</v>
      </c>
    </row>
    <row r="686" spans="1:13" ht="12" customHeight="1" x14ac:dyDescent="0.2">
      <c r="A686" s="78">
        <v>235980</v>
      </c>
      <c r="B686" s="67" t="s">
        <v>739</v>
      </c>
      <c r="C686" s="67" t="s">
        <v>1196</v>
      </c>
      <c r="D686" s="67" t="s">
        <v>1202</v>
      </c>
      <c r="E686" s="67" t="s">
        <v>1412</v>
      </c>
      <c r="F686" s="67" t="s">
        <v>1665</v>
      </c>
      <c r="G686" s="67" t="s">
        <v>8</v>
      </c>
      <c r="H686" s="68">
        <v>8.6805555555555566E-2</v>
      </c>
      <c r="I686" s="68"/>
      <c r="J686" s="68">
        <v>8.6805555555555566E-2</v>
      </c>
      <c r="K686" s="67" t="s">
        <v>1721</v>
      </c>
      <c r="L686" s="67" t="s">
        <v>1202</v>
      </c>
      <c r="M686" s="67" t="s">
        <v>1412</v>
      </c>
    </row>
    <row r="687" spans="1:13" ht="12" customHeight="1" x14ac:dyDescent="0.2">
      <c r="A687" s="78">
        <v>238110</v>
      </c>
      <c r="B687" s="67" t="s">
        <v>740</v>
      </c>
      <c r="C687" s="67" t="s">
        <v>1196</v>
      </c>
      <c r="D687" s="67" t="s">
        <v>1202</v>
      </c>
      <c r="E687" s="67" t="s">
        <v>1406</v>
      </c>
      <c r="F687" s="67" t="s">
        <v>1661</v>
      </c>
      <c r="G687" s="67" t="s">
        <v>8</v>
      </c>
      <c r="H687" s="68">
        <v>5.1388888888888894E-2</v>
      </c>
      <c r="I687" s="68"/>
      <c r="J687" s="68">
        <v>5.1388888888888894E-2</v>
      </c>
      <c r="K687" s="67" t="s">
        <v>1718</v>
      </c>
      <c r="L687" s="67" t="s">
        <v>1202</v>
      </c>
      <c r="M687" s="67" t="s">
        <v>1406</v>
      </c>
    </row>
    <row r="688" spans="1:13" ht="12" customHeight="1" x14ac:dyDescent="0.2">
      <c r="A688" s="78">
        <v>235897</v>
      </c>
      <c r="B688" s="67" t="s">
        <v>741</v>
      </c>
      <c r="C688" s="67" t="s">
        <v>1196</v>
      </c>
      <c r="D688" s="67" t="s">
        <v>1202</v>
      </c>
      <c r="E688" s="67" t="s">
        <v>1429</v>
      </c>
      <c r="F688" s="67" t="s">
        <v>1666</v>
      </c>
      <c r="G688" s="67" t="s">
        <v>8</v>
      </c>
      <c r="H688" s="68">
        <v>4.1666666666666664E-2</v>
      </c>
      <c r="I688" s="68"/>
      <c r="J688" s="68">
        <v>4.1666666666666664E-2</v>
      </c>
      <c r="K688" s="67" t="s">
        <v>1718</v>
      </c>
      <c r="L688" s="67" t="s">
        <v>1202</v>
      </c>
      <c r="M688" s="67" t="s">
        <v>1429</v>
      </c>
    </row>
    <row r="689" spans="1:13" ht="12" customHeight="1" x14ac:dyDescent="0.2">
      <c r="A689" s="78">
        <v>224789</v>
      </c>
      <c r="B689" s="67" t="s">
        <v>742</v>
      </c>
      <c r="C689" s="67" t="s">
        <v>1196</v>
      </c>
      <c r="D689" s="67" t="s">
        <v>1202</v>
      </c>
      <c r="E689" s="67" t="s">
        <v>1418</v>
      </c>
      <c r="F689" s="67" t="s">
        <v>1659</v>
      </c>
      <c r="G689" s="67" t="s">
        <v>8</v>
      </c>
      <c r="H689" s="68">
        <v>2.361111111111111E-2</v>
      </c>
      <c r="I689" s="68"/>
      <c r="J689" s="68">
        <v>2.361111111111111E-2</v>
      </c>
      <c r="K689" s="67" t="s">
        <v>1718</v>
      </c>
      <c r="L689" s="67" t="s">
        <v>1202</v>
      </c>
      <c r="M689" s="67" t="s">
        <v>1418</v>
      </c>
    </row>
    <row r="690" spans="1:13" ht="12" customHeight="1" x14ac:dyDescent="0.2">
      <c r="A690" s="78">
        <v>225194</v>
      </c>
      <c r="B690" s="67" t="s">
        <v>743</v>
      </c>
      <c r="C690" s="67" t="s">
        <v>1196</v>
      </c>
      <c r="D690" s="67" t="s">
        <v>1202</v>
      </c>
      <c r="E690" s="67" t="s">
        <v>1420</v>
      </c>
      <c r="F690" s="67" t="s">
        <v>1667</v>
      </c>
      <c r="G690" s="67" t="s">
        <v>8</v>
      </c>
      <c r="H690" s="68">
        <v>1.9444444444444445E-2</v>
      </c>
      <c r="I690" s="68"/>
      <c r="J690" s="68">
        <v>1.9444444444444445E-2</v>
      </c>
      <c r="K690" s="67" t="s">
        <v>1718</v>
      </c>
      <c r="L690" s="67" t="s">
        <v>1202</v>
      </c>
      <c r="M690" s="67" t="s">
        <v>1420</v>
      </c>
    </row>
    <row r="691" spans="1:13" ht="12" customHeight="1" x14ac:dyDescent="0.2">
      <c r="A691" s="78">
        <v>229419</v>
      </c>
      <c r="B691" s="67" t="s">
        <v>744</v>
      </c>
      <c r="C691" s="67" t="s">
        <v>1196</v>
      </c>
      <c r="D691" s="67" t="s">
        <v>1202</v>
      </c>
      <c r="E691" s="67" t="s">
        <v>1438</v>
      </c>
      <c r="F691" s="67" t="s">
        <v>1661</v>
      </c>
      <c r="G691" s="67" t="s">
        <v>8</v>
      </c>
      <c r="H691" s="68">
        <v>6.9444444444444441E-3</v>
      </c>
      <c r="I691" s="68"/>
      <c r="J691" s="68">
        <v>6.9444444444444441E-3</v>
      </c>
      <c r="K691" s="67" t="s">
        <v>1728</v>
      </c>
      <c r="L691" s="67" t="s">
        <v>1202</v>
      </c>
      <c r="M691" s="67" t="s">
        <v>1438</v>
      </c>
    </row>
    <row r="692" spans="1:13" ht="12" customHeight="1" x14ac:dyDescent="0.2">
      <c r="A692" s="78">
        <v>222895</v>
      </c>
      <c r="B692" s="67" t="s">
        <v>745</v>
      </c>
      <c r="C692" s="67" t="s">
        <v>1196</v>
      </c>
      <c r="D692" s="67" t="s">
        <v>1202</v>
      </c>
      <c r="E692" s="67" t="s">
        <v>1406</v>
      </c>
      <c r="F692" s="67" t="s">
        <v>1661</v>
      </c>
      <c r="G692" s="67" t="s">
        <v>8</v>
      </c>
      <c r="H692" s="68">
        <v>6.2499999999999995E-3</v>
      </c>
      <c r="I692" s="68"/>
      <c r="J692" s="68">
        <v>6.2499999999999995E-3</v>
      </c>
      <c r="K692" s="67" t="s">
        <v>1718</v>
      </c>
      <c r="L692" s="67" t="s">
        <v>1202</v>
      </c>
      <c r="M692" s="67" t="s">
        <v>1406</v>
      </c>
    </row>
    <row r="693" spans="1:13" ht="12" customHeight="1" x14ac:dyDescent="0.2">
      <c r="A693" s="78">
        <v>236275</v>
      </c>
      <c r="B693" s="67" t="s">
        <v>746</v>
      </c>
      <c r="C693" s="67" t="s">
        <v>1196</v>
      </c>
      <c r="D693" s="67" t="s">
        <v>1202</v>
      </c>
      <c r="E693" s="67" t="s">
        <v>1406</v>
      </c>
      <c r="F693" s="67" t="s">
        <v>1661</v>
      </c>
      <c r="G693" s="67" t="s">
        <v>8</v>
      </c>
      <c r="H693" s="68">
        <v>1.3888888888888889E-3</v>
      </c>
      <c r="I693" s="68"/>
      <c r="J693" s="68">
        <v>1.3888888888888889E-3</v>
      </c>
      <c r="K693" s="67" t="s">
        <v>1718</v>
      </c>
      <c r="L693" s="67" t="s">
        <v>1202</v>
      </c>
      <c r="M693" s="67" t="s">
        <v>1406</v>
      </c>
    </row>
    <row r="694" spans="1:13" ht="12" customHeight="1" x14ac:dyDescent="0.2">
      <c r="A694" s="78">
        <v>230421</v>
      </c>
      <c r="B694" s="67" t="s">
        <v>747</v>
      </c>
      <c r="C694" s="67" t="s">
        <v>1196</v>
      </c>
      <c r="D694" s="67" t="s">
        <v>1202</v>
      </c>
      <c r="E694" s="67" t="s">
        <v>1438</v>
      </c>
      <c r="F694" s="67" t="s">
        <v>1661</v>
      </c>
      <c r="G694" s="67" t="s">
        <v>8</v>
      </c>
      <c r="H694" s="68">
        <v>6.9444444444444447E-4</v>
      </c>
      <c r="I694" s="68"/>
      <c r="J694" s="68">
        <v>6.9444444444444447E-4</v>
      </c>
      <c r="K694" s="67" t="s">
        <v>1720</v>
      </c>
      <c r="L694" s="67" t="s">
        <v>1202</v>
      </c>
      <c r="M694" s="67" t="s">
        <v>1438</v>
      </c>
    </row>
    <row r="695" spans="1:13" ht="12" customHeight="1" x14ac:dyDescent="0.2">
      <c r="A695" s="78">
        <v>232415</v>
      </c>
      <c r="B695" s="67" t="s">
        <v>748</v>
      </c>
      <c r="C695" s="67" t="s">
        <v>1196</v>
      </c>
      <c r="D695" s="67" t="s">
        <v>1203</v>
      </c>
      <c r="E695" s="67" t="s">
        <v>1439</v>
      </c>
      <c r="F695" s="67" t="s">
        <v>1669</v>
      </c>
      <c r="G695" s="67" t="s">
        <v>7</v>
      </c>
      <c r="H695" s="68">
        <v>1.1902777777777778</v>
      </c>
      <c r="I695" s="68">
        <v>1.1902777777777778</v>
      </c>
      <c r="J695" s="68"/>
      <c r="K695" s="67" t="s">
        <v>1718</v>
      </c>
      <c r="L695" s="67" t="s">
        <v>1203</v>
      </c>
      <c r="M695" s="67" t="s">
        <v>1439</v>
      </c>
    </row>
    <row r="696" spans="1:13" ht="12" customHeight="1" x14ac:dyDescent="0.2">
      <c r="A696" s="78">
        <v>202185</v>
      </c>
      <c r="B696" s="67" t="s">
        <v>749</v>
      </c>
      <c r="C696" s="67" t="s">
        <v>1196</v>
      </c>
      <c r="D696" s="67" t="s">
        <v>1203</v>
      </c>
      <c r="E696" s="67" t="s">
        <v>1440</v>
      </c>
      <c r="F696" s="67" t="s">
        <v>1670</v>
      </c>
      <c r="G696" s="67" t="s">
        <v>7</v>
      </c>
      <c r="H696" s="68">
        <v>2.5694444444444447E-2</v>
      </c>
      <c r="I696" s="68">
        <v>2.5694444444444447E-2</v>
      </c>
      <c r="J696" s="68"/>
      <c r="K696" s="67" t="s">
        <v>1718</v>
      </c>
      <c r="L696" s="67" t="s">
        <v>1203</v>
      </c>
      <c r="M696" s="67" t="s">
        <v>1440</v>
      </c>
    </row>
    <row r="697" spans="1:13" ht="12" customHeight="1" x14ac:dyDescent="0.2">
      <c r="A697" s="78">
        <v>220809</v>
      </c>
      <c r="B697" s="67" t="s">
        <v>750</v>
      </c>
      <c r="C697" s="67" t="s">
        <v>1196</v>
      </c>
      <c r="D697" s="67" t="s">
        <v>1203</v>
      </c>
      <c r="E697" s="67" t="s">
        <v>1441</v>
      </c>
      <c r="F697" s="67" t="s">
        <v>1671</v>
      </c>
      <c r="G697" s="67" t="s">
        <v>7</v>
      </c>
      <c r="H697" s="68">
        <v>1.7326388888888888</v>
      </c>
      <c r="I697" s="68">
        <v>1.7326388888888888</v>
      </c>
      <c r="J697" s="68"/>
      <c r="K697" s="67" t="s">
        <v>1721</v>
      </c>
      <c r="L697" s="67" t="s">
        <v>1203</v>
      </c>
      <c r="M697" s="67" t="s">
        <v>1441</v>
      </c>
    </row>
    <row r="698" spans="1:13" ht="12" customHeight="1" x14ac:dyDescent="0.2">
      <c r="A698" s="78">
        <v>224554</v>
      </c>
      <c r="B698" s="67" t="s">
        <v>751</v>
      </c>
      <c r="C698" s="67" t="s">
        <v>1196</v>
      </c>
      <c r="D698" s="67" t="s">
        <v>1203</v>
      </c>
      <c r="E698" s="67" t="s">
        <v>1441</v>
      </c>
      <c r="F698" s="67" t="s">
        <v>1671</v>
      </c>
      <c r="G698" s="67" t="s">
        <v>7</v>
      </c>
      <c r="H698" s="68">
        <v>4.6527777777777779E-2</v>
      </c>
      <c r="I698" s="68">
        <v>4.6527777777777779E-2</v>
      </c>
      <c r="J698" s="68"/>
      <c r="K698" s="67" t="s">
        <v>1721</v>
      </c>
      <c r="L698" s="67" t="s">
        <v>1203</v>
      </c>
      <c r="M698" s="67" t="s">
        <v>1441</v>
      </c>
    </row>
    <row r="699" spans="1:13" ht="12" customHeight="1" x14ac:dyDescent="0.2">
      <c r="A699" s="78">
        <v>231511</v>
      </c>
      <c r="B699" s="67" t="s">
        <v>752</v>
      </c>
      <c r="C699" s="67" t="s">
        <v>1196</v>
      </c>
      <c r="D699" s="67" t="s">
        <v>1203</v>
      </c>
      <c r="E699" s="67" t="s">
        <v>1442</v>
      </c>
      <c r="F699" s="67" t="s">
        <v>1671</v>
      </c>
      <c r="G699" s="67" t="s">
        <v>7</v>
      </c>
      <c r="H699" s="68">
        <v>1.179861111111111</v>
      </c>
      <c r="I699" s="68">
        <v>1.179861111111111</v>
      </c>
      <c r="J699" s="68"/>
      <c r="K699" s="67" t="s">
        <v>1718</v>
      </c>
      <c r="L699" s="67" t="s">
        <v>1203</v>
      </c>
      <c r="M699" s="67" t="s">
        <v>1442</v>
      </c>
    </row>
    <row r="700" spans="1:13" ht="12" customHeight="1" x14ac:dyDescent="0.2">
      <c r="A700" s="78">
        <v>233747</v>
      </c>
      <c r="B700" s="67" t="s">
        <v>753</v>
      </c>
      <c r="C700" s="67" t="s">
        <v>1196</v>
      </c>
      <c r="D700" s="67" t="s">
        <v>1203</v>
      </c>
      <c r="E700" s="67" t="s">
        <v>1443</v>
      </c>
      <c r="F700" s="67" t="s">
        <v>1672</v>
      </c>
      <c r="G700" s="67" t="s">
        <v>7</v>
      </c>
      <c r="H700" s="68">
        <v>0.29930555555555555</v>
      </c>
      <c r="I700" s="68">
        <v>0.29930555555555555</v>
      </c>
      <c r="J700" s="68"/>
      <c r="K700" s="67" t="s">
        <v>1721</v>
      </c>
      <c r="L700" s="67" t="s">
        <v>1203</v>
      </c>
      <c r="M700" s="67" t="s">
        <v>1443</v>
      </c>
    </row>
    <row r="701" spans="1:13" ht="12" customHeight="1" x14ac:dyDescent="0.2">
      <c r="A701" s="78">
        <v>234669</v>
      </c>
      <c r="B701" s="67" t="s">
        <v>754</v>
      </c>
      <c r="C701" s="67" t="s">
        <v>1196</v>
      </c>
      <c r="D701" s="67" t="s">
        <v>1203</v>
      </c>
      <c r="E701" s="67" t="s">
        <v>1444</v>
      </c>
      <c r="F701" s="67" t="s">
        <v>1673</v>
      </c>
      <c r="G701" s="67" t="s">
        <v>7</v>
      </c>
      <c r="H701" s="68">
        <v>0.20555555555555557</v>
      </c>
      <c r="I701" s="68">
        <v>0.20555555555555557</v>
      </c>
      <c r="J701" s="68"/>
      <c r="K701" s="67" t="s">
        <v>1721</v>
      </c>
      <c r="L701" s="67" t="s">
        <v>1203</v>
      </c>
      <c r="M701" s="67" t="s">
        <v>1444</v>
      </c>
    </row>
    <row r="702" spans="1:13" ht="12" customHeight="1" x14ac:dyDescent="0.2">
      <c r="A702" s="78">
        <v>232034</v>
      </c>
      <c r="B702" s="67" t="s">
        <v>755</v>
      </c>
      <c r="C702" s="67" t="s">
        <v>1196</v>
      </c>
      <c r="D702" s="67" t="s">
        <v>1203</v>
      </c>
      <c r="E702" s="67" t="s">
        <v>1445</v>
      </c>
      <c r="F702" s="67" t="s">
        <v>1670</v>
      </c>
      <c r="G702" s="67" t="s">
        <v>7</v>
      </c>
      <c r="H702" s="68">
        <v>0.88194444444444453</v>
      </c>
      <c r="I702" s="68">
        <v>0.88194444444444453</v>
      </c>
      <c r="J702" s="68"/>
      <c r="K702" s="67" t="s">
        <v>1718</v>
      </c>
      <c r="L702" s="67" t="s">
        <v>1203</v>
      </c>
      <c r="M702" s="67" t="s">
        <v>1445</v>
      </c>
    </row>
    <row r="703" spans="1:13" ht="12" customHeight="1" x14ac:dyDescent="0.2">
      <c r="A703" s="78">
        <v>221964</v>
      </c>
      <c r="B703" s="67" t="s">
        <v>756</v>
      </c>
      <c r="C703" s="67" t="s">
        <v>1196</v>
      </c>
      <c r="D703" s="67" t="s">
        <v>1203</v>
      </c>
      <c r="E703" s="67" t="s">
        <v>1444</v>
      </c>
      <c r="F703" s="67" t="s">
        <v>1673</v>
      </c>
      <c r="G703" s="67" t="s">
        <v>7</v>
      </c>
      <c r="H703" s="68">
        <v>0.41388888888888892</v>
      </c>
      <c r="I703" s="68">
        <v>0.41388888888888892</v>
      </c>
      <c r="J703" s="68"/>
      <c r="K703" s="67" t="s">
        <v>1720</v>
      </c>
      <c r="L703" s="67" t="s">
        <v>1203</v>
      </c>
      <c r="M703" s="67" t="s">
        <v>1444</v>
      </c>
    </row>
    <row r="704" spans="1:13" ht="12" customHeight="1" x14ac:dyDescent="0.2">
      <c r="A704" s="78">
        <v>225492</v>
      </c>
      <c r="B704" s="67" t="s">
        <v>757</v>
      </c>
      <c r="C704" s="67" t="s">
        <v>1196</v>
      </c>
      <c r="D704" s="67" t="s">
        <v>1203</v>
      </c>
      <c r="E704" s="67" t="s">
        <v>1446</v>
      </c>
      <c r="F704" s="67" t="s">
        <v>1672</v>
      </c>
      <c r="G704" s="67" t="s">
        <v>7</v>
      </c>
      <c r="H704" s="68">
        <v>4.5833333333333337E-2</v>
      </c>
      <c r="I704" s="68">
        <v>4.5833333333333337E-2</v>
      </c>
      <c r="J704" s="68"/>
      <c r="K704" s="67" t="s">
        <v>1718</v>
      </c>
      <c r="L704" s="67" t="s">
        <v>1203</v>
      </c>
      <c r="M704" s="67" t="s">
        <v>1446</v>
      </c>
    </row>
    <row r="705" spans="1:13" ht="12" customHeight="1" x14ac:dyDescent="0.2">
      <c r="A705" s="78">
        <v>233179</v>
      </c>
      <c r="B705" s="67" t="s">
        <v>758</v>
      </c>
      <c r="C705" s="67" t="s">
        <v>1196</v>
      </c>
      <c r="D705" s="67" t="s">
        <v>1203</v>
      </c>
      <c r="E705" s="67" t="s">
        <v>1440</v>
      </c>
      <c r="F705" s="67" t="s">
        <v>1670</v>
      </c>
      <c r="G705" s="67" t="s">
        <v>7</v>
      </c>
      <c r="H705" s="68">
        <v>6.5277777777777782E-2</v>
      </c>
      <c r="I705" s="68">
        <v>6.5277777777777782E-2</v>
      </c>
      <c r="J705" s="68"/>
      <c r="K705" s="67" t="s">
        <v>1718</v>
      </c>
      <c r="L705" s="67" t="s">
        <v>1203</v>
      </c>
      <c r="M705" s="67" t="s">
        <v>1440</v>
      </c>
    </row>
    <row r="706" spans="1:13" ht="12" customHeight="1" x14ac:dyDescent="0.2">
      <c r="A706" s="78">
        <v>225600</v>
      </c>
      <c r="B706" s="67" t="s">
        <v>759</v>
      </c>
      <c r="C706" s="67" t="s">
        <v>1196</v>
      </c>
      <c r="D706" s="67" t="s">
        <v>1203</v>
      </c>
      <c r="E706" s="67" t="s">
        <v>1446</v>
      </c>
      <c r="F706" s="67" t="s">
        <v>1672</v>
      </c>
      <c r="G706" s="67" t="s">
        <v>7</v>
      </c>
      <c r="H706" s="68">
        <v>3.7222222222222223</v>
      </c>
      <c r="I706" s="68">
        <v>3.7222222222222223</v>
      </c>
      <c r="J706" s="68"/>
      <c r="K706" s="67" t="s">
        <v>1718</v>
      </c>
      <c r="L706" s="67" t="s">
        <v>1203</v>
      </c>
      <c r="M706" s="67" t="s">
        <v>1446</v>
      </c>
    </row>
    <row r="707" spans="1:13" ht="12" customHeight="1" x14ac:dyDescent="0.2">
      <c r="A707" s="78">
        <v>229718</v>
      </c>
      <c r="B707" s="67" t="s">
        <v>760</v>
      </c>
      <c r="C707" s="67" t="s">
        <v>1196</v>
      </c>
      <c r="D707" s="67" t="s">
        <v>1203</v>
      </c>
      <c r="E707" s="67" t="s">
        <v>1447</v>
      </c>
      <c r="F707" s="67" t="s">
        <v>1672</v>
      </c>
      <c r="G707" s="67" t="s">
        <v>7</v>
      </c>
      <c r="H707" s="68">
        <v>33.220833333333331</v>
      </c>
      <c r="I707" s="68">
        <v>33.220833333333331</v>
      </c>
      <c r="J707" s="68"/>
      <c r="K707" s="67" t="s">
        <v>1720</v>
      </c>
      <c r="L707" s="67" t="s">
        <v>1203</v>
      </c>
      <c r="M707" s="67" t="s">
        <v>1447</v>
      </c>
    </row>
    <row r="708" spans="1:13" ht="12" customHeight="1" x14ac:dyDescent="0.2">
      <c r="A708" s="78">
        <v>235800</v>
      </c>
      <c r="B708" s="67" t="s">
        <v>761</v>
      </c>
      <c r="C708" s="67" t="s">
        <v>1196</v>
      </c>
      <c r="D708" s="67" t="s">
        <v>1203</v>
      </c>
      <c r="E708" s="67" t="s">
        <v>1448</v>
      </c>
      <c r="F708" s="67" t="s">
        <v>1674</v>
      </c>
      <c r="G708" s="67" t="s">
        <v>7</v>
      </c>
      <c r="H708" s="68">
        <v>1.7097222222222221</v>
      </c>
      <c r="I708" s="68">
        <v>1.7097222222222221</v>
      </c>
      <c r="J708" s="68"/>
      <c r="K708" s="67" t="s">
        <v>1720</v>
      </c>
      <c r="L708" s="67" t="s">
        <v>1203</v>
      </c>
      <c r="M708" s="67" t="s">
        <v>1448</v>
      </c>
    </row>
    <row r="709" spans="1:13" ht="12" customHeight="1" x14ac:dyDescent="0.2">
      <c r="A709" s="78">
        <v>202805</v>
      </c>
      <c r="B709" s="67" t="s">
        <v>762</v>
      </c>
      <c r="C709" s="67" t="s">
        <v>1196</v>
      </c>
      <c r="D709" s="67" t="s">
        <v>1203</v>
      </c>
      <c r="E709" s="67" t="s">
        <v>1449</v>
      </c>
      <c r="F709" s="67" t="s">
        <v>1675</v>
      </c>
      <c r="G709" s="67" t="s">
        <v>7</v>
      </c>
      <c r="H709" s="68">
        <v>15.095833333333333</v>
      </c>
      <c r="I709" s="68">
        <v>15.095833333333333</v>
      </c>
      <c r="J709" s="68"/>
      <c r="K709" s="67" t="s">
        <v>1718</v>
      </c>
      <c r="L709" s="67" t="s">
        <v>1203</v>
      </c>
      <c r="M709" s="67" t="s">
        <v>1449</v>
      </c>
    </row>
    <row r="710" spans="1:13" ht="12" customHeight="1" x14ac:dyDescent="0.2">
      <c r="A710" s="78">
        <v>234640</v>
      </c>
      <c r="B710" s="67" t="s">
        <v>763</v>
      </c>
      <c r="C710" s="67" t="s">
        <v>1196</v>
      </c>
      <c r="D710" s="67" t="s">
        <v>1203</v>
      </c>
      <c r="E710" s="67" t="s">
        <v>1444</v>
      </c>
      <c r="F710" s="67" t="s">
        <v>1673</v>
      </c>
      <c r="G710" s="67" t="s">
        <v>7</v>
      </c>
      <c r="H710" s="68">
        <v>0.26111111111111113</v>
      </c>
      <c r="I710" s="68">
        <v>0.26111111111111113</v>
      </c>
      <c r="J710" s="68"/>
      <c r="K710" s="67" t="s">
        <v>1720</v>
      </c>
      <c r="L710" s="67" t="s">
        <v>1203</v>
      </c>
      <c r="M710" s="67" t="s">
        <v>1444</v>
      </c>
    </row>
    <row r="711" spans="1:13" ht="12" customHeight="1" x14ac:dyDescent="0.2">
      <c r="A711" s="78">
        <v>230573</v>
      </c>
      <c r="B711" s="67" t="s">
        <v>764</v>
      </c>
      <c r="C711" s="67" t="s">
        <v>1196</v>
      </c>
      <c r="D711" s="67" t="s">
        <v>1203</v>
      </c>
      <c r="E711" s="67" t="s">
        <v>1450</v>
      </c>
      <c r="F711" s="67" t="s">
        <v>1676</v>
      </c>
      <c r="G711" s="67" t="s">
        <v>7</v>
      </c>
      <c r="H711" s="68">
        <v>0.22013888888888888</v>
      </c>
      <c r="I711" s="68">
        <v>0.22013888888888888</v>
      </c>
      <c r="J711" s="68"/>
      <c r="K711" s="67" t="s">
        <v>1720</v>
      </c>
      <c r="L711" s="67" t="s">
        <v>1203</v>
      </c>
      <c r="M711" s="67" t="s">
        <v>1450</v>
      </c>
    </row>
    <row r="712" spans="1:13" ht="12" customHeight="1" x14ac:dyDescent="0.2">
      <c r="A712" s="78">
        <v>217948</v>
      </c>
      <c r="B712" s="67" t="s">
        <v>765</v>
      </c>
      <c r="C712" s="67" t="s">
        <v>1196</v>
      </c>
      <c r="D712" s="67" t="s">
        <v>1203</v>
      </c>
      <c r="E712" s="67" t="s">
        <v>1451</v>
      </c>
      <c r="F712" s="67" t="s">
        <v>1677</v>
      </c>
      <c r="G712" s="67" t="s">
        <v>7</v>
      </c>
      <c r="H712" s="68">
        <v>0.16666666666666666</v>
      </c>
      <c r="I712" s="68">
        <v>0.16666666666666666</v>
      </c>
      <c r="J712" s="68"/>
      <c r="K712" s="67" t="s">
        <v>1721</v>
      </c>
      <c r="L712" s="67" t="s">
        <v>1203</v>
      </c>
      <c r="M712" s="67" t="s">
        <v>1451</v>
      </c>
    </row>
    <row r="713" spans="1:13" ht="12" customHeight="1" x14ac:dyDescent="0.2">
      <c r="A713" s="78">
        <v>234649</v>
      </c>
      <c r="B713" s="67" t="s">
        <v>766</v>
      </c>
      <c r="C713" s="67" t="s">
        <v>1196</v>
      </c>
      <c r="D713" s="67" t="s">
        <v>1203</v>
      </c>
      <c r="E713" s="67" t="s">
        <v>1452</v>
      </c>
      <c r="F713" s="67" t="s">
        <v>1677</v>
      </c>
      <c r="G713" s="67" t="s">
        <v>7</v>
      </c>
      <c r="H713" s="68">
        <v>0.15902777777777777</v>
      </c>
      <c r="I713" s="68">
        <v>0.15902777777777777</v>
      </c>
      <c r="J713" s="68"/>
      <c r="K713" s="67" t="s">
        <v>1718</v>
      </c>
      <c r="L713" s="67" t="s">
        <v>1203</v>
      </c>
      <c r="M713" s="67" t="s">
        <v>1452</v>
      </c>
    </row>
    <row r="714" spans="1:13" ht="12" customHeight="1" x14ac:dyDescent="0.2">
      <c r="A714" s="78">
        <v>224329</v>
      </c>
      <c r="B714" s="67" t="s">
        <v>767</v>
      </c>
      <c r="C714" s="67" t="s">
        <v>1196</v>
      </c>
      <c r="D714" s="67" t="s">
        <v>1203</v>
      </c>
      <c r="E714" s="67" t="s">
        <v>1453</v>
      </c>
      <c r="F714" s="67" t="s">
        <v>1678</v>
      </c>
      <c r="G714" s="67" t="s">
        <v>7</v>
      </c>
      <c r="H714" s="68">
        <v>4.8611111111111112E-2</v>
      </c>
      <c r="I714" s="68">
        <v>4.8611111111111112E-2</v>
      </c>
      <c r="J714" s="68"/>
      <c r="K714" s="67" t="s">
        <v>1718</v>
      </c>
      <c r="L714" s="67" t="s">
        <v>1203</v>
      </c>
      <c r="M714" s="67" t="s">
        <v>1453</v>
      </c>
    </row>
    <row r="715" spans="1:13" ht="12" customHeight="1" x14ac:dyDescent="0.2">
      <c r="A715" s="78">
        <v>231761</v>
      </c>
      <c r="B715" s="67" t="s">
        <v>768</v>
      </c>
      <c r="C715" s="67" t="s">
        <v>1196</v>
      </c>
      <c r="D715" s="67" t="s">
        <v>1203</v>
      </c>
      <c r="E715" s="67" t="s">
        <v>1449</v>
      </c>
      <c r="F715" s="67" t="s">
        <v>1675</v>
      </c>
      <c r="G715" s="67" t="s">
        <v>7</v>
      </c>
      <c r="H715" s="68">
        <v>1.4409722222222223</v>
      </c>
      <c r="I715" s="68">
        <v>1.4409722222222223</v>
      </c>
      <c r="J715" s="68"/>
      <c r="K715" s="67" t="s">
        <v>1718</v>
      </c>
      <c r="L715" s="67" t="s">
        <v>1203</v>
      </c>
      <c r="M715" s="67" t="s">
        <v>1449</v>
      </c>
    </row>
    <row r="716" spans="1:13" ht="12" customHeight="1" x14ac:dyDescent="0.2">
      <c r="A716" s="78">
        <v>203428</v>
      </c>
      <c r="B716" s="67" t="s">
        <v>769</v>
      </c>
      <c r="C716" s="67" t="s">
        <v>1196</v>
      </c>
      <c r="D716" s="67" t="s">
        <v>1203</v>
      </c>
      <c r="E716" s="67" t="s">
        <v>1454</v>
      </c>
      <c r="F716" s="67" t="s">
        <v>1679</v>
      </c>
      <c r="G716" s="67" t="s">
        <v>7</v>
      </c>
      <c r="H716" s="68">
        <v>0.45902777777777781</v>
      </c>
      <c r="I716" s="68">
        <v>0.45902777777777781</v>
      </c>
      <c r="J716" s="68"/>
      <c r="K716" s="67" t="s">
        <v>1725</v>
      </c>
      <c r="L716" s="67" t="s">
        <v>1203</v>
      </c>
      <c r="M716" s="67" t="s">
        <v>1454</v>
      </c>
    </row>
    <row r="717" spans="1:13" ht="12" customHeight="1" x14ac:dyDescent="0.2">
      <c r="A717" s="78">
        <v>232671</v>
      </c>
      <c r="B717" s="67" t="s">
        <v>770</v>
      </c>
      <c r="C717" s="67" t="s">
        <v>1196</v>
      </c>
      <c r="D717" s="67" t="s">
        <v>1203</v>
      </c>
      <c r="E717" s="67" t="s">
        <v>1455</v>
      </c>
      <c r="F717" s="67" t="s">
        <v>1674</v>
      </c>
      <c r="G717" s="67" t="s">
        <v>7</v>
      </c>
      <c r="H717" s="68">
        <v>3.370138888888889</v>
      </c>
      <c r="I717" s="68">
        <v>3.370138888888889</v>
      </c>
      <c r="J717" s="68"/>
      <c r="K717" s="67" t="s">
        <v>1718</v>
      </c>
      <c r="L717" s="67" t="s">
        <v>1203</v>
      </c>
      <c r="M717" s="67" t="s">
        <v>1455</v>
      </c>
    </row>
    <row r="718" spans="1:13" ht="12" customHeight="1" x14ac:dyDescent="0.2">
      <c r="A718" s="78">
        <v>235849</v>
      </c>
      <c r="B718" s="67" t="s">
        <v>771</v>
      </c>
      <c r="C718" s="67" t="s">
        <v>1196</v>
      </c>
      <c r="D718" s="67" t="s">
        <v>1203</v>
      </c>
      <c r="E718" s="67" t="s">
        <v>1449</v>
      </c>
      <c r="F718" s="67" t="s">
        <v>1675</v>
      </c>
      <c r="G718" s="67" t="s">
        <v>7</v>
      </c>
      <c r="H718" s="68">
        <v>13.94513888888889</v>
      </c>
      <c r="I718" s="68">
        <v>13.94513888888889</v>
      </c>
      <c r="J718" s="68"/>
      <c r="K718" s="67" t="s">
        <v>1718</v>
      </c>
      <c r="L718" s="67" t="s">
        <v>1203</v>
      </c>
      <c r="M718" s="67" t="s">
        <v>1449</v>
      </c>
    </row>
    <row r="719" spans="1:13" ht="12" customHeight="1" x14ac:dyDescent="0.2">
      <c r="A719" s="78">
        <v>231164</v>
      </c>
      <c r="B719" s="67" t="s">
        <v>772</v>
      </c>
      <c r="C719" s="67" t="s">
        <v>1196</v>
      </c>
      <c r="D719" s="67" t="s">
        <v>1203</v>
      </c>
      <c r="E719" s="67" t="s">
        <v>1439</v>
      </c>
      <c r="F719" s="67" t="s">
        <v>1669</v>
      </c>
      <c r="G719" s="67" t="s">
        <v>7</v>
      </c>
      <c r="H719" s="68">
        <v>0.8534722222222223</v>
      </c>
      <c r="I719" s="68">
        <v>0.8534722222222223</v>
      </c>
      <c r="J719" s="68"/>
      <c r="K719" s="67" t="s">
        <v>1718</v>
      </c>
      <c r="L719" s="67" t="s">
        <v>1203</v>
      </c>
      <c r="M719" s="67" t="s">
        <v>1439</v>
      </c>
    </row>
    <row r="720" spans="1:13" ht="12" customHeight="1" x14ac:dyDescent="0.2">
      <c r="A720" s="78">
        <v>231646</v>
      </c>
      <c r="B720" s="67" t="s">
        <v>773</v>
      </c>
      <c r="C720" s="67" t="s">
        <v>1196</v>
      </c>
      <c r="D720" s="67" t="s">
        <v>1203</v>
      </c>
      <c r="E720" s="67" t="s">
        <v>1456</v>
      </c>
      <c r="F720" s="67" t="s">
        <v>1680</v>
      </c>
      <c r="G720" s="67" t="s">
        <v>7</v>
      </c>
      <c r="H720" s="68">
        <v>0.59305555555555556</v>
      </c>
      <c r="I720" s="68">
        <v>0.59305555555555556</v>
      </c>
      <c r="J720" s="68"/>
      <c r="K720" s="67" t="s">
        <v>1718</v>
      </c>
      <c r="L720" s="67" t="s">
        <v>1203</v>
      </c>
      <c r="M720" s="67" t="s">
        <v>1456</v>
      </c>
    </row>
    <row r="721" spans="1:13" ht="12" customHeight="1" x14ac:dyDescent="0.2">
      <c r="A721" s="78">
        <v>203601</v>
      </c>
      <c r="B721" s="67" t="s">
        <v>774</v>
      </c>
      <c r="C721" s="67" t="s">
        <v>1196</v>
      </c>
      <c r="D721" s="67" t="s">
        <v>1203</v>
      </c>
      <c r="E721" s="67" t="s">
        <v>1442</v>
      </c>
      <c r="F721" s="67" t="s">
        <v>1671</v>
      </c>
      <c r="G721" s="67" t="s">
        <v>7</v>
      </c>
      <c r="H721" s="68">
        <v>0.37638888888888888</v>
      </c>
      <c r="I721" s="68">
        <v>0.37638888888888888</v>
      </c>
      <c r="J721" s="68"/>
      <c r="K721" s="67" t="s">
        <v>1718</v>
      </c>
      <c r="L721" s="67" t="s">
        <v>1203</v>
      </c>
      <c r="M721" s="67" t="s">
        <v>1442</v>
      </c>
    </row>
    <row r="722" spans="1:13" ht="12" customHeight="1" x14ac:dyDescent="0.2">
      <c r="A722" s="78">
        <v>203448</v>
      </c>
      <c r="B722" s="67" t="s">
        <v>775</v>
      </c>
      <c r="C722" s="67" t="s">
        <v>1196</v>
      </c>
      <c r="D722" s="67" t="s">
        <v>1203</v>
      </c>
      <c r="E722" s="67" t="s">
        <v>1455</v>
      </c>
      <c r="F722" s="67" t="s">
        <v>1674</v>
      </c>
      <c r="G722" s="67" t="s">
        <v>7</v>
      </c>
      <c r="H722" s="68">
        <v>2.8243055555555556</v>
      </c>
      <c r="I722" s="68">
        <v>2.8243055555555556</v>
      </c>
      <c r="J722" s="68"/>
      <c r="K722" s="67" t="s">
        <v>1718</v>
      </c>
      <c r="L722" s="67" t="s">
        <v>1203</v>
      </c>
      <c r="M722" s="67" t="s">
        <v>1455</v>
      </c>
    </row>
    <row r="723" spans="1:13" ht="12" customHeight="1" x14ac:dyDescent="0.2">
      <c r="A723" s="78">
        <v>224949</v>
      </c>
      <c r="B723" s="67" t="s">
        <v>776</v>
      </c>
      <c r="C723" s="67" t="s">
        <v>1196</v>
      </c>
      <c r="D723" s="67" t="s">
        <v>1203</v>
      </c>
      <c r="E723" s="67" t="s">
        <v>1452</v>
      </c>
      <c r="F723" s="67" t="s">
        <v>1677</v>
      </c>
      <c r="G723" s="67" t="s">
        <v>7</v>
      </c>
      <c r="H723" s="68">
        <v>0.13958333333333334</v>
      </c>
      <c r="I723" s="68">
        <v>0.13958333333333334</v>
      </c>
      <c r="J723" s="68"/>
      <c r="K723" s="67" t="s">
        <v>1718</v>
      </c>
      <c r="L723" s="67" t="s">
        <v>1203</v>
      </c>
      <c r="M723" s="67" t="s">
        <v>1452</v>
      </c>
    </row>
    <row r="724" spans="1:13" ht="12" customHeight="1" x14ac:dyDescent="0.2">
      <c r="A724" s="78">
        <v>234373</v>
      </c>
      <c r="B724" s="67" t="s">
        <v>777</v>
      </c>
      <c r="C724" s="67" t="s">
        <v>1196</v>
      </c>
      <c r="D724" s="67" t="s">
        <v>1203</v>
      </c>
      <c r="E724" s="67" t="s">
        <v>1457</v>
      </c>
      <c r="F724" s="67" t="s">
        <v>1676</v>
      </c>
      <c r="G724" s="67" t="s">
        <v>7</v>
      </c>
      <c r="H724" s="68">
        <v>0.4909722222222222</v>
      </c>
      <c r="I724" s="68">
        <v>0.4909722222222222</v>
      </c>
      <c r="J724" s="68"/>
      <c r="K724" s="67" t="s">
        <v>1718</v>
      </c>
      <c r="L724" s="67" t="s">
        <v>1203</v>
      </c>
      <c r="M724" s="67" t="s">
        <v>1457</v>
      </c>
    </row>
    <row r="725" spans="1:13" ht="12" customHeight="1" x14ac:dyDescent="0.2">
      <c r="A725" s="78">
        <v>229319</v>
      </c>
      <c r="B725" s="67" t="s">
        <v>778</v>
      </c>
      <c r="C725" s="67" t="s">
        <v>1196</v>
      </c>
      <c r="D725" s="67" t="s">
        <v>1203</v>
      </c>
      <c r="E725" s="67" t="s">
        <v>1458</v>
      </c>
      <c r="F725" s="67" t="s">
        <v>1675</v>
      </c>
      <c r="G725" s="67" t="s">
        <v>7</v>
      </c>
      <c r="H725" s="68">
        <v>11.744444444444444</v>
      </c>
      <c r="I725" s="68">
        <v>11.744444444444444</v>
      </c>
      <c r="J725" s="68"/>
      <c r="K725" s="67" t="s">
        <v>1720</v>
      </c>
      <c r="L725" s="67" t="s">
        <v>1203</v>
      </c>
      <c r="M725" s="67" t="s">
        <v>1458</v>
      </c>
    </row>
    <row r="726" spans="1:13" ht="12" customHeight="1" x14ac:dyDescent="0.2">
      <c r="A726" s="78">
        <v>232546</v>
      </c>
      <c r="B726" s="67" t="s">
        <v>779</v>
      </c>
      <c r="C726" s="67" t="s">
        <v>1196</v>
      </c>
      <c r="D726" s="67" t="s">
        <v>1203</v>
      </c>
      <c r="E726" s="67" t="s">
        <v>1453</v>
      </c>
      <c r="F726" s="67" t="s">
        <v>1678</v>
      </c>
      <c r="G726" s="67" t="s">
        <v>7</v>
      </c>
      <c r="H726" s="68">
        <v>0.19444444444444445</v>
      </c>
      <c r="I726" s="68">
        <v>0.19444444444444445</v>
      </c>
      <c r="J726" s="68"/>
      <c r="K726" s="67" t="s">
        <v>1718</v>
      </c>
      <c r="L726" s="67" t="s">
        <v>1203</v>
      </c>
      <c r="M726" s="67" t="s">
        <v>1453</v>
      </c>
    </row>
    <row r="727" spans="1:13" ht="12" customHeight="1" x14ac:dyDescent="0.2">
      <c r="A727" s="78">
        <v>202808</v>
      </c>
      <c r="B727" s="67" t="s">
        <v>780</v>
      </c>
      <c r="C727" s="67" t="s">
        <v>1196</v>
      </c>
      <c r="D727" s="67" t="s">
        <v>1203</v>
      </c>
      <c r="E727" s="67" t="s">
        <v>1459</v>
      </c>
      <c r="F727" s="67" t="s">
        <v>1673</v>
      </c>
      <c r="G727" s="67" t="s">
        <v>7</v>
      </c>
      <c r="H727" s="68">
        <v>1.4465277777777779</v>
      </c>
      <c r="I727" s="68">
        <v>1.4465277777777779</v>
      </c>
      <c r="J727" s="68"/>
      <c r="K727" s="67" t="s">
        <v>1718</v>
      </c>
      <c r="L727" s="67" t="s">
        <v>1203</v>
      </c>
      <c r="M727" s="67" t="s">
        <v>1459</v>
      </c>
    </row>
    <row r="728" spans="1:13" ht="12" customHeight="1" x14ac:dyDescent="0.2">
      <c r="A728" s="78">
        <v>230743</v>
      </c>
      <c r="B728" s="67" t="s">
        <v>781</v>
      </c>
      <c r="C728" s="67" t="s">
        <v>1196</v>
      </c>
      <c r="D728" s="67" t="s">
        <v>1203</v>
      </c>
      <c r="E728" s="67" t="s">
        <v>1450</v>
      </c>
      <c r="F728" s="67" t="s">
        <v>1676</v>
      </c>
      <c r="G728" s="67" t="s">
        <v>7</v>
      </c>
      <c r="H728" s="68">
        <v>9.7222222222222224E-2</v>
      </c>
      <c r="I728" s="68">
        <v>9.7222222222222224E-2</v>
      </c>
      <c r="J728" s="68"/>
      <c r="K728" s="67" t="s">
        <v>1721</v>
      </c>
      <c r="L728" s="67" t="s">
        <v>1203</v>
      </c>
      <c r="M728" s="67" t="s">
        <v>1450</v>
      </c>
    </row>
    <row r="729" spans="1:13" ht="12" customHeight="1" x14ac:dyDescent="0.2">
      <c r="A729" s="78">
        <v>233466</v>
      </c>
      <c r="B729" s="67" t="s">
        <v>782</v>
      </c>
      <c r="C729" s="67" t="s">
        <v>1196</v>
      </c>
      <c r="D729" s="67" t="s">
        <v>1203</v>
      </c>
      <c r="E729" s="67" t="s">
        <v>1441</v>
      </c>
      <c r="F729" s="67" t="s">
        <v>1671</v>
      </c>
      <c r="G729" s="67" t="s">
        <v>7</v>
      </c>
      <c r="H729" s="68">
        <v>1.476388888888889</v>
      </c>
      <c r="I729" s="68">
        <v>1.476388888888889</v>
      </c>
      <c r="J729" s="68"/>
      <c r="K729" s="67" t="s">
        <v>1722</v>
      </c>
      <c r="L729" s="67" t="s">
        <v>1203</v>
      </c>
      <c r="M729" s="67" t="s">
        <v>1441</v>
      </c>
    </row>
    <row r="730" spans="1:13" ht="12" customHeight="1" x14ac:dyDescent="0.2">
      <c r="A730" s="78">
        <v>232900</v>
      </c>
      <c r="B730" s="67" t="s">
        <v>783</v>
      </c>
      <c r="C730" s="67" t="s">
        <v>1196</v>
      </c>
      <c r="D730" s="67" t="s">
        <v>1203</v>
      </c>
      <c r="E730" s="67" t="s">
        <v>1459</v>
      </c>
      <c r="F730" s="67" t="s">
        <v>1673</v>
      </c>
      <c r="G730" s="67" t="s">
        <v>7</v>
      </c>
      <c r="H730" s="68">
        <v>0.3972222222222222</v>
      </c>
      <c r="I730" s="68">
        <v>0.3972222222222222</v>
      </c>
      <c r="J730" s="68"/>
      <c r="K730" s="67" t="s">
        <v>1718</v>
      </c>
      <c r="L730" s="67" t="s">
        <v>1203</v>
      </c>
      <c r="M730" s="67" t="s">
        <v>1459</v>
      </c>
    </row>
    <row r="731" spans="1:13" ht="12" customHeight="1" x14ac:dyDescent="0.2">
      <c r="A731" s="78">
        <v>234910</v>
      </c>
      <c r="B731" s="67" t="s">
        <v>784</v>
      </c>
      <c r="C731" s="67" t="s">
        <v>1196</v>
      </c>
      <c r="D731" s="67" t="s">
        <v>1203</v>
      </c>
      <c r="E731" s="67" t="s">
        <v>1452</v>
      </c>
      <c r="F731" s="67" t="s">
        <v>1677</v>
      </c>
      <c r="G731" s="67" t="s">
        <v>7</v>
      </c>
      <c r="H731" s="68">
        <v>0.36874999999999997</v>
      </c>
      <c r="I731" s="68">
        <v>0.36874999999999997</v>
      </c>
      <c r="J731" s="68"/>
      <c r="K731" s="67" t="s">
        <v>1718</v>
      </c>
      <c r="L731" s="67" t="s">
        <v>1203</v>
      </c>
      <c r="M731" s="67" t="s">
        <v>1452</v>
      </c>
    </row>
    <row r="732" spans="1:13" ht="12" customHeight="1" x14ac:dyDescent="0.2">
      <c r="A732" s="78">
        <v>231742</v>
      </c>
      <c r="B732" s="67" t="s">
        <v>785</v>
      </c>
      <c r="C732" s="67" t="s">
        <v>1196</v>
      </c>
      <c r="D732" s="67" t="s">
        <v>1203</v>
      </c>
      <c r="E732" s="67" t="s">
        <v>1449</v>
      </c>
      <c r="F732" s="67" t="s">
        <v>1675</v>
      </c>
      <c r="G732" s="67" t="s">
        <v>7</v>
      </c>
      <c r="H732" s="68">
        <v>15.995833333333334</v>
      </c>
      <c r="I732" s="68">
        <v>15.995833333333334</v>
      </c>
      <c r="J732" s="68"/>
      <c r="K732" s="67" t="s">
        <v>1718</v>
      </c>
      <c r="L732" s="67" t="s">
        <v>1203</v>
      </c>
      <c r="M732" s="67" t="s">
        <v>1449</v>
      </c>
    </row>
    <row r="733" spans="1:13" ht="12" customHeight="1" x14ac:dyDescent="0.2">
      <c r="A733" s="78">
        <v>224123</v>
      </c>
      <c r="B733" s="67" t="s">
        <v>786</v>
      </c>
      <c r="C733" s="67" t="s">
        <v>1196</v>
      </c>
      <c r="D733" s="67" t="s">
        <v>1203</v>
      </c>
      <c r="E733" s="67" t="s">
        <v>1451</v>
      </c>
      <c r="F733" s="67" t="s">
        <v>1677</v>
      </c>
      <c r="G733" s="67" t="s">
        <v>7</v>
      </c>
      <c r="H733" s="68">
        <v>0.38750000000000001</v>
      </c>
      <c r="I733" s="68">
        <v>0.38750000000000001</v>
      </c>
      <c r="J733" s="68"/>
      <c r="K733" s="67" t="s">
        <v>1722</v>
      </c>
      <c r="L733" s="67" t="s">
        <v>1203</v>
      </c>
      <c r="M733" s="67" t="s">
        <v>1451</v>
      </c>
    </row>
    <row r="734" spans="1:13" ht="12" customHeight="1" x14ac:dyDescent="0.2">
      <c r="A734" s="78">
        <v>237726</v>
      </c>
      <c r="B734" s="67" t="s">
        <v>787</v>
      </c>
      <c r="C734" s="67" t="s">
        <v>1196</v>
      </c>
      <c r="D734" s="67" t="s">
        <v>1203</v>
      </c>
      <c r="E734" s="67" t="s">
        <v>1459</v>
      </c>
      <c r="F734" s="67" t="s">
        <v>1673</v>
      </c>
      <c r="G734" s="67" t="s">
        <v>7</v>
      </c>
      <c r="H734" s="68">
        <v>0.3444444444444445</v>
      </c>
      <c r="I734" s="68">
        <v>0.3444444444444445</v>
      </c>
      <c r="J734" s="68"/>
      <c r="K734" s="67" t="s">
        <v>1718</v>
      </c>
      <c r="L734" s="67" t="s">
        <v>1203</v>
      </c>
      <c r="M734" s="67" t="s">
        <v>1459</v>
      </c>
    </row>
    <row r="735" spans="1:13" ht="12" customHeight="1" x14ac:dyDescent="0.2">
      <c r="A735" s="78">
        <v>232452</v>
      </c>
      <c r="B735" s="67" t="s">
        <v>788</v>
      </c>
      <c r="C735" s="67" t="s">
        <v>1196</v>
      </c>
      <c r="D735" s="67" t="s">
        <v>1203</v>
      </c>
      <c r="E735" s="67" t="s">
        <v>1456</v>
      </c>
      <c r="F735" s="67" t="s">
        <v>1680</v>
      </c>
      <c r="G735" s="67" t="s">
        <v>7</v>
      </c>
      <c r="H735" s="68">
        <v>0.25486111111111109</v>
      </c>
      <c r="I735" s="68">
        <v>0.25486111111111109</v>
      </c>
      <c r="J735" s="68"/>
      <c r="K735" s="67" t="s">
        <v>1718</v>
      </c>
      <c r="L735" s="67" t="s">
        <v>1203</v>
      </c>
      <c r="M735" s="67" t="s">
        <v>1456</v>
      </c>
    </row>
    <row r="736" spans="1:13" ht="12" customHeight="1" x14ac:dyDescent="0.2">
      <c r="A736" s="78">
        <v>203504</v>
      </c>
      <c r="B736" s="67" t="s">
        <v>789</v>
      </c>
      <c r="C736" s="67" t="s">
        <v>1196</v>
      </c>
      <c r="D736" s="67" t="s">
        <v>1203</v>
      </c>
      <c r="E736" s="67" t="s">
        <v>1449</v>
      </c>
      <c r="F736" s="67" t="s">
        <v>1675</v>
      </c>
      <c r="G736" s="67" t="s">
        <v>7</v>
      </c>
      <c r="H736" s="68">
        <v>8.0965277777777782</v>
      </c>
      <c r="I736" s="68">
        <v>8.0965277777777782</v>
      </c>
      <c r="J736" s="68"/>
      <c r="K736" s="67" t="s">
        <v>1718</v>
      </c>
      <c r="L736" s="67" t="s">
        <v>1203</v>
      </c>
      <c r="M736" s="67" t="s">
        <v>1449</v>
      </c>
    </row>
    <row r="737" spans="1:13" ht="12" customHeight="1" x14ac:dyDescent="0.2">
      <c r="A737" s="78">
        <v>234153</v>
      </c>
      <c r="B737" s="67" t="s">
        <v>790</v>
      </c>
      <c r="C737" s="67" t="s">
        <v>1196</v>
      </c>
      <c r="D737" s="67" t="s">
        <v>1203</v>
      </c>
      <c r="E737" s="67" t="s">
        <v>1460</v>
      </c>
      <c r="F737" s="67" t="s">
        <v>1679</v>
      </c>
      <c r="G737" s="67" t="s">
        <v>7</v>
      </c>
      <c r="H737" s="68">
        <v>3.6111111111111115E-2</v>
      </c>
      <c r="I737" s="68">
        <v>3.6111111111111115E-2</v>
      </c>
      <c r="J737" s="68"/>
      <c r="K737" s="67" t="s">
        <v>1719</v>
      </c>
      <c r="L737" s="67" t="s">
        <v>1203</v>
      </c>
      <c r="M737" s="67" t="s">
        <v>1460</v>
      </c>
    </row>
    <row r="738" spans="1:13" ht="12" customHeight="1" x14ac:dyDescent="0.2">
      <c r="A738" s="78">
        <v>203114</v>
      </c>
      <c r="B738" s="67" t="s">
        <v>791</v>
      </c>
      <c r="C738" s="67" t="s">
        <v>1196</v>
      </c>
      <c r="D738" s="67" t="s">
        <v>1203</v>
      </c>
      <c r="E738" s="67" t="s">
        <v>1459</v>
      </c>
      <c r="F738" s="67" t="s">
        <v>1673</v>
      </c>
      <c r="G738" s="67" t="s">
        <v>7</v>
      </c>
      <c r="H738" s="68">
        <v>0.36180555555555555</v>
      </c>
      <c r="I738" s="68">
        <v>0.36180555555555555</v>
      </c>
      <c r="J738" s="68"/>
      <c r="K738" s="67" t="s">
        <v>1718</v>
      </c>
      <c r="L738" s="67" t="s">
        <v>1203</v>
      </c>
      <c r="M738" s="67" t="s">
        <v>1459</v>
      </c>
    </row>
    <row r="739" spans="1:13" ht="12" customHeight="1" x14ac:dyDescent="0.2">
      <c r="A739" s="78">
        <v>238205</v>
      </c>
      <c r="B739" s="67" t="s">
        <v>792</v>
      </c>
      <c r="C739" s="67" t="s">
        <v>1196</v>
      </c>
      <c r="D739" s="67" t="s">
        <v>1203</v>
      </c>
      <c r="E739" s="67" t="s">
        <v>1443</v>
      </c>
      <c r="F739" s="67" t="s">
        <v>1672</v>
      </c>
      <c r="G739" s="67" t="s">
        <v>7</v>
      </c>
      <c r="H739" s="68">
        <v>3.6111111111111115E-2</v>
      </c>
      <c r="I739" s="68">
        <v>3.6111111111111115E-2</v>
      </c>
      <c r="J739" s="68"/>
      <c r="K739" s="67" t="s">
        <v>1720</v>
      </c>
      <c r="L739" s="67" t="s">
        <v>1203</v>
      </c>
      <c r="M739" s="67" t="s">
        <v>1443</v>
      </c>
    </row>
    <row r="740" spans="1:13" ht="12" customHeight="1" x14ac:dyDescent="0.2">
      <c r="A740" s="78">
        <v>201179</v>
      </c>
      <c r="B740" s="67" t="s">
        <v>793</v>
      </c>
      <c r="C740" s="67" t="s">
        <v>1196</v>
      </c>
      <c r="D740" s="67" t="s">
        <v>1203</v>
      </c>
      <c r="E740" s="67" t="s">
        <v>1453</v>
      </c>
      <c r="F740" s="67" t="s">
        <v>1678</v>
      </c>
      <c r="G740" s="67" t="s">
        <v>7</v>
      </c>
      <c r="H740" s="68">
        <v>1.29375</v>
      </c>
      <c r="I740" s="68">
        <v>1.29375</v>
      </c>
      <c r="J740" s="68"/>
      <c r="K740" s="67" t="s">
        <v>1718</v>
      </c>
      <c r="L740" s="67" t="s">
        <v>1203</v>
      </c>
      <c r="M740" s="67" t="s">
        <v>1453</v>
      </c>
    </row>
    <row r="741" spans="1:13" ht="12" customHeight="1" x14ac:dyDescent="0.2">
      <c r="A741" s="78">
        <v>229954</v>
      </c>
      <c r="B741" s="67" t="s">
        <v>794</v>
      </c>
      <c r="C741" s="67" t="s">
        <v>1196</v>
      </c>
      <c r="D741" s="67" t="s">
        <v>1203</v>
      </c>
      <c r="E741" s="67" t="s">
        <v>1452</v>
      </c>
      <c r="F741" s="67" t="s">
        <v>1677</v>
      </c>
      <c r="G741" s="67" t="s">
        <v>7</v>
      </c>
      <c r="H741" s="68">
        <v>0.11805555555555557</v>
      </c>
      <c r="I741" s="68">
        <v>0.11805555555555557</v>
      </c>
      <c r="J741" s="68"/>
      <c r="K741" s="67" t="s">
        <v>1718</v>
      </c>
      <c r="L741" s="67" t="s">
        <v>1203</v>
      </c>
      <c r="M741" s="67" t="s">
        <v>1452</v>
      </c>
    </row>
    <row r="742" spans="1:13" ht="12" customHeight="1" x14ac:dyDescent="0.2">
      <c r="A742" s="78">
        <v>231905</v>
      </c>
      <c r="B742" s="67" t="s">
        <v>795</v>
      </c>
      <c r="C742" s="67" t="s">
        <v>1196</v>
      </c>
      <c r="D742" s="67" t="s">
        <v>1203</v>
      </c>
      <c r="E742" s="67" t="s">
        <v>1453</v>
      </c>
      <c r="F742" s="67" t="s">
        <v>1678</v>
      </c>
      <c r="G742" s="67" t="s">
        <v>7</v>
      </c>
      <c r="H742" s="68">
        <v>0.25</v>
      </c>
      <c r="I742" s="68">
        <v>0.25</v>
      </c>
      <c r="J742" s="68"/>
      <c r="K742" s="67" t="s">
        <v>1718</v>
      </c>
      <c r="L742" s="67" t="s">
        <v>1203</v>
      </c>
      <c r="M742" s="67" t="s">
        <v>1453</v>
      </c>
    </row>
    <row r="743" spans="1:13" ht="12" customHeight="1" x14ac:dyDescent="0.2">
      <c r="A743" s="78">
        <v>230182</v>
      </c>
      <c r="B743" s="67" t="s">
        <v>796</v>
      </c>
      <c r="C743" s="67" t="s">
        <v>1196</v>
      </c>
      <c r="D743" s="67" t="s">
        <v>1203</v>
      </c>
      <c r="E743" s="67" t="s">
        <v>1439</v>
      </c>
      <c r="F743" s="67" t="s">
        <v>1669</v>
      </c>
      <c r="G743" s="67" t="s">
        <v>7</v>
      </c>
      <c r="H743" s="68">
        <v>0.66875000000000007</v>
      </c>
      <c r="I743" s="68">
        <v>0.66875000000000007</v>
      </c>
      <c r="J743" s="68"/>
      <c r="K743" s="67" t="s">
        <v>1718</v>
      </c>
      <c r="L743" s="67" t="s">
        <v>1203</v>
      </c>
      <c r="M743" s="67" t="s">
        <v>1439</v>
      </c>
    </row>
    <row r="744" spans="1:13" ht="12" customHeight="1" x14ac:dyDescent="0.2">
      <c r="A744" s="78">
        <v>222004</v>
      </c>
      <c r="B744" s="67" t="s">
        <v>797</v>
      </c>
      <c r="C744" s="67" t="s">
        <v>1196</v>
      </c>
      <c r="D744" s="67" t="s">
        <v>1203</v>
      </c>
      <c r="E744" s="67" t="s">
        <v>1461</v>
      </c>
      <c r="F744" s="67" t="s">
        <v>1669</v>
      </c>
      <c r="G744" s="67" t="s">
        <v>7</v>
      </c>
      <c r="H744" s="68">
        <v>0.44236111111111115</v>
      </c>
      <c r="I744" s="68">
        <v>0.44236111111111115</v>
      </c>
      <c r="J744" s="68"/>
      <c r="K744" s="67" t="s">
        <v>1720</v>
      </c>
      <c r="L744" s="67" t="s">
        <v>1203</v>
      </c>
      <c r="M744" s="67" t="s">
        <v>1461</v>
      </c>
    </row>
    <row r="745" spans="1:13" ht="12" customHeight="1" x14ac:dyDescent="0.2">
      <c r="A745" s="78">
        <v>203406</v>
      </c>
      <c r="B745" s="67" t="s">
        <v>798</v>
      </c>
      <c r="C745" s="67" t="s">
        <v>1196</v>
      </c>
      <c r="D745" s="67" t="s">
        <v>1203</v>
      </c>
      <c r="E745" s="67" t="s">
        <v>1442</v>
      </c>
      <c r="F745" s="67" t="s">
        <v>1671</v>
      </c>
      <c r="G745" s="67" t="s">
        <v>7</v>
      </c>
      <c r="H745" s="68">
        <v>0.32500000000000001</v>
      </c>
      <c r="I745" s="68">
        <v>0.32500000000000001</v>
      </c>
      <c r="J745" s="68"/>
      <c r="K745" s="67" t="s">
        <v>1718</v>
      </c>
      <c r="L745" s="67" t="s">
        <v>1203</v>
      </c>
      <c r="M745" s="67" t="s">
        <v>1442</v>
      </c>
    </row>
    <row r="746" spans="1:13" ht="12" customHeight="1" x14ac:dyDescent="0.2">
      <c r="A746" s="78">
        <v>235865</v>
      </c>
      <c r="B746" s="67" t="s">
        <v>799</v>
      </c>
      <c r="C746" s="67" t="s">
        <v>1196</v>
      </c>
      <c r="D746" s="67" t="s">
        <v>1203</v>
      </c>
      <c r="E746" s="67" t="s">
        <v>1444</v>
      </c>
      <c r="F746" s="67" t="s">
        <v>1673</v>
      </c>
      <c r="G746" s="67" t="s">
        <v>7</v>
      </c>
      <c r="H746" s="68">
        <v>2.9166666666666664E-2</v>
      </c>
      <c r="I746" s="68">
        <v>2.9166666666666664E-2</v>
      </c>
      <c r="J746" s="68"/>
      <c r="K746" s="67" t="s">
        <v>1720</v>
      </c>
      <c r="L746" s="67" t="s">
        <v>1203</v>
      </c>
      <c r="M746" s="67" t="s">
        <v>1444</v>
      </c>
    </row>
    <row r="747" spans="1:13" ht="12" customHeight="1" x14ac:dyDescent="0.2">
      <c r="A747" s="78">
        <v>231301</v>
      </c>
      <c r="B747" s="67" t="s">
        <v>800</v>
      </c>
      <c r="C747" s="67" t="s">
        <v>1196</v>
      </c>
      <c r="D747" s="67" t="s">
        <v>1203</v>
      </c>
      <c r="E747" s="67" t="s">
        <v>1457</v>
      </c>
      <c r="F747" s="67" t="s">
        <v>1676</v>
      </c>
      <c r="G747" s="67" t="s">
        <v>7</v>
      </c>
      <c r="H747" s="68">
        <v>1.0638888888888889</v>
      </c>
      <c r="I747" s="68">
        <v>1.0638888888888889</v>
      </c>
      <c r="J747" s="68"/>
      <c r="K747" s="67" t="s">
        <v>1718</v>
      </c>
      <c r="L747" s="67" t="s">
        <v>1203</v>
      </c>
      <c r="M747" s="67" t="s">
        <v>1457</v>
      </c>
    </row>
    <row r="748" spans="1:13" ht="12" customHeight="1" x14ac:dyDescent="0.2">
      <c r="A748" s="78">
        <v>222592</v>
      </c>
      <c r="B748" s="67" t="s">
        <v>801</v>
      </c>
      <c r="C748" s="67" t="s">
        <v>1196</v>
      </c>
      <c r="D748" s="67" t="s">
        <v>1203</v>
      </c>
      <c r="E748" s="67" t="s">
        <v>1462</v>
      </c>
      <c r="F748" s="67" t="s">
        <v>1678</v>
      </c>
      <c r="G748" s="67" t="s">
        <v>7</v>
      </c>
      <c r="H748" s="68">
        <v>0.3840277777777778</v>
      </c>
      <c r="I748" s="68">
        <v>0.3840277777777778</v>
      </c>
      <c r="J748" s="68"/>
      <c r="K748" s="67" t="s">
        <v>1722</v>
      </c>
      <c r="L748" s="67" t="s">
        <v>1203</v>
      </c>
      <c r="M748" s="67" t="s">
        <v>1462</v>
      </c>
    </row>
    <row r="749" spans="1:13" ht="12" customHeight="1" x14ac:dyDescent="0.2">
      <c r="A749" s="78">
        <v>220996</v>
      </c>
      <c r="B749" s="67" t="s">
        <v>802</v>
      </c>
      <c r="C749" s="67" t="s">
        <v>1196</v>
      </c>
      <c r="D749" s="67" t="s">
        <v>1203</v>
      </c>
      <c r="E749" s="67" t="s">
        <v>1441</v>
      </c>
      <c r="F749" s="67" t="s">
        <v>1671</v>
      </c>
      <c r="G749" s="67" t="s">
        <v>7</v>
      </c>
      <c r="H749" s="68">
        <v>0.26874999999999999</v>
      </c>
      <c r="I749" s="68">
        <v>0.26874999999999999</v>
      </c>
      <c r="J749" s="68"/>
      <c r="K749" s="67" t="s">
        <v>1720</v>
      </c>
      <c r="L749" s="67" t="s">
        <v>1203</v>
      </c>
      <c r="M749" s="67" t="s">
        <v>1441</v>
      </c>
    </row>
    <row r="750" spans="1:13" ht="12" customHeight="1" x14ac:dyDescent="0.2">
      <c r="A750" s="78">
        <v>231606</v>
      </c>
      <c r="B750" s="67" t="s">
        <v>803</v>
      </c>
      <c r="C750" s="67" t="s">
        <v>1196</v>
      </c>
      <c r="D750" s="67" t="s">
        <v>1203</v>
      </c>
      <c r="E750" s="67" t="s">
        <v>1458</v>
      </c>
      <c r="F750" s="67" t="s">
        <v>1675</v>
      </c>
      <c r="G750" s="67" t="s">
        <v>7</v>
      </c>
      <c r="H750" s="68">
        <v>0.40763888888888888</v>
      </c>
      <c r="I750" s="68">
        <v>0.40763888888888888</v>
      </c>
      <c r="J750" s="68"/>
      <c r="K750" s="67" t="s">
        <v>1721</v>
      </c>
      <c r="L750" s="67" t="s">
        <v>1203</v>
      </c>
      <c r="M750" s="67" t="s">
        <v>1458</v>
      </c>
    </row>
    <row r="751" spans="1:13" ht="12" customHeight="1" x14ac:dyDescent="0.2">
      <c r="A751" s="78">
        <v>221865</v>
      </c>
      <c r="B751" s="67" t="s">
        <v>804</v>
      </c>
      <c r="C751" s="67" t="s">
        <v>1196</v>
      </c>
      <c r="D751" s="67" t="s">
        <v>1203</v>
      </c>
      <c r="E751" s="67" t="s">
        <v>1451</v>
      </c>
      <c r="F751" s="67" t="s">
        <v>1677</v>
      </c>
      <c r="G751" s="67" t="s">
        <v>7</v>
      </c>
      <c r="H751" s="68">
        <v>0.57500000000000007</v>
      </c>
      <c r="I751" s="68">
        <v>0.57500000000000007</v>
      </c>
      <c r="J751" s="68"/>
      <c r="K751" s="67" t="s">
        <v>1720</v>
      </c>
      <c r="L751" s="67" t="s">
        <v>1203</v>
      </c>
      <c r="M751" s="67" t="s">
        <v>1451</v>
      </c>
    </row>
    <row r="752" spans="1:13" ht="12" customHeight="1" x14ac:dyDescent="0.2">
      <c r="A752" s="78">
        <v>203398</v>
      </c>
      <c r="B752" s="67" t="s">
        <v>805</v>
      </c>
      <c r="C752" s="67" t="s">
        <v>1196</v>
      </c>
      <c r="D752" s="67" t="s">
        <v>1203</v>
      </c>
      <c r="E752" s="67" t="s">
        <v>1463</v>
      </c>
      <c r="F752" s="67" t="s">
        <v>1679</v>
      </c>
      <c r="G752" s="67" t="s">
        <v>7</v>
      </c>
      <c r="H752" s="68">
        <v>0.32569444444444445</v>
      </c>
      <c r="I752" s="68">
        <v>0.32569444444444445</v>
      </c>
      <c r="J752" s="68"/>
      <c r="K752" s="67" t="s">
        <v>1722</v>
      </c>
      <c r="L752" s="67" t="s">
        <v>1203</v>
      </c>
      <c r="M752" s="67" t="s">
        <v>1463</v>
      </c>
    </row>
    <row r="753" spans="1:13" ht="12" customHeight="1" x14ac:dyDescent="0.2">
      <c r="A753" s="78">
        <v>222800</v>
      </c>
      <c r="B753" s="67" t="s">
        <v>806</v>
      </c>
      <c r="C753" s="67" t="s">
        <v>1196</v>
      </c>
      <c r="D753" s="67" t="s">
        <v>1203</v>
      </c>
      <c r="E753" s="67" t="s">
        <v>1440</v>
      </c>
      <c r="F753" s="67" t="s">
        <v>1670</v>
      </c>
      <c r="G753" s="67" t="s">
        <v>7</v>
      </c>
      <c r="H753" s="68">
        <v>0.17152777777777775</v>
      </c>
      <c r="I753" s="68">
        <v>0.17152777777777775</v>
      </c>
      <c r="J753" s="68"/>
      <c r="K753" s="67" t="s">
        <v>1718</v>
      </c>
      <c r="L753" s="67" t="s">
        <v>1203</v>
      </c>
      <c r="M753" s="67" t="s">
        <v>1440</v>
      </c>
    </row>
    <row r="754" spans="1:13" ht="12" customHeight="1" x14ac:dyDescent="0.2">
      <c r="A754" s="78">
        <v>237425</v>
      </c>
      <c r="B754" s="67" t="s">
        <v>807</v>
      </c>
      <c r="C754" s="67" t="s">
        <v>1196</v>
      </c>
      <c r="D754" s="67" t="s">
        <v>1203</v>
      </c>
      <c r="E754" s="67" t="s">
        <v>1456</v>
      </c>
      <c r="F754" s="67" t="s">
        <v>1680</v>
      </c>
      <c r="G754" s="67" t="s">
        <v>7</v>
      </c>
      <c r="H754" s="68">
        <v>0.17500000000000002</v>
      </c>
      <c r="I754" s="68">
        <v>0.17500000000000002</v>
      </c>
      <c r="J754" s="68"/>
      <c r="K754" s="67" t="s">
        <v>1718</v>
      </c>
      <c r="L754" s="67" t="s">
        <v>1203</v>
      </c>
      <c r="M754" s="67" t="s">
        <v>1456</v>
      </c>
    </row>
    <row r="755" spans="1:13" ht="12" customHeight="1" x14ac:dyDescent="0.2">
      <c r="A755" s="78">
        <v>237742</v>
      </c>
      <c r="B755" s="67" t="s">
        <v>808</v>
      </c>
      <c r="C755" s="67" t="s">
        <v>1196</v>
      </c>
      <c r="D755" s="67" t="s">
        <v>1203</v>
      </c>
      <c r="E755" s="67" t="s">
        <v>1461</v>
      </c>
      <c r="F755" s="67" t="s">
        <v>1669</v>
      </c>
      <c r="G755" s="67" t="s">
        <v>7</v>
      </c>
      <c r="H755" s="68">
        <v>0.35555555555555557</v>
      </c>
      <c r="I755" s="68">
        <v>0.35555555555555557</v>
      </c>
      <c r="J755" s="68"/>
      <c r="K755" s="67" t="s">
        <v>1721</v>
      </c>
      <c r="L755" s="67" t="s">
        <v>1203</v>
      </c>
      <c r="M755" s="67" t="s">
        <v>1461</v>
      </c>
    </row>
    <row r="756" spans="1:13" ht="12" customHeight="1" x14ac:dyDescent="0.2">
      <c r="A756" s="78">
        <v>229535</v>
      </c>
      <c r="B756" s="67" t="s">
        <v>809</v>
      </c>
      <c r="C756" s="67" t="s">
        <v>1196</v>
      </c>
      <c r="D756" s="67" t="s">
        <v>1203</v>
      </c>
      <c r="E756" s="67" t="s">
        <v>1442</v>
      </c>
      <c r="F756" s="67" t="s">
        <v>1671</v>
      </c>
      <c r="G756" s="67" t="s">
        <v>7</v>
      </c>
      <c r="H756" s="68">
        <v>0.55138888888888882</v>
      </c>
      <c r="I756" s="68">
        <v>0.55138888888888882</v>
      </c>
      <c r="J756" s="68"/>
      <c r="K756" s="67" t="s">
        <v>1718</v>
      </c>
      <c r="L756" s="67" t="s">
        <v>1203</v>
      </c>
      <c r="M756" s="67" t="s">
        <v>1442</v>
      </c>
    </row>
    <row r="757" spans="1:13" ht="12" customHeight="1" x14ac:dyDescent="0.2">
      <c r="A757" s="78">
        <v>203137</v>
      </c>
      <c r="B757" s="67" t="s">
        <v>810</v>
      </c>
      <c r="C757" s="67" t="s">
        <v>1196</v>
      </c>
      <c r="D757" s="67" t="s">
        <v>1203</v>
      </c>
      <c r="E757" s="67" t="s">
        <v>1449</v>
      </c>
      <c r="F757" s="67" t="s">
        <v>1675</v>
      </c>
      <c r="G757" s="67" t="s">
        <v>7</v>
      </c>
      <c r="H757" s="68">
        <v>3.6673611111111111</v>
      </c>
      <c r="I757" s="68">
        <v>3.6673611111111111</v>
      </c>
      <c r="J757" s="68"/>
      <c r="K757" s="67" t="s">
        <v>1718</v>
      </c>
      <c r="L757" s="67" t="s">
        <v>1203</v>
      </c>
      <c r="M757" s="67" t="s">
        <v>1449</v>
      </c>
    </row>
    <row r="758" spans="1:13" ht="12" customHeight="1" x14ac:dyDescent="0.2">
      <c r="A758" s="78">
        <v>231071</v>
      </c>
      <c r="B758" s="67" t="s">
        <v>811</v>
      </c>
      <c r="C758" s="67" t="s">
        <v>1196</v>
      </c>
      <c r="D758" s="67" t="s">
        <v>1203</v>
      </c>
      <c r="E758" s="67" t="s">
        <v>1439</v>
      </c>
      <c r="F758" s="67" t="s">
        <v>1669</v>
      </c>
      <c r="G758" s="67" t="s">
        <v>7</v>
      </c>
      <c r="H758" s="68">
        <v>0.69166666666666676</v>
      </c>
      <c r="I758" s="68">
        <v>0.69166666666666676</v>
      </c>
      <c r="J758" s="68"/>
      <c r="K758" s="67" t="s">
        <v>1718</v>
      </c>
      <c r="L758" s="67" t="s">
        <v>1203</v>
      </c>
      <c r="M758" s="67" t="s">
        <v>1439</v>
      </c>
    </row>
    <row r="759" spans="1:13" ht="12" customHeight="1" x14ac:dyDescent="0.2">
      <c r="A759" s="78">
        <v>203054</v>
      </c>
      <c r="B759" s="67" t="s">
        <v>812</v>
      </c>
      <c r="C759" s="67" t="s">
        <v>1196</v>
      </c>
      <c r="D759" s="67" t="s">
        <v>1203</v>
      </c>
      <c r="E759" s="67" t="s">
        <v>1439</v>
      </c>
      <c r="F759" s="67" t="s">
        <v>1669</v>
      </c>
      <c r="G759" s="67" t="s">
        <v>7</v>
      </c>
      <c r="H759" s="68">
        <v>0.10277777777777779</v>
      </c>
      <c r="I759" s="68">
        <v>0.10277777777777779</v>
      </c>
      <c r="J759" s="68"/>
      <c r="K759" s="67" t="s">
        <v>1718</v>
      </c>
      <c r="L759" s="67" t="s">
        <v>1203</v>
      </c>
      <c r="M759" s="67" t="s">
        <v>1439</v>
      </c>
    </row>
    <row r="760" spans="1:13" ht="12" customHeight="1" x14ac:dyDescent="0.2">
      <c r="A760" s="78">
        <v>202865</v>
      </c>
      <c r="B760" s="67" t="s">
        <v>813</v>
      </c>
      <c r="C760" s="67" t="s">
        <v>1196</v>
      </c>
      <c r="D760" s="67" t="s">
        <v>1203</v>
      </c>
      <c r="E760" s="67" t="s">
        <v>1455</v>
      </c>
      <c r="F760" s="67" t="s">
        <v>1674</v>
      </c>
      <c r="G760" s="67" t="s">
        <v>8</v>
      </c>
      <c r="H760" s="68">
        <v>1.8944444444444446</v>
      </c>
      <c r="I760" s="68"/>
      <c r="J760" s="68">
        <v>1.8944444444444446</v>
      </c>
      <c r="K760" s="67" t="s">
        <v>1718</v>
      </c>
      <c r="L760" s="67" t="s">
        <v>1203</v>
      </c>
      <c r="M760" s="67" t="s">
        <v>1455</v>
      </c>
    </row>
    <row r="761" spans="1:13" ht="12" customHeight="1" x14ac:dyDescent="0.2">
      <c r="A761" s="78">
        <v>231605</v>
      </c>
      <c r="B761" s="67" t="s">
        <v>814</v>
      </c>
      <c r="C761" s="67" t="s">
        <v>1196</v>
      </c>
      <c r="D761" s="67" t="s">
        <v>1203</v>
      </c>
      <c r="E761" s="67" t="s">
        <v>1449</v>
      </c>
      <c r="F761" s="67" t="s">
        <v>1675</v>
      </c>
      <c r="G761" s="67" t="s">
        <v>8</v>
      </c>
      <c r="H761" s="68">
        <v>1.4381944444444443</v>
      </c>
      <c r="I761" s="68"/>
      <c r="J761" s="68">
        <v>1.4381944444444443</v>
      </c>
      <c r="K761" s="67" t="s">
        <v>1718</v>
      </c>
      <c r="L761" s="67" t="s">
        <v>1203</v>
      </c>
      <c r="M761" s="67" t="s">
        <v>1449</v>
      </c>
    </row>
    <row r="762" spans="1:13" ht="12" customHeight="1" x14ac:dyDescent="0.2">
      <c r="A762" s="78">
        <v>222978</v>
      </c>
      <c r="B762" s="67" t="s">
        <v>815</v>
      </c>
      <c r="C762" s="67" t="s">
        <v>1196</v>
      </c>
      <c r="D762" s="67" t="s">
        <v>1203</v>
      </c>
      <c r="E762" s="67" t="s">
        <v>1442</v>
      </c>
      <c r="F762" s="67" t="s">
        <v>1671</v>
      </c>
      <c r="G762" s="67" t="s">
        <v>8</v>
      </c>
      <c r="H762" s="68">
        <v>1.2881944444444444</v>
      </c>
      <c r="I762" s="68"/>
      <c r="J762" s="68">
        <v>1.2881944444444444</v>
      </c>
      <c r="K762" s="67" t="s">
        <v>1718</v>
      </c>
      <c r="L762" s="67" t="s">
        <v>1203</v>
      </c>
      <c r="M762" s="67" t="s">
        <v>1442</v>
      </c>
    </row>
    <row r="763" spans="1:13" ht="12" customHeight="1" x14ac:dyDescent="0.2">
      <c r="A763" s="78">
        <v>238052</v>
      </c>
      <c r="B763" s="67" t="s">
        <v>816</v>
      </c>
      <c r="C763" s="67" t="s">
        <v>1196</v>
      </c>
      <c r="D763" s="67" t="s">
        <v>1203</v>
      </c>
      <c r="E763" s="67" t="s">
        <v>1455</v>
      </c>
      <c r="F763" s="67" t="s">
        <v>1674</v>
      </c>
      <c r="G763" s="67" t="s">
        <v>8</v>
      </c>
      <c r="H763" s="68">
        <v>1.2472222222222222</v>
      </c>
      <c r="I763" s="68"/>
      <c r="J763" s="68">
        <v>1.2472222222222222</v>
      </c>
      <c r="K763" s="67" t="s">
        <v>1718</v>
      </c>
      <c r="L763" s="67" t="s">
        <v>1203</v>
      </c>
      <c r="M763" s="67" t="s">
        <v>1455</v>
      </c>
    </row>
    <row r="764" spans="1:13" ht="12" customHeight="1" x14ac:dyDescent="0.2">
      <c r="A764" s="78">
        <v>218278</v>
      </c>
      <c r="B764" s="67" t="s">
        <v>817</v>
      </c>
      <c r="C764" s="67" t="s">
        <v>1196</v>
      </c>
      <c r="D764" s="67" t="s">
        <v>1203</v>
      </c>
      <c r="E764" s="67" t="s">
        <v>1464</v>
      </c>
      <c r="F764" s="67" t="s">
        <v>1679</v>
      </c>
      <c r="G764" s="67" t="s">
        <v>8</v>
      </c>
      <c r="H764" s="68">
        <v>1.2097222222222224</v>
      </c>
      <c r="I764" s="68"/>
      <c r="J764" s="68">
        <v>1.2097222222222224</v>
      </c>
      <c r="K764" s="67" t="s">
        <v>1724</v>
      </c>
      <c r="L764" s="67" t="s">
        <v>1203</v>
      </c>
      <c r="M764" s="67" t="s">
        <v>1464</v>
      </c>
    </row>
    <row r="765" spans="1:13" ht="12" customHeight="1" x14ac:dyDescent="0.2">
      <c r="A765" s="78">
        <v>224977</v>
      </c>
      <c r="B765" s="67" t="s">
        <v>818</v>
      </c>
      <c r="C765" s="67" t="s">
        <v>1196</v>
      </c>
      <c r="D765" s="67" t="s">
        <v>1203</v>
      </c>
      <c r="E765" s="67" t="s">
        <v>1448</v>
      </c>
      <c r="F765" s="67" t="s">
        <v>1674</v>
      </c>
      <c r="G765" s="67" t="s">
        <v>8</v>
      </c>
      <c r="H765" s="68">
        <v>1.1368055555555556</v>
      </c>
      <c r="I765" s="68"/>
      <c r="J765" s="68">
        <v>1.1368055555555556</v>
      </c>
      <c r="K765" s="67" t="s">
        <v>1720</v>
      </c>
      <c r="L765" s="67" t="s">
        <v>1203</v>
      </c>
      <c r="M765" s="67" t="s">
        <v>1448</v>
      </c>
    </row>
    <row r="766" spans="1:13" ht="12" customHeight="1" x14ac:dyDescent="0.2">
      <c r="A766" s="78">
        <v>223555</v>
      </c>
      <c r="B766" s="67" t="s">
        <v>819</v>
      </c>
      <c r="C766" s="67" t="s">
        <v>1196</v>
      </c>
      <c r="D766" s="67" t="s">
        <v>1203</v>
      </c>
      <c r="E766" s="67" t="s">
        <v>1455</v>
      </c>
      <c r="F766" s="67" t="s">
        <v>1674</v>
      </c>
      <c r="G766" s="67" t="s">
        <v>8</v>
      </c>
      <c r="H766" s="68">
        <v>1.1090277777777777</v>
      </c>
      <c r="I766" s="68"/>
      <c r="J766" s="68">
        <v>1.1090277777777777</v>
      </c>
      <c r="K766" s="67" t="s">
        <v>1718</v>
      </c>
      <c r="L766" s="67" t="s">
        <v>1203</v>
      </c>
      <c r="M766" s="67" t="s">
        <v>1455</v>
      </c>
    </row>
    <row r="767" spans="1:13" ht="12" customHeight="1" x14ac:dyDescent="0.2">
      <c r="A767" s="78">
        <v>231899</v>
      </c>
      <c r="B767" s="67" t="s">
        <v>820</v>
      </c>
      <c r="C767" s="67" t="s">
        <v>1196</v>
      </c>
      <c r="D767" s="67" t="s">
        <v>1203</v>
      </c>
      <c r="E767" s="67" t="s">
        <v>1439</v>
      </c>
      <c r="F767" s="67" t="s">
        <v>1669</v>
      </c>
      <c r="G767" s="67" t="s">
        <v>8</v>
      </c>
      <c r="H767" s="68">
        <v>1.0777777777777777</v>
      </c>
      <c r="I767" s="68"/>
      <c r="J767" s="68">
        <v>1.0777777777777777</v>
      </c>
      <c r="K767" s="67" t="s">
        <v>1718</v>
      </c>
      <c r="L767" s="67" t="s">
        <v>1203</v>
      </c>
      <c r="M767" s="67" t="s">
        <v>1439</v>
      </c>
    </row>
    <row r="768" spans="1:13" ht="12" customHeight="1" x14ac:dyDescent="0.2">
      <c r="A768" s="78">
        <v>232005</v>
      </c>
      <c r="B768" s="67" t="s">
        <v>821</v>
      </c>
      <c r="C768" s="67" t="s">
        <v>1196</v>
      </c>
      <c r="D768" s="67" t="s">
        <v>1203</v>
      </c>
      <c r="E768" s="67" t="s">
        <v>1455</v>
      </c>
      <c r="F768" s="67" t="s">
        <v>1674</v>
      </c>
      <c r="G768" s="67" t="s">
        <v>8</v>
      </c>
      <c r="H768" s="68">
        <v>1.04375</v>
      </c>
      <c r="I768" s="68"/>
      <c r="J768" s="68">
        <v>1.04375</v>
      </c>
      <c r="K768" s="67" t="s">
        <v>1718</v>
      </c>
      <c r="L768" s="67" t="s">
        <v>1203</v>
      </c>
      <c r="M768" s="67" t="s">
        <v>1455</v>
      </c>
    </row>
    <row r="769" spans="1:13" ht="12" customHeight="1" x14ac:dyDescent="0.2">
      <c r="A769" s="78">
        <v>201108</v>
      </c>
      <c r="B769" s="67" t="s">
        <v>822</v>
      </c>
      <c r="C769" s="67" t="s">
        <v>1196</v>
      </c>
      <c r="D769" s="67" t="s">
        <v>1203</v>
      </c>
      <c r="E769" s="67" t="s">
        <v>1465</v>
      </c>
      <c r="F769" s="67" t="s">
        <v>1679</v>
      </c>
      <c r="G769" s="67" t="s">
        <v>8</v>
      </c>
      <c r="H769" s="68">
        <v>1.0319444444444443</v>
      </c>
      <c r="I769" s="68"/>
      <c r="J769" s="68">
        <v>1.0319444444444443</v>
      </c>
      <c r="K769" s="67" t="s">
        <v>1724</v>
      </c>
      <c r="L769" s="67" t="s">
        <v>1203</v>
      </c>
      <c r="M769" s="67" t="s">
        <v>1465</v>
      </c>
    </row>
    <row r="770" spans="1:13" ht="12" customHeight="1" x14ac:dyDescent="0.2">
      <c r="A770" s="78">
        <v>236001</v>
      </c>
      <c r="B770" s="67" t="s">
        <v>823</v>
      </c>
      <c r="C770" s="67" t="s">
        <v>1196</v>
      </c>
      <c r="D770" s="67" t="s">
        <v>1203</v>
      </c>
      <c r="E770" s="67" t="s">
        <v>1457</v>
      </c>
      <c r="F770" s="67" t="s">
        <v>1676</v>
      </c>
      <c r="G770" s="67" t="s">
        <v>8</v>
      </c>
      <c r="H770" s="68">
        <v>1.0201388888888889</v>
      </c>
      <c r="I770" s="68"/>
      <c r="J770" s="68">
        <v>1.0201388888888889</v>
      </c>
      <c r="K770" s="67" t="s">
        <v>1718</v>
      </c>
      <c r="L770" s="67" t="s">
        <v>1203</v>
      </c>
      <c r="M770" s="67" t="s">
        <v>1457</v>
      </c>
    </row>
    <row r="771" spans="1:13" ht="12" customHeight="1" x14ac:dyDescent="0.2">
      <c r="A771" s="78">
        <v>203107</v>
      </c>
      <c r="B771" s="67" t="s">
        <v>824</v>
      </c>
      <c r="C771" s="67" t="s">
        <v>1196</v>
      </c>
      <c r="D771" s="67" t="s">
        <v>1203</v>
      </c>
      <c r="E771" s="67" t="s">
        <v>1439</v>
      </c>
      <c r="F771" s="67" t="s">
        <v>1669</v>
      </c>
      <c r="G771" s="67" t="s">
        <v>8</v>
      </c>
      <c r="H771" s="68">
        <v>0.9868055555555556</v>
      </c>
      <c r="I771" s="68"/>
      <c r="J771" s="68">
        <v>0.9868055555555556</v>
      </c>
      <c r="K771" s="67" t="s">
        <v>1718</v>
      </c>
      <c r="L771" s="67" t="s">
        <v>1203</v>
      </c>
      <c r="M771" s="67" t="s">
        <v>1439</v>
      </c>
    </row>
    <row r="772" spans="1:13" ht="12" customHeight="1" x14ac:dyDescent="0.2">
      <c r="A772" s="78">
        <v>237698</v>
      </c>
      <c r="B772" s="67" t="s">
        <v>825</v>
      </c>
      <c r="C772" s="67" t="s">
        <v>1196</v>
      </c>
      <c r="D772" s="67" t="s">
        <v>1203</v>
      </c>
      <c r="E772" s="67" t="s">
        <v>1453</v>
      </c>
      <c r="F772" s="67" t="s">
        <v>1678</v>
      </c>
      <c r="G772" s="67" t="s">
        <v>8</v>
      </c>
      <c r="H772" s="68">
        <v>0.93611111111111101</v>
      </c>
      <c r="I772" s="68"/>
      <c r="J772" s="68">
        <v>0.93611111111111101</v>
      </c>
      <c r="K772" s="67" t="s">
        <v>1718</v>
      </c>
      <c r="L772" s="67" t="s">
        <v>1203</v>
      </c>
      <c r="M772" s="67" t="s">
        <v>1453</v>
      </c>
    </row>
    <row r="773" spans="1:13" ht="12" customHeight="1" x14ac:dyDescent="0.2">
      <c r="A773" s="78">
        <v>202909</v>
      </c>
      <c r="B773" s="67" t="s">
        <v>826</v>
      </c>
      <c r="C773" s="67" t="s">
        <v>1196</v>
      </c>
      <c r="D773" s="67" t="s">
        <v>1203</v>
      </c>
      <c r="E773" s="67" t="s">
        <v>1462</v>
      </c>
      <c r="F773" s="67" t="s">
        <v>1678</v>
      </c>
      <c r="G773" s="67" t="s">
        <v>8</v>
      </c>
      <c r="H773" s="68">
        <v>0.86111111111111116</v>
      </c>
      <c r="I773" s="68"/>
      <c r="J773" s="68">
        <v>0.86111111111111116</v>
      </c>
      <c r="K773" s="67" t="s">
        <v>1720</v>
      </c>
      <c r="L773" s="67" t="s">
        <v>1203</v>
      </c>
      <c r="M773" s="67" t="s">
        <v>1462</v>
      </c>
    </row>
    <row r="774" spans="1:13" ht="12" customHeight="1" x14ac:dyDescent="0.2">
      <c r="A774" s="78">
        <v>200746</v>
      </c>
      <c r="B774" s="67" t="s">
        <v>827</v>
      </c>
      <c r="C774" s="67" t="s">
        <v>1196</v>
      </c>
      <c r="D774" s="67" t="s">
        <v>1203</v>
      </c>
      <c r="E774" s="67" t="s">
        <v>1461</v>
      </c>
      <c r="F774" s="67" t="s">
        <v>1669</v>
      </c>
      <c r="G774" s="67" t="s">
        <v>8</v>
      </c>
      <c r="H774" s="68">
        <v>0.77361111111111114</v>
      </c>
      <c r="I774" s="68"/>
      <c r="J774" s="68">
        <v>0.77361111111111114</v>
      </c>
      <c r="K774" s="67" t="s">
        <v>1720</v>
      </c>
      <c r="L774" s="67" t="s">
        <v>1203</v>
      </c>
      <c r="M774" s="67" t="s">
        <v>1461</v>
      </c>
    </row>
    <row r="775" spans="1:13" ht="12" customHeight="1" x14ac:dyDescent="0.2">
      <c r="A775" s="78">
        <v>229986</v>
      </c>
      <c r="B775" s="67" t="s">
        <v>828</v>
      </c>
      <c r="C775" s="67" t="s">
        <v>1196</v>
      </c>
      <c r="D775" s="67" t="s">
        <v>1203</v>
      </c>
      <c r="E775" s="67" t="s">
        <v>1440</v>
      </c>
      <c r="F775" s="67" t="s">
        <v>1670</v>
      </c>
      <c r="G775" s="67" t="s">
        <v>8</v>
      </c>
      <c r="H775" s="68">
        <v>0.72916666666666663</v>
      </c>
      <c r="I775" s="68"/>
      <c r="J775" s="68">
        <v>0.72916666666666663</v>
      </c>
      <c r="K775" s="67" t="s">
        <v>1718</v>
      </c>
      <c r="L775" s="67" t="s">
        <v>1203</v>
      </c>
      <c r="M775" s="67" t="s">
        <v>1440</v>
      </c>
    </row>
    <row r="776" spans="1:13" ht="12" customHeight="1" x14ac:dyDescent="0.2">
      <c r="A776" s="78">
        <v>221494</v>
      </c>
      <c r="B776" s="67" t="s">
        <v>829</v>
      </c>
      <c r="C776" s="67" t="s">
        <v>1196</v>
      </c>
      <c r="D776" s="67" t="s">
        <v>1203</v>
      </c>
      <c r="E776" s="67" t="s">
        <v>1462</v>
      </c>
      <c r="F776" s="67" t="s">
        <v>1678</v>
      </c>
      <c r="G776" s="67" t="s">
        <v>8</v>
      </c>
      <c r="H776" s="68">
        <v>0.72916666666666663</v>
      </c>
      <c r="I776" s="68"/>
      <c r="J776" s="68">
        <v>0.72916666666666663</v>
      </c>
      <c r="K776" s="67" t="s">
        <v>1721</v>
      </c>
      <c r="L776" s="67" t="s">
        <v>1203</v>
      </c>
      <c r="M776" s="67" t="s">
        <v>1462</v>
      </c>
    </row>
    <row r="777" spans="1:13" ht="12" customHeight="1" x14ac:dyDescent="0.2">
      <c r="A777" s="78">
        <v>224948</v>
      </c>
      <c r="B777" s="67" t="s">
        <v>830</v>
      </c>
      <c r="C777" s="67" t="s">
        <v>1196</v>
      </c>
      <c r="D777" s="67" t="s">
        <v>1203</v>
      </c>
      <c r="E777" s="67" t="s">
        <v>1466</v>
      </c>
      <c r="F777" s="67" t="s">
        <v>1672</v>
      </c>
      <c r="G777" s="67" t="s">
        <v>8</v>
      </c>
      <c r="H777" s="68">
        <v>0.7284722222222223</v>
      </c>
      <c r="I777" s="68"/>
      <c r="J777" s="68">
        <v>0.7284722222222223</v>
      </c>
      <c r="K777" s="67" t="s">
        <v>1718</v>
      </c>
      <c r="L777" s="67" t="s">
        <v>1203</v>
      </c>
      <c r="M777" s="67" t="s">
        <v>1466</v>
      </c>
    </row>
    <row r="778" spans="1:13" ht="12" customHeight="1" x14ac:dyDescent="0.2">
      <c r="A778" s="78">
        <v>236376</v>
      </c>
      <c r="B778" s="67" t="s">
        <v>831</v>
      </c>
      <c r="C778" s="67" t="s">
        <v>1196</v>
      </c>
      <c r="D778" s="67" t="s">
        <v>1203</v>
      </c>
      <c r="E778" s="67" t="s">
        <v>1459</v>
      </c>
      <c r="F778" s="67" t="s">
        <v>1673</v>
      </c>
      <c r="G778" s="67" t="s">
        <v>8</v>
      </c>
      <c r="H778" s="68">
        <v>0.63888888888888895</v>
      </c>
      <c r="I778" s="68"/>
      <c r="J778" s="68">
        <v>0.63888888888888895</v>
      </c>
      <c r="K778" s="67" t="s">
        <v>1718</v>
      </c>
      <c r="L778" s="67" t="s">
        <v>1203</v>
      </c>
      <c r="M778" s="67" t="s">
        <v>1459</v>
      </c>
    </row>
    <row r="779" spans="1:13" ht="12" customHeight="1" x14ac:dyDescent="0.2">
      <c r="A779" s="78">
        <v>229948</v>
      </c>
      <c r="B779" s="67" t="s">
        <v>832</v>
      </c>
      <c r="C779" s="67" t="s">
        <v>1196</v>
      </c>
      <c r="D779" s="67" t="s">
        <v>1203</v>
      </c>
      <c r="E779" s="67" t="s">
        <v>1441</v>
      </c>
      <c r="F779" s="67" t="s">
        <v>1671</v>
      </c>
      <c r="G779" s="67" t="s">
        <v>8</v>
      </c>
      <c r="H779" s="68">
        <v>0.62222222222222223</v>
      </c>
      <c r="I779" s="68"/>
      <c r="J779" s="68">
        <v>0.62222222222222223</v>
      </c>
      <c r="K779" s="67" t="s">
        <v>1720</v>
      </c>
      <c r="L779" s="67" t="s">
        <v>1203</v>
      </c>
      <c r="M779" s="67" t="s">
        <v>1441</v>
      </c>
    </row>
    <row r="780" spans="1:13" ht="12" customHeight="1" x14ac:dyDescent="0.2">
      <c r="A780" s="78">
        <v>215783</v>
      </c>
      <c r="B780" s="67" t="s">
        <v>833</v>
      </c>
      <c r="C780" s="67" t="s">
        <v>1196</v>
      </c>
      <c r="D780" s="67" t="s">
        <v>1203</v>
      </c>
      <c r="E780" s="67" t="s">
        <v>1467</v>
      </c>
      <c r="F780" s="67" t="s">
        <v>1679</v>
      </c>
      <c r="G780" s="67" t="s">
        <v>8</v>
      </c>
      <c r="H780" s="68">
        <v>0.60902777777777783</v>
      </c>
      <c r="I780" s="68"/>
      <c r="J780" s="68">
        <v>0.60902777777777783</v>
      </c>
      <c r="K780" s="67" t="s">
        <v>1724</v>
      </c>
      <c r="L780" s="67" t="s">
        <v>1203</v>
      </c>
      <c r="M780" s="67" t="s">
        <v>1467</v>
      </c>
    </row>
    <row r="781" spans="1:13" ht="12" customHeight="1" x14ac:dyDescent="0.2">
      <c r="A781" s="78">
        <v>230794</v>
      </c>
      <c r="B781" s="67" t="s">
        <v>834</v>
      </c>
      <c r="C781" s="67" t="s">
        <v>1196</v>
      </c>
      <c r="D781" s="67" t="s">
        <v>1203</v>
      </c>
      <c r="E781" s="67" t="s">
        <v>1457</v>
      </c>
      <c r="F781" s="67" t="s">
        <v>1676</v>
      </c>
      <c r="G781" s="67" t="s">
        <v>8</v>
      </c>
      <c r="H781" s="68">
        <v>0.5541666666666667</v>
      </c>
      <c r="I781" s="68"/>
      <c r="J781" s="68">
        <v>0.5541666666666667</v>
      </c>
      <c r="K781" s="67" t="s">
        <v>1718</v>
      </c>
      <c r="L781" s="67" t="s">
        <v>1203</v>
      </c>
      <c r="M781" s="67" t="s">
        <v>1457</v>
      </c>
    </row>
    <row r="782" spans="1:13" ht="12" customHeight="1" x14ac:dyDescent="0.2">
      <c r="A782" s="78">
        <v>216277</v>
      </c>
      <c r="B782" s="67" t="s">
        <v>835</v>
      </c>
      <c r="C782" s="67" t="s">
        <v>1196</v>
      </c>
      <c r="D782" s="67" t="s">
        <v>1203</v>
      </c>
      <c r="E782" s="67" t="s">
        <v>1468</v>
      </c>
      <c r="F782" s="67" t="s">
        <v>1679</v>
      </c>
      <c r="G782" s="67" t="s">
        <v>8</v>
      </c>
      <c r="H782" s="68">
        <v>0.54583333333333328</v>
      </c>
      <c r="I782" s="68"/>
      <c r="J782" s="68">
        <v>0.54583333333333328</v>
      </c>
      <c r="K782" s="67" t="s">
        <v>1724</v>
      </c>
      <c r="L782" s="67" t="s">
        <v>1203</v>
      </c>
      <c r="M782" s="67" t="s">
        <v>1468</v>
      </c>
    </row>
    <row r="783" spans="1:13" ht="12" customHeight="1" x14ac:dyDescent="0.2">
      <c r="A783" s="78">
        <v>232965</v>
      </c>
      <c r="B783" s="67" t="s">
        <v>836</v>
      </c>
      <c r="C783" s="67" t="s">
        <v>1196</v>
      </c>
      <c r="D783" s="67" t="s">
        <v>1203</v>
      </c>
      <c r="E783" s="67" t="s">
        <v>1462</v>
      </c>
      <c r="F783" s="67" t="s">
        <v>1678</v>
      </c>
      <c r="G783" s="67" t="s">
        <v>8</v>
      </c>
      <c r="H783" s="68">
        <v>0.53055555555555556</v>
      </c>
      <c r="I783" s="68"/>
      <c r="J783" s="68">
        <v>0.53055555555555556</v>
      </c>
      <c r="K783" s="67" t="s">
        <v>1720</v>
      </c>
      <c r="L783" s="67" t="s">
        <v>1203</v>
      </c>
      <c r="M783" s="67" t="s">
        <v>1462</v>
      </c>
    </row>
    <row r="784" spans="1:13" ht="12" customHeight="1" x14ac:dyDescent="0.2">
      <c r="A784" s="78">
        <v>230618</v>
      </c>
      <c r="B784" s="67" t="s">
        <v>837</v>
      </c>
      <c r="C784" s="67" t="s">
        <v>1196</v>
      </c>
      <c r="D784" s="67" t="s">
        <v>1203</v>
      </c>
      <c r="E784" s="67" t="s">
        <v>1456</v>
      </c>
      <c r="F784" s="67" t="s">
        <v>1680</v>
      </c>
      <c r="G784" s="67" t="s">
        <v>8</v>
      </c>
      <c r="H784" s="68">
        <v>0.49861111111111112</v>
      </c>
      <c r="I784" s="68"/>
      <c r="J784" s="68">
        <v>0.49861111111111112</v>
      </c>
      <c r="K784" s="67" t="s">
        <v>1718</v>
      </c>
      <c r="L784" s="67" t="s">
        <v>1203</v>
      </c>
      <c r="M784" s="67" t="s">
        <v>1456</v>
      </c>
    </row>
    <row r="785" spans="1:13" ht="12" customHeight="1" x14ac:dyDescent="0.2">
      <c r="A785" s="78">
        <v>230363</v>
      </c>
      <c r="B785" s="67" t="s">
        <v>838</v>
      </c>
      <c r="C785" s="67" t="s">
        <v>1196</v>
      </c>
      <c r="D785" s="67" t="s">
        <v>1203</v>
      </c>
      <c r="E785" s="67" t="s">
        <v>1440</v>
      </c>
      <c r="F785" s="67" t="s">
        <v>1670</v>
      </c>
      <c r="G785" s="67" t="s">
        <v>8</v>
      </c>
      <c r="H785" s="68">
        <v>0.4777777777777778</v>
      </c>
      <c r="I785" s="68"/>
      <c r="J785" s="68">
        <v>0.4777777777777778</v>
      </c>
      <c r="K785" s="67" t="s">
        <v>1718</v>
      </c>
      <c r="L785" s="67" t="s">
        <v>1203</v>
      </c>
      <c r="M785" s="67" t="s">
        <v>1440</v>
      </c>
    </row>
    <row r="786" spans="1:13" ht="12" customHeight="1" x14ac:dyDescent="0.2">
      <c r="A786" s="78">
        <v>221590</v>
      </c>
      <c r="B786" s="67" t="s">
        <v>839</v>
      </c>
      <c r="C786" s="67" t="s">
        <v>1196</v>
      </c>
      <c r="D786" s="67" t="s">
        <v>1203</v>
      </c>
      <c r="E786" s="67" t="s">
        <v>1448</v>
      </c>
      <c r="F786" s="67" t="s">
        <v>1674</v>
      </c>
      <c r="G786" s="67" t="s">
        <v>8</v>
      </c>
      <c r="H786" s="68">
        <v>0.47222222222222227</v>
      </c>
      <c r="I786" s="68"/>
      <c r="J786" s="68">
        <v>0.47222222222222227</v>
      </c>
      <c r="K786" s="67" t="s">
        <v>1721</v>
      </c>
      <c r="L786" s="67" t="s">
        <v>1203</v>
      </c>
      <c r="M786" s="67" t="s">
        <v>1448</v>
      </c>
    </row>
    <row r="787" spans="1:13" ht="12" customHeight="1" x14ac:dyDescent="0.2">
      <c r="A787" s="78">
        <v>200602</v>
      </c>
      <c r="B787" s="67" t="s">
        <v>840</v>
      </c>
      <c r="C787" s="67" t="s">
        <v>1196</v>
      </c>
      <c r="D787" s="67" t="s">
        <v>1203</v>
      </c>
      <c r="E787" s="67" t="s">
        <v>1445</v>
      </c>
      <c r="F787" s="67" t="s">
        <v>1670</v>
      </c>
      <c r="G787" s="67" t="s">
        <v>8</v>
      </c>
      <c r="H787" s="68">
        <v>0.46458333333333335</v>
      </c>
      <c r="I787" s="68"/>
      <c r="J787" s="68">
        <v>0.46458333333333335</v>
      </c>
      <c r="K787" s="67" t="s">
        <v>1720</v>
      </c>
      <c r="L787" s="67" t="s">
        <v>1203</v>
      </c>
      <c r="M787" s="67" t="s">
        <v>1445</v>
      </c>
    </row>
    <row r="788" spans="1:13" ht="12" customHeight="1" x14ac:dyDescent="0.2">
      <c r="A788" s="78">
        <v>233618</v>
      </c>
      <c r="B788" s="67" t="s">
        <v>841</v>
      </c>
      <c r="C788" s="67" t="s">
        <v>1196</v>
      </c>
      <c r="D788" s="67" t="s">
        <v>1203</v>
      </c>
      <c r="E788" s="67" t="s">
        <v>1453</v>
      </c>
      <c r="F788" s="67" t="s">
        <v>1678</v>
      </c>
      <c r="G788" s="67" t="s">
        <v>8</v>
      </c>
      <c r="H788" s="68">
        <v>0.43402777777777773</v>
      </c>
      <c r="I788" s="68"/>
      <c r="J788" s="68">
        <v>0.43402777777777773</v>
      </c>
      <c r="K788" s="67" t="s">
        <v>1718</v>
      </c>
      <c r="L788" s="67" t="s">
        <v>1203</v>
      </c>
      <c r="M788" s="67" t="s">
        <v>1453</v>
      </c>
    </row>
    <row r="789" spans="1:13" ht="12" customHeight="1" x14ac:dyDescent="0.2">
      <c r="A789" s="78">
        <v>201755</v>
      </c>
      <c r="B789" s="67" t="s">
        <v>842</v>
      </c>
      <c r="C789" s="67" t="s">
        <v>1196</v>
      </c>
      <c r="D789" s="67" t="s">
        <v>1203</v>
      </c>
      <c r="E789" s="67" t="s">
        <v>1459</v>
      </c>
      <c r="F789" s="67" t="s">
        <v>1673</v>
      </c>
      <c r="G789" s="67" t="s">
        <v>8</v>
      </c>
      <c r="H789" s="68">
        <v>0.41666666666666669</v>
      </c>
      <c r="I789" s="68"/>
      <c r="J789" s="68">
        <v>0.41666666666666669</v>
      </c>
      <c r="K789" s="67" t="s">
        <v>1718</v>
      </c>
      <c r="L789" s="67" t="s">
        <v>1203</v>
      </c>
      <c r="M789" s="67" t="s">
        <v>1459</v>
      </c>
    </row>
    <row r="790" spans="1:13" ht="12" customHeight="1" x14ac:dyDescent="0.2">
      <c r="A790" s="78">
        <v>224856</v>
      </c>
      <c r="B790" s="67" t="s">
        <v>843</v>
      </c>
      <c r="C790" s="67" t="s">
        <v>1196</v>
      </c>
      <c r="D790" s="67" t="s">
        <v>1203</v>
      </c>
      <c r="E790" s="67" t="s">
        <v>1469</v>
      </c>
      <c r="F790" s="67" t="s">
        <v>1679</v>
      </c>
      <c r="G790" s="67" t="s">
        <v>8</v>
      </c>
      <c r="H790" s="68">
        <v>0.40625</v>
      </c>
      <c r="I790" s="68"/>
      <c r="J790" s="68">
        <v>0.40625</v>
      </c>
      <c r="K790" s="67" t="s">
        <v>1719</v>
      </c>
      <c r="L790" s="67" t="s">
        <v>1203</v>
      </c>
      <c r="M790" s="67" t="s">
        <v>1469</v>
      </c>
    </row>
    <row r="791" spans="1:13" ht="12" customHeight="1" x14ac:dyDescent="0.2">
      <c r="A791" s="78">
        <v>223793</v>
      </c>
      <c r="B791" s="67" t="s">
        <v>844</v>
      </c>
      <c r="C791" s="67" t="s">
        <v>1196</v>
      </c>
      <c r="D791" s="67" t="s">
        <v>1203</v>
      </c>
      <c r="E791" s="67" t="s">
        <v>1456</v>
      </c>
      <c r="F791" s="67" t="s">
        <v>1680</v>
      </c>
      <c r="G791" s="67" t="s">
        <v>8</v>
      </c>
      <c r="H791" s="68">
        <v>0.39999999999999997</v>
      </c>
      <c r="I791" s="68"/>
      <c r="J791" s="68">
        <v>0.39999999999999997</v>
      </c>
      <c r="K791" s="67" t="s">
        <v>1718</v>
      </c>
      <c r="L791" s="67" t="s">
        <v>1203</v>
      </c>
      <c r="M791" s="67" t="s">
        <v>1456</v>
      </c>
    </row>
    <row r="792" spans="1:13" ht="12" customHeight="1" x14ac:dyDescent="0.2">
      <c r="A792" s="78">
        <v>232823</v>
      </c>
      <c r="B792" s="67" t="s">
        <v>845</v>
      </c>
      <c r="C792" s="67" t="s">
        <v>1196</v>
      </c>
      <c r="D792" s="67" t="s">
        <v>1203</v>
      </c>
      <c r="E792" s="67" t="s">
        <v>1453</v>
      </c>
      <c r="F792" s="67" t="s">
        <v>1678</v>
      </c>
      <c r="G792" s="67" t="s">
        <v>8</v>
      </c>
      <c r="H792" s="68">
        <v>0.3888888888888889</v>
      </c>
      <c r="I792" s="68"/>
      <c r="J792" s="68">
        <v>0.3888888888888889</v>
      </c>
      <c r="K792" s="67" t="s">
        <v>1718</v>
      </c>
      <c r="L792" s="67" t="s">
        <v>1203</v>
      </c>
      <c r="M792" s="67" t="s">
        <v>1453</v>
      </c>
    </row>
    <row r="793" spans="1:13" ht="12" customHeight="1" x14ac:dyDescent="0.2">
      <c r="A793" s="78">
        <v>235365</v>
      </c>
      <c r="B793" s="67" t="s">
        <v>846</v>
      </c>
      <c r="C793" s="67" t="s">
        <v>1196</v>
      </c>
      <c r="D793" s="67" t="s">
        <v>1203</v>
      </c>
      <c r="E793" s="67" t="s">
        <v>1450</v>
      </c>
      <c r="F793" s="67" t="s">
        <v>1676</v>
      </c>
      <c r="G793" s="67" t="s">
        <v>8</v>
      </c>
      <c r="H793" s="68">
        <v>0.375</v>
      </c>
      <c r="I793" s="68"/>
      <c r="J793" s="68">
        <v>0.375</v>
      </c>
      <c r="K793" s="67" t="s">
        <v>1721</v>
      </c>
      <c r="L793" s="67" t="s">
        <v>1203</v>
      </c>
      <c r="M793" s="67" t="s">
        <v>1450</v>
      </c>
    </row>
    <row r="794" spans="1:13" ht="12" customHeight="1" x14ac:dyDescent="0.2">
      <c r="A794" s="78">
        <v>202916</v>
      </c>
      <c r="B794" s="67" t="s">
        <v>847</v>
      </c>
      <c r="C794" s="67" t="s">
        <v>1196</v>
      </c>
      <c r="D794" s="67" t="s">
        <v>1203</v>
      </c>
      <c r="E794" s="67" t="s">
        <v>1459</v>
      </c>
      <c r="F794" s="67" t="s">
        <v>1673</v>
      </c>
      <c r="G794" s="67" t="s">
        <v>8</v>
      </c>
      <c r="H794" s="68">
        <v>0.36805555555555558</v>
      </c>
      <c r="I794" s="68"/>
      <c r="J794" s="68">
        <v>0.36805555555555558</v>
      </c>
      <c r="K794" s="67" t="s">
        <v>1718</v>
      </c>
      <c r="L794" s="67" t="s">
        <v>1203</v>
      </c>
      <c r="M794" s="67" t="s">
        <v>1459</v>
      </c>
    </row>
    <row r="795" spans="1:13" ht="12" customHeight="1" x14ac:dyDescent="0.2">
      <c r="A795" s="78">
        <v>200680</v>
      </c>
      <c r="B795" s="67" t="s">
        <v>848</v>
      </c>
      <c r="C795" s="67" t="s">
        <v>1196</v>
      </c>
      <c r="D795" s="67" t="s">
        <v>1203</v>
      </c>
      <c r="E795" s="67" t="s">
        <v>1461</v>
      </c>
      <c r="F795" s="67" t="s">
        <v>1669</v>
      </c>
      <c r="G795" s="67" t="s">
        <v>8</v>
      </c>
      <c r="H795" s="68">
        <v>0.3430555555555555</v>
      </c>
      <c r="I795" s="68"/>
      <c r="J795" s="68">
        <v>0.3430555555555555</v>
      </c>
      <c r="K795" s="67" t="s">
        <v>1721</v>
      </c>
      <c r="L795" s="67" t="s">
        <v>1203</v>
      </c>
      <c r="M795" s="67" t="s">
        <v>1461</v>
      </c>
    </row>
    <row r="796" spans="1:13" ht="12" customHeight="1" x14ac:dyDescent="0.2">
      <c r="A796" s="78">
        <v>201264</v>
      </c>
      <c r="B796" s="67" t="s">
        <v>849</v>
      </c>
      <c r="C796" s="67" t="s">
        <v>1196</v>
      </c>
      <c r="D796" s="67" t="s">
        <v>1203</v>
      </c>
      <c r="E796" s="67" t="s">
        <v>1440</v>
      </c>
      <c r="F796" s="67" t="s">
        <v>1670</v>
      </c>
      <c r="G796" s="67" t="s">
        <v>8</v>
      </c>
      <c r="H796" s="68">
        <v>0.33680555555555558</v>
      </c>
      <c r="I796" s="68"/>
      <c r="J796" s="68">
        <v>0.33680555555555558</v>
      </c>
      <c r="K796" s="67" t="s">
        <v>1718</v>
      </c>
      <c r="L796" s="67" t="s">
        <v>1203</v>
      </c>
      <c r="M796" s="67" t="s">
        <v>1440</v>
      </c>
    </row>
    <row r="797" spans="1:13" ht="12" customHeight="1" x14ac:dyDescent="0.2">
      <c r="A797" s="78">
        <v>234335</v>
      </c>
      <c r="B797" s="67" t="s">
        <v>850</v>
      </c>
      <c r="C797" s="67" t="s">
        <v>1196</v>
      </c>
      <c r="D797" s="67" t="s">
        <v>1203</v>
      </c>
      <c r="E797" s="67" t="s">
        <v>1470</v>
      </c>
      <c r="F797" s="67" t="s">
        <v>1680</v>
      </c>
      <c r="G797" s="67" t="s">
        <v>8</v>
      </c>
      <c r="H797" s="68">
        <v>0.32777777777777778</v>
      </c>
      <c r="I797" s="68"/>
      <c r="J797" s="68">
        <v>0.32777777777777778</v>
      </c>
      <c r="K797" s="67" t="s">
        <v>1720</v>
      </c>
      <c r="L797" s="67" t="s">
        <v>1203</v>
      </c>
      <c r="M797" s="67" t="s">
        <v>1470</v>
      </c>
    </row>
    <row r="798" spans="1:13" ht="12" customHeight="1" x14ac:dyDescent="0.2">
      <c r="A798" s="78">
        <v>200657</v>
      </c>
      <c r="B798" s="67" t="s">
        <v>851</v>
      </c>
      <c r="C798" s="67" t="s">
        <v>1196</v>
      </c>
      <c r="D798" s="67" t="s">
        <v>1203</v>
      </c>
      <c r="E798" s="67" t="s">
        <v>1463</v>
      </c>
      <c r="F798" s="67" t="s">
        <v>1679</v>
      </c>
      <c r="G798" s="67" t="s">
        <v>8</v>
      </c>
      <c r="H798" s="68">
        <v>0.3263888888888889</v>
      </c>
      <c r="I798" s="68"/>
      <c r="J798" s="68">
        <v>0.3263888888888889</v>
      </c>
      <c r="K798" s="67" t="s">
        <v>1724</v>
      </c>
      <c r="L798" s="67" t="s">
        <v>1203</v>
      </c>
      <c r="M798" s="67" t="s">
        <v>1463</v>
      </c>
    </row>
    <row r="799" spans="1:13" ht="12" customHeight="1" x14ac:dyDescent="0.2">
      <c r="A799" s="78">
        <v>222378</v>
      </c>
      <c r="B799" s="67" t="s">
        <v>852</v>
      </c>
      <c r="C799" s="67" t="s">
        <v>1196</v>
      </c>
      <c r="D799" s="67" t="s">
        <v>1203</v>
      </c>
      <c r="E799" s="67" t="s">
        <v>1458</v>
      </c>
      <c r="F799" s="67" t="s">
        <v>1675</v>
      </c>
      <c r="G799" s="67" t="s">
        <v>8</v>
      </c>
      <c r="H799" s="68">
        <v>0.31875000000000003</v>
      </c>
      <c r="I799" s="68"/>
      <c r="J799" s="68">
        <v>0.31875000000000003</v>
      </c>
      <c r="K799" s="67" t="s">
        <v>1720</v>
      </c>
      <c r="L799" s="67" t="s">
        <v>1203</v>
      </c>
      <c r="M799" s="67" t="s">
        <v>1458</v>
      </c>
    </row>
    <row r="800" spans="1:13" ht="12" customHeight="1" x14ac:dyDescent="0.2">
      <c r="A800" s="78">
        <v>219511</v>
      </c>
      <c r="B800" s="67" t="s">
        <v>853</v>
      </c>
      <c r="C800" s="67" t="s">
        <v>1196</v>
      </c>
      <c r="D800" s="67" t="s">
        <v>1203</v>
      </c>
      <c r="E800" s="67" t="s">
        <v>1454</v>
      </c>
      <c r="F800" s="67" t="s">
        <v>1679</v>
      </c>
      <c r="G800" s="67" t="s">
        <v>8</v>
      </c>
      <c r="H800" s="68">
        <v>0.26527777777777778</v>
      </c>
      <c r="I800" s="68"/>
      <c r="J800" s="68">
        <v>0.26527777777777778</v>
      </c>
      <c r="K800" s="67" t="s">
        <v>1724</v>
      </c>
      <c r="L800" s="67" t="s">
        <v>1203</v>
      </c>
      <c r="M800" s="67" t="s">
        <v>1454</v>
      </c>
    </row>
    <row r="801" spans="1:13" ht="12" customHeight="1" x14ac:dyDescent="0.2">
      <c r="A801" s="78">
        <v>230669</v>
      </c>
      <c r="B801" s="67" t="s">
        <v>854</v>
      </c>
      <c r="C801" s="67" t="s">
        <v>1196</v>
      </c>
      <c r="D801" s="67" t="s">
        <v>1203</v>
      </c>
      <c r="E801" s="67" t="s">
        <v>1457</v>
      </c>
      <c r="F801" s="67" t="s">
        <v>1676</v>
      </c>
      <c r="G801" s="67" t="s">
        <v>8</v>
      </c>
      <c r="H801" s="68">
        <v>0.26250000000000001</v>
      </c>
      <c r="I801" s="68"/>
      <c r="J801" s="68">
        <v>0.26250000000000001</v>
      </c>
      <c r="K801" s="67" t="s">
        <v>1718</v>
      </c>
      <c r="L801" s="67" t="s">
        <v>1203</v>
      </c>
      <c r="M801" s="67" t="s">
        <v>1457</v>
      </c>
    </row>
    <row r="802" spans="1:13" ht="12" customHeight="1" x14ac:dyDescent="0.2">
      <c r="A802" s="78">
        <v>233730</v>
      </c>
      <c r="B802" s="67" t="s">
        <v>855</v>
      </c>
      <c r="C802" s="67" t="s">
        <v>1196</v>
      </c>
      <c r="D802" s="67" t="s">
        <v>1203</v>
      </c>
      <c r="E802" s="67" t="s">
        <v>1442</v>
      </c>
      <c r="F802" s="67" t="s">
        <v>1671</v>
      </c>
      <c r="G802" s="67" t="s">
        <v>8</v>
      </c>
      <c r="H802" s="68">
        <v>0.25486111111111109</v>
      </c>
      <c r="I802" s="68"/>
      <c r="J802" s="68">
        <v>0.25486111111111109</v>
      </c>
      <c r="K802" s="67" t="s">
        <v>1718</v>
      </c>
      <c r="L802" s="67" t="s">
        <v>1203</v>
      </c>
      <c r="M802" s="67" t="s">
        <v>1442</v>
      </c>
    </row>
    <row r="803" spans="1:13" ht="12" customHeight="1" x14ac:dyDescent="0.2">
      <c r="A803" s="78">
        <v>203532</v>
      </c>
      <c r="B803" s="67" t="s">
        <v>856</v>
      </c>
      <c r="C803" s="67" t="s">
        <v>1196</v>
      </c>
      <c r="D803" s="67" t="s">
        <v>1203</v>
      </c>
      <c r="E803" s="67" t="s">
        <v>1442</v>
      </c>
      <c r="F803" s="67" t="s">
        <v>1671</v>
      </c>
      <c r="G803" s="67" t="s">
        <v>8</v>
      </c>
      <c r="H803" s="68">
        <v>0.23263888888888887</v>
      </c>
      <c r="I803" s="68"/>
      <c r="J803" s="68">
        <v>0.23263888888888887</v>
      </c>
      <c r="K803" s="67" t="s">
        <v>1718</v>
      </c>
      <c r="L803" s="67" t="s">
        <v>1203</v>
      </c>
      <c r="M803" s="67" t="s">
        <v>1442</v>
      </c>
    </row>
    <row r="804" spans="1:13" ht="12" customHeight="1" x14ac:dyDescent="0.2">
      <c r="A804" s="78">
        <v>201282</v>
      </c>
      <c r="B804" s="67" t="s">
        <v>857</v>
      </c>
      <c r="C804" s="67" t="s">
        <v>1196</v>
      </c>
      <c r="D804" s="67" t="s">
        <v>1203</v>
      </c>
      <c r="E804" s="67" t="s">
        <v>1440</v>
      </c>
      <c r="F804" s="67" t="s">
        <v>1670</v>
      </c>
      <c r="G804" s="67" t="s">
        <v>8</v>
      </c>
      <c r="H804" s="68">
        <v>0.21875</v>
      </c>
      <c r="I804" s="68"/>
      <c r="J804" s="68">
        <v>0.21875</v>
      </c>
      <c r="K804" s="67" t="s">
        <v>1718</v>
      </c>
      <c r="L804" s="67" t="s">
        <v>1203</v>
      </c>
      <c r="M804" s="67" t="s">
        <v>1440</v>
      </c>
    </row>
    <row r="805" spans="1:13" ht="12" customHeight="1" x14ac:dyDescent="0.2">
      <c r="A805" s="78">
        <v>230838</v>
      </c>
      <c r="B805" s="67" t="s">
        <v>858</v>
      </c>
      <c r="C805" s="67" t="s">
        <v>1196</v>
      </c>
      <c r="D805" s="67" t="s">
        <v>1203</v>
      </c>
      <c r="E805" s="67" t="s">
        <v>1450</v>
      </c>
      <c r="F805" s="67" t="s">
        <v>1676</v>
      </c>
      <c r="G805" s="67" t="s">
        <v>8</v>
      </c>
      <c r="H805" s="68">
        <v>0.21180555555555555</v>
      </c>
      <c r="I805" s="68"/>
      <c r="J805" s="68">
        <v>0.21180555555555555</v>
      </c>
      <c r="K805" s="67" t="s">
        <v>1720</v>
      </c>
      <c r="L805" s="67" t="s">
        <v>1203</v>
      </c>
      <c r="M805" s="67" t="s">
        <v>1450</v>
      </c>
    </row>
    <row r="806" spans="1:13" ht="12" customHeight="1" x14ac:dyDescent="0.2">
      <c r="A806" s="78">
        <v>237575</v>
      </c>
      <c r="B806" s="67" t="s">
        <v>859</v>
      </c>
      <c r="C806" s="67" t="s">
        <v>1196</v>
      </c>
      <c r="D806" s="67" t="s">
        <v>1203</v>
      </c>
      <c r="E806" s="67" t="s">
        <v>1466</v>
      </c>
      <c r="F806" s="67" t="s">
        <v>1672</v>
      </c>
      <c r="G806" s="67" t="s">
        <v>8</v>
      </c>
      <c r="H806" s="68">
        <v>0.19791666666666666</v>
      </c>
      <c r="I806" s="68"/>
      <c r="J806" s="68">
        <v>0.19791666666666666</v>
      </c>
      <c r="K806" s="67" t="s">
        <v>1718</v>
      </c>
      <c r="L806" s="67" t="s">
        <v>1203</v>
      </c>
      <c r="M806" s="67" t="s">
        <v>1466</v>
      </c>
    </row>
    <row r="807" spans="1:13" ht="12" customHeight="1" x14ac:dyDescent="0.2">
      <c r="A807" s="78">
        <v>237420</v>
      </c>
      <c r="B807" s="67" t="s">
        <v>860</v>
      </c>
      <c r="C807" s="67" t="s">
        <v>1196</v>
      </c>
      <c r="D807" s="67" t="s">
        <v>1203</v>
      </c>
      <c r="E807" s="67" t="s">
        <v>1457</v>
      </c>
      <c r="F807" s="67" t="s">
        <v>1676</v>
      </c>
      <c r="G807" s="67" t="s">
        <v>8</v>
      </c>
      <c r="H807" s="68">
        <v>0.16597222222222222</v>
      </c>
      <c r="I807" s="68"/>
      <c r="J807" s="68">
        <v>0.16597222222222222</v>
      </c>
      <c r="K807" s="67" t="s">
        <v>1718</v>
      </c>
      <c r="L807" s="67" t="s">
        <v>1203</v>
      </c>
      <c r="M807" s="67" t="s">
        <v>1457</v>
      </c>
    </row>
    <row r="808" spans="1:13" ht="12" customHeight="1" x14ac:dyDescent="0.2">
      <c r="A808" s="78">
        <v>232924</v>
      </c>
      <c r="B808" s="67" t="s">
        <v>861</v>
      </c>
      <c r="C808" s="67" t="s">
        <v>1196</v>
      </c>
      <c r="D808" s="67" t="s">
        <v>1203</v>
      </c>
      <c r="E808" s="67" t="s">
        <v>1452</v>
      </c>
      <c r="F808" s="67" t="s">
        <v>1677</v>
      </c>
      <c r="G808" s="67" t="s">
        <v>8</v>
      </c>
      <c r="H808" s="68">
        <v>0.15347222222222223</v>
      </c>
      <c r="I808" s="68"/>
      <c r="J808" s="68">
        <v>0.15347222222222223</v>
      </c>
      <c r="K808" s="67" t="s">
        <v>1718</v>
      </c>
      <c r="L808" s="67" t="s">
        <v>1203</v>
      </c>
      <c r="M808" s="67" t="s">
        <v>1452</v>
      </c>
    </row>
    <row r="809" spans="1:13" ht="12" customHeight="1" x14ac:dyDescent="0.2">
      <c r="A809" s="78">
        <v>200751</v>
      </c>
      <c r="B809" s="67" t="s">
        <v>862</v>
      </c>
      <c r="C809" s="67" t="s">
        <v>1196</v>
      </c>
      <c r="D809" s="67" t="s">
        <v>1203</v>
      </c>
      <c r="E809" s="67" t="s">
        <v>1471</v>
      </c>
      <c r="F809" s="67" t="s">
        <v>1679</v>
      </c>
      <c r="G809" s="67" t="s">
        <v>8</v>
      </c>
      <c r="H809" s="68">
        <v>0.14861111111111111</v>
      </c>
      <c r="I809" s="68"/>
      <c r="J809" s="68">
        <v>0.14861111111111111</v>
      </c>
      <c r="K809" s="67" t="s">
        <v>1724</v>
      </c>
      <c r="L809" s="67" t="s">
        <v>1203</v>
      </c>
      <c r="M809" s="67" t="s">
        <v>1471</v>
      </c>
    </row>
    <row r="810" spans="1:13" ht="12" customHeight="1" x14ac:dyDescent="0.2">
      <c r="A810" s="78">
        <v>223941</v>
      </c>
      <c r="B810" s="67" t="s">
        <v>863</v>
      </c>
      <c r="C810" s="67" t="s">
        <v>1196</v>
      </c>
      <c r="D810" s="67" t="s">
        <v>1203</v>
      </c>
      <c r="E810" s="67" t="s">
        <v>1459</v>
      </c>
      <c r="F810" s="67" t="s">
        <v>1673</v>
      </c>
      <c r="G810" s="67" t="s">
        <v>8</v>
      </c>
      <c r="H810" s="68">
        <v>0.13472222222222222</v>
      </c>
      <c r="I810" s="68"/>
      <c r="J810" s="68">
        <v>0.13472222222222222</v>
      </c>
      <c r="K810" s="67" t="s">
        <v>1718</v>
      </c>
      <c r="L810" s="67" t="s">
        <v>1203</v>
      </c>
      <c r="M810" s="67" t="s">
        <v>1459</v>
      </c>
    </row>
    <row r="811" spans="1:13" ht="12" customHeight="1" x14ac:dyDescent="0.2">
      <c r="A811" s="78">
        <v>203111</v>
      </c>
      <c r="B811" s="67" t="s">
        <v>864</v>
      </c>
      <c r="C811" s="67" t="s">
        <v>1196</v>
      </c>
      <c r="D811" s="67" t="s">
        <v>1203</v>
      </c>
      <c r="E811" s="67" t="s">
        <v>1439</v>
      </c>
      <c r="F811" s="67" t="s">
        <v>1669</v>
      </c>
      <c r="G811" s="67" t="s">
        <v>8</v>
      </c>
      <c r="H811" s="68">
        <v>0.13194444444444445</v>
      </c>
      <c r="I811" s="68"/>
      <c r="J811" s="68">
        <v>0.13194444444444445</v>
      </c>
      <c r="K811" s="67" t="s">
        <v>1718</v>
      </c>
      <c r="L811" s="67" t="s">
        <v>1203</v>
      </c>
      <c r="M811" s="67" t="s">
        <v>1439</v>
      </c>
    </row>
    <row r="812" spans="1:13" ht="12" customHeight="1" x14ac:dyDescent="0.2">
      <c r="A812" s="78">
        <v>222479</v>
      </c>
      <c r="B812" s="67" t="s">
        <v>865</v>
      </c>
      <c r="C812" s="67" t="s">
        <v>1196</v>
      </c>
      <c r="D812" s="67" t="s">
        <v>1203</v>
      </c>
      <c r="E812" s="67" t="s">
        <v>1451</v>
      </c>
      <c r="F812" s="67" t="s">
        <v>1677</v>
      </c>
      <c r="G812" s="67" t="s">
        <v>8</v>
      </c>
      <c r="H812" s="68">
        <v>0.13194444444444445</v>
      </c>
      <c r="I812" s="68"/>
      <c r="J812" s="68">
        <v>0.13194444444444445</v>
      </c>
      <c r="K812" s="67" t="s">
        <v>1720</v>
      </c>
      <c r="L812" s="67" t="s">
        <v>1203</v>
      </c>
      <c r="M812" s="67" t="s">
        <v>1451</v>
      </c>
    </row>
    <row r="813" spans="1:13" ht="12" customHeight="1" x14ac:dyDescent="0.2">
      <c r="A813" s="78">
        <v>232595</v>
      </c>
      <c r="B813" s="67" t="s">
        <v>866</v>
      </c>
      <c r="C813" s="67" t="s">
        <v>1196</v>
      </c>
      <c r="D813" s="67" t="s">
        <v>1203</v>
      </c>
      <c r="E813" s="67" t="s">
        <v>1466</v>
      </c>
      <c r="F813" s="67" t="s">
        <v>1672</v>
      </c>
      <c r="G813" s="67" t="s">
        <v>8</v>
      </c>
      <c r="H813" s="68">
        <v>0.12916666666666668</v>
      </c>
      <c r="I813" s="68"/>
      <c r="J813" s="68">
        <v>0.12916666666666668</v>
      </c>
      <c r="K813" s="67" t="s">
        <v>1718</v>
      </c>
      <c r="L813" s="67" t="s">
        <v>1203</v>
      </c>
      <c r="M813" s="67" t="s">
        <v>1466</v>
      </c>
    </row>
    <row r="814" spans="1:13" ht="12" customHeight="1" x14ac:dyDescent="0.2">
      <c r="A814" s="78">
        <v>232266</v>
      </c>
      <c r="B814" s="67" t="s">
        <v>867</v>
      </c>
      <c r="C814" s="67" t="s">
        <v>1196</v>
      </c>
      <c r="D814" s="67" t="s">
        <v>1203</v>
      </c>
      <c r="E814" s="67" t="s">
        <v>1458</v>
      </c>
      <c r="F814" s="67" t="s">
        <v>1675</v>
      </c>
      <c r="G814" s="67" t="s">
        <v>8</v>
      </c>
      <c r="H814" s="68">
        <v>0.10555555555555556</v>
      </c>
      <c r="I814" s="68"/>
      <c r="J814" s="68">
        <v>0.10555555555555556</v>
      </c>
      <c r="K814" s="67" t="s">
        <v>1720</v>
      </c>
      <c r="L814" s="67" t="s">
        <v>1203</v>
      </c>
      <c r="M814" s="67" t="s">
        <v>1458</v>
      </c>
    </row>
    <row r="815" spans="1:13" ht="12" customHeight="1" x14ac:dyDescent="0.2">
      <c r="A815" s="78">
        <v>203558</v>
      </c>
      <c r="B815" s="67" t="s">
        <v>868</v>
      </c>
      <c r="C815" s="67" t="s">
        <v>1196</v>
      </c>
      <c r="D815" s="67" t="s">
        <v>1203</v>
      </c>
      <c r="E815" s="67" t="s">
        <v>1455</v>
      </c>
      <c r="F815" s="67" t="s">
        <v>1674</v>
      </c>
      <c r="G815" s="67" t="s">
        <v>8</v>
      </c>
      <c r="H815" s="68">
        <v>0.10416666666666667</v>
      </c>
      <c r="I815" s="68"/>
      <c r="J815" s="68">
        <v>0.10416666666666667</v>
      </c>
      <c r="K815" s="67" t="s">
        <v>1718</v>
      </c>
      <c r="L815" s="67" t="s">
        <v>1203</v>
      </c>
      <c r="M815" s="67" t="s">
        <v>1455</v>
      </c>
    </row>
    <row r="816" spans="1:13" ht="12" customHeight="1" x14ac:dyDescent="0.2">
      <c r="A816" s="78">
        <v>236464</v>
      </c>
      <c r="B816" s="67" t="s">
        <v>869</v>
      </c>
      <c r="C816" s="67" t="s">
        <v>1196</v>
      </c>
      <c r="D816" s="67" t="s">
        <v>1203</v>
      </c>
      <c r="E816" s="67" t="s">
        <v>1466</v>
      </c>
      <c r="F816" s="67" t="s">
        <v>1672</v>
      </c>
      <c r="G816" s="67" t="s">
        <v>8</v>
      </c>
      <c r="H816" s="68">
        <v>9.930555555555555E-2</v>
      </c>
      <c r="I816" s="68"/>
      <c r="J816" s="68">
        <v>9.930555555555555E-2</v>
      </c>
      <c r="K816" s="67" t="s">
        <v>1718</v>
      </c>
      <c r="L816" s="67" t="s">
        <v>1203</v>
      </c>
      <c r="M816" s="67" t="s">
        <v>1466</v>
      </c>
    </row>
    <row r="817" spans="1:13" ht="12" customHeight="1" x14ac:dyDescent="0.2">
      <c r="A817" s="78">
        <v>232954</v>
      </c>
      <c r="B817" s="67" t="s">
        <v>870</v>
      </c>
      <c r="C817" s="67" t="s">
        <v>1196</v>
      </c>
      <c r="D817" s="67" t="s">
        <v>1203</v>
      </c>
      <c r="E817" s="67" t="s">
        <v>1450</v>
      </c>
      <c r="F817" s="67" t="s">
        <v>1676</v>
      </c>
      <c r="G817" s="67" t="s">
        <v>8</v>
      </c>
      <c r="H817" s="68">
        <v>9.7916666666666666E-2</v>
      </c>
      <c r="I817" s="68"/>
      <c r="J817" s="68">
        <v>9.7916666666666666E-2</v>
      </c>
      <c r="K817" s="67" t="s">
        <v>1722</v>
      </c>
      <c r="L817" s="67" t="s">
        <v>1203</v>
      </c>
      <c r="M817" s="67" t="s">
        <v>1450</v>
      </c>
    </row>
    <row r="818" spans="1:13" ht="12" customHeight="1" x14ac:dyDescent="0.2">
      <c r="A818" s="78">
        <v>202582</v>
      </c>
      <c r="B818" s="67" t="s">
        <v>871</v>
      </c>
      <c r="C818" s="67" t="s">
        <v>1196</v>
      </c>
      <c r="D818" s="67" t="s">
        <v>1203</v>
      </c>
      <c r="E818" s="67" t="s">
        <v>1470</v>
      </c>
      <c r="F818" s="67" t="s">
        <v>1680</v>
      </c>
      <c r="G818" s="67" t="s">
        <v>8</v>
      </c>
      <c r="H818" s="68">
        <v>6.9444444444444434E-2</v>
      </c>
      <c r="I818" s="68"/>
      <c r="J818" s="68">
        <v>6.9444444444444434E-2</v>
      </c>
      <c r="K818" s="67" t="s">
        <v>1720</v>
      </c>
      <c r="L818" s="67" t="s">
        <v>1203</v>
      </c>
      <c r="M818" s="67" t="s">
        <v>1470</v>
      </c>
    </row>
    <row r="819" spans="1:13" ht="12" customHeight="1" x14ac:dyDescent="0.2">
      <c r="A819" s="78">
        <v>237669</v>
      </c>
      <c r="B819" s="67" t="s">
        <v>872</v>
      </c>
      <c r="C819" s="67" t="s">
        <v>1196</v>
      </c>
      <c r="D819" s="67" t="s">
        <v>1203</v>
      </c>
      <c r="E819" s="67" t="s">
        <v>1453</v>
      </c>
      <c r="F819" s="67" t="s">
        <v>1678</v>
      </c>
      <c r="G819" s="67" t="s">
        <v>8</v>
      </c>
      <c r="H819" s="68">
        <v>6.1805555555555558E-2</v>
      </c>
      <c r="I819" s="68"/>
      <c r="J819" s="68">
        <v>6.1805555555555558E-2</v>
      </c>
      <c r="K819" s="67" t="s">
        <v>1718</v>
      </c>
      <c r="L819" s="67" t="s">
        <v>1203</v>
      </c>
      <c r="M819" s="67" t="s">
        <v>1453</v>
      </c>
    </row>
    <row r="820" spans="1:13" ht="12" customHeight="1" x14ac:dyDescent="0.2">
      <c r="A820" s="78">
        <v>200294</v>
      </c>
      <c r="B820" s="67" t="s">
        <v>873</v>
      </c>
      <c r="C820" s="67" t="s">
        <v>1196</v>
      </c>
      <c r="D820" s="67" t="s">
        <v>1203</v>
      </c>
      <c r="E820" s="67" t="s">
        <v>1445</v>
      </c>
      <c r="F820" s="67" t="s">
        <v>1670</v>
      </c>
      <c r="G820" s="67" t="s">
        <v>8</v>
      </c>
      <c r="H820" s="68">
        <v>5.5555555555555552E-2</v>
      </c>
      <c r="I820" s="68"/>
      <c r="J820" s="68">
        <v>5.5555555555555552E-2</v>
      </c>
      <c r="K820" s="67" t="s">
        <v>1720</v>
      </c>
      <c r="L820" s="67" t="s">
        <v>1203</v>
      </c>
      <c r="M820" s="67" t="s">
        <v>1445</v>
      </c>
    </row>
    <row r="821" spans="1:13" ht="12" customHeight="1" x14ac:dyDescent="0.2">
      <c r="A821" s="78">
        <v>203538</v>
      </c>
      <c r="B821" s="67" t="s">
        <v>874</v>
      </c>
      <c r="C821" s="67" t="s">
        <v>1196</v>
      </c>
      <c r="D821" s="67" t="s">
        <v>1203</v>
      </c>
      <c r="E821" s="67" t="s">
        <v>1440</v>
      </c>
      <c r="F821" s="67" t="s">
        <v>1670</v>
      </c>
      <c r="G821" s="67" t="s">
        <v>8</v>
      </c>
      <c r="H821" s="68">
        <v>5.5555555555555552E-2</v>
      </c>
      <c r="I821" s="68"/>
      <c r="J821" s="68">
        <v>5.5555555555555552E-2</v>
      </c>
      <c r="K821" s="67" t="s">
        <v>1718</v>
      </c>
      <c r="L821" s="67" t="s">
        <v>1203</v>
      </c>
      <c r="M821" s="67" t="s">
        <v>1440</v>
      </c>
    </row>
    <row r="822" spans="1:13" ht="12" customHeight="1" x14ac:dyDescent="0.2">
      <c r="A822" s="78">
        <v>218505</v>
      </c>
      <c r="B822" s="67" t="s">
        <v>875</v>
      </c>
      <c r="C822" s="67" t="s">
        <v>1196</v>
      </c>
      <c r="D822" s="67" t="s">
        <v>1203</v>
      </c>
      <c r="E822" s="67" t="s">
        <v>1443</v>
      </c>
      <c r="F822" s="67" t="s">
        <v>1672</v>
      </c>
      <c r="G822" s="67" t="s">
        <v>8</v>
      </c>
      <c r="H822" s="68">
        <v>4.5833333333333337E-2</v>
      </c>
      <c r="I822" s="68"/>
      <c r="J822" s="68">
        <v>4.5833333333333337E-2</v>
      </c>
      <c r="K822" s="67" t="s">
        <v>1720</v>
      </c>
      <c r="L822" s="67" t="s">
        <v>1203</v>
      </c>
      <c r="M822" s="67" t="s">
        <v>1443</v>
      </c>
    </row>
    <row r="823" spans="1:13" ht="12" customHeight="1" x14ac:dyDescent="0.2">
      <c r="A823" s="78">
        <v>215728</v>
      </c>
      <c r="B823" s="67" t="s">
        <v>876</v>
      </c>
      <c r="C823" s="67" t="s">
        <v>1196</v>
      </c>
      <c r="D823" s="67" t="s">
        <v>1203</v>
      </c>
      <c r="E823" s="67" t="s">
        <v>1472</v>
      </c>
      <c r="F823" s="67" t="s">
        <v>1679</v>
      </c>
      <c r="G823" s="67" t="s">
        <v>8</v>
      </c>
      <c r="H823" s="68">
        <v>3.7499999999999999E-2</v>
      </c>
      <c r="I823" s="68"/>
      <c r="J823" s="68">
        <v>3.7499999999999999E-2</v>
      </c>
      <c r="K823" s="67" t="s">
        <v>1724</v>
      </c>
      <c r="L823" s="67" t="s">
        <v>1203</v>
      </c>
      <c r="M823" s="67" t="s">
        <v>1472</v>
      </c>
    </row>
    <row r="824" spans="1:13" ht="12" customHeight="1" x14ac:dyDescent="0.2">
      <c r="A824" s="78">
        <v>225908</v>
      </c>
      <c r="B824" s="67" t="s">
        <v>877</v>
      </c>
      <c r="C824" s="67" t="s">
        <v>1196</v>
      </c>
      <c r="D824" s="67" t="s">
        <v>1203</v>
      </c>
      <c r="E824" s="67" t="s">
        <v>1452</v>
      </c>
      <c r="F824" s="67" t="s">
        <v>1677</v>
      </c>
      <c r="G824" s="67" t="s">
        <v>8</v>
      </c>
      <c r="H824" s="68">
        <v>3.6805555555555557E-2</v>
      </c>
      <c r="I824" s="68"/>
      <c r="J824" s="68">
        <v>3.6805555555555557E-2</v>
      </c>
      <c r="K824" s="67" t="s">
        <v>1718</v>
      </c>
      <c r="L824" s="67" t="s">
        <v>1203</v>
      </c>
      <c r="M824" s="67" t="s">
        <v>1452</v>
      </c>
    </row>
    <row r="825" spans="1:13" ht="12" customHeight="1" x14ac:dyDescent="0.2">
      <c r="A825" s="78">
        <v>202398</v>
      </c>
      <c r="B825" s="67" t="s">
        <v>878</v>
      </c>
      <c r="C825" s="67" t="s">
        <v>1196</v>
      </c>
      <c r="D825" s="67" t="s">
        <v>1203</v>
      </c>
      <c r="E825" s="67" t="s">
        <v>1444</v>
      </c>
      <c r="F825" s="67" t="s">
        <v>1673</v>
      </c>
      <c r="G825" s="67" t="s">
        <v>8</v>
      </c>
      <c r="H825" s="68">
        <v>3.125E-2</v>
      </c>
      <c r="I825" s="68"/>
      <c r="J825" s="68">
        <v>3.125E-2</v>
      </c>
      <c r="K825" s="67" t="s">
        <v>1721</v>
      </c>
      <c r="L825" s="67" t="s">
        <v>1203</v>
      </c>
      <c r="M825" s="67" t="s">
        <v>1444</v>
      </c>
    </row>
    <row r="826" spans="1:13" ht="12" customHeight="1" x14ac:dyDescent="0.2">
      <c r="A826" s="78">
        <v>200335</v>
      </c>
      <c r="B826" s="67" t="s">
        <v>879</v>
      </c>
      <c r="C826" s="67" t="s">
        <v>1196</v>
      </c>
      <c r="D826" s="67" t="s">
        <v>1203</v>
      </c>
      <c r="E826" s="67" t="s">
        <v>1445</v>
      </c>
      <c r="F826" s="67" t="s">
        <v>1670</v>
      </c>
      <c r="G826" s="67" t="s">
        <v>8</v>
      </c>
      <c r="H826" s="68">
        <v>1.9444444444444445E-2</v>
      </c>
      <c r="I826" s="68"/>
      <c r="J826" s="68">
        <v>1.9444444444444445E-2</v>
      </c>
      <c r="K826" s="67" t="s">
        <v>1721</v>
      </c>
      <c r="L826" s="67" t="s">
        <v>1203</v>
      </c>
      <c r="M826" s="67" t="s">
        <v>1445</v>
      </c>
    </row>
    <row r="827" spans="1:13" ht="12" customHeight="1" x14ac:dyDescent="0.2">
      <c r="A827" s="78">
        <v>200336</v>
      </c>
      <c r="B827" s="67" t="s">
        <v>880</v>
      </c>
      <c r="C827" s="67" t="s">
        <v>1196</v>
      </c>
      <c r="D827" s="67" t="s">
        <v>1203</v>
      </c>
      <c r="E827" s="67" t="s">
        <v>1445</v>
      </c>
      <c r="F827" s="67" t="s">
        <v>1670</v>
      </c>
      <c r="G827" s="67" t="s">
        <v>8</v>
      </c>
      <c r="H827" s="68">
        <v>1.7361111111111112E-2</v>
      </c>
      <c r="I827" s="68"/>
      <c r="J827" s="68">
        <v>1.7361111111111112E-2</v>
      </c>
      <c r="K827" s="67" t="s">
        <v>1721</v>
      </c>
      <c r="L827" s="67" t="s">
        <v>1203</v>
      </c>
      <c r="M827" s="67" t="s">
        <v>1445</v>
      </c>
    </row>
    <row r="828" spans="1:13" ht="12" customHeight="1" x14ac:dyDescent="0.2">
      <c r="A828" s="78">
        <v>220568</v>
      </c>
      <c r="B828" s="67" t="s">
        <v>881</v>
      </c>
      <c r="C828" s="67" t="s">
        <v>1196</v>
      </c>
      <c r="D828" s="67" t="s">
        <v>1203</v>
      </c>
      <c r="E828" s="67" t="s">
        <v>1445</v>
      </c>
      <c r="F828" s="67" t="s">
        <v>1670</v>
      </c>
      <c r="G828" s="67" t="s">
        <v>8</v>
      </c>
      <c r="H828" s="68">
        <v>1.6666666666666666E-2</v>
      </c>
      <c r="I828" s="68"/>
      <c r="J828" s="68">
        <v>1.6666666666666666E-2</v>
      </c>
      <c r="K828" s="67" t="s">
        <v>1720</v>
      </c>
      <c r="L828" s="67" t="s">
        <v>1203</v>
      </c>
      <c r="M828" s="67" t="s">
        <v>1445</v>
      </c>
    </row>
    <row r="829" spans="1:13" ht="12" customHeight="1" x14ac:dyDescent="0.2">
      <c r="A829" s="78">
        <v>233032</v>
      </c>
      <c r="B829" s="67" t="s">
        <v>882</v>
      </c>
      <c r="C829" s="67" t="s">
        <v>1196</v>
      </c>
      <c r="D829" s="67" t="s">
        <v>1203</v>
      </c>
      <c r="E829" s="67" t="s">
        <v>1444</v>
      </c>
      <c r="F829" s="67" t="s">
        <v>1673</v>
      </c>
      <c r="G829" s="67" t="s">
        <v>8</v>
      </c>
      <c r="H829" s="68">
        <v>1.5972222222222224E-2</v>
      </c>
      <c r="I829" s="68"/>
      <c r="J829" s="68">
        <v>1.5972222222222224E-2</v>
      </c>
      <c r="K829" s="67" t="s">
        <v>1722</v>
      </c>
      <c r="L829" s="67" t="s">
        <v>1203</v>
      </c>
      <c r="M829" s="67" t="s">
        <v>1444</v>
      </c>
    </row>
    <row r="830" spans="1:13" ht="12" customHeight="1" x14ac:dyDescent="0.2">
      <c r="A830" s="78">
        <v>235264</v>
      </c>
      <c r="B830" s="67" t="s">
        <v>883</v>
      </c>
      <c r="C830" s="67" t="s">
        <v>1196</v>
      </c>
      <c r="D830" s="67" t="s">
        <v>1203</v>
      </c>
      <c r="E830" s="67" t="s">
        <v>1453</v>
      </c>
      <c r="F830" s="67" t="s">
        <v>1678</v>
      </c>
      <c r="G830" s="67" t="s">
        <v>8</v>
      </c>
      <c r="H830" s="68">
        <v>1.2499999999999999E-2</v>
      </c>
      <c r="I830" s="68"/>
      <c r="J830" s="68">
        <v>1.2499999999999999E-2</v>
      </c>
      <c r="K830" s="67" t="s">
        <v>1718</v>
      </c>
      <c r="L830" s="67" t="s">
        <v>1203</v>
      </c>
      <c r="M830" s="67" t="s">
        <v>1453</v>
      </c>
    </row>
    <row r="831" spans="1:13" ht="12" customHeight="1" x14ac:dyDescent="0.2">
      <c r="A831" s="78">
        <v>230842</v>
      </c>
      <c r="B831" s="67" t="s">
        <v>884</v>
      </c>
      <c r="C831" s="67" t="s">
        <v>1196</v>
      </c>
      <c r="D831" s="67" t="s">
        <v>1204</v>
      </c>
      <c r="E831" s="67" t="s">
        <v>1473</v>
      </c>
      <c r="F831" s="67" t="s">
        <v>1681</v>
      </c>
      <c r="G831" s="67" t="s">
        <v>7</v>
      </c>
      <c r="H831" s="68">
        <v>10.586805555555555</v>
      </c>
      <c r="I831" s="68">
        <v>10.586805555555555</v>
      </c>
      <c r="J831" s="68"/>
      <c r="K831" s="67" t="s">
        <v>1720</v>
      </c>
      <c r="L831" s="67" t="s">
        <v>1204</v>
      </c>
      <c r="M831" s="67" t="s">
        <v>1473</v>
      </c>
    </row>
    <row r="832" spans="1:13" ht="12" customHeight="1" x14ac:dyDescent="0.2">
      <c r="A832" s="78">
        <v>232059</v>
      </c>
      <c r="B832" s="67" t="s">
        <v>885</v>
      </c>
      <c r="C832" s="67" t="s">
        <v>1196</v>
      </c>
      <c r="D832" s="67" t="s">
        <v>1204</v>
      </c>
      <c r="E832" s="67" t="s">
        <v>1473</v>
      </c>
      <c r="F832" s="67" t="s">
        <v>1681</v>
      </c>
      <c r="G832" s="67" t="s">
        <v>7</v>
      </c>
      <c r="H832" s="68">
        <v>2.0645833333333332</v>
      </c>
      <c r="I832" s="68">
        <v>2.0645833333333332</v>
      </c>
      <c r="J832" s="68"/>
      <c r="K832" s="67" t="s">
        <v>1720</v>
      </c>
      <c r="L832" s="67" t="s">
        <v>1204</v>
      </c>
      <c r="M832" s="67" t="s">
        <v>1473</v>
      </c>
    </row>
    <row r="833" spans="1:13" ht="12" customHeight="1" x14ac:dyDescent="0.2">
      <c r="A833" s="78">
        <v>232763</v>
      </c>
      <c r="B833" s="67" t="s">
        <v>886</v>
      </c>
      <c r="C833" s="67" t="s">
        <v>1196</v>
      </c>
      <c r="D833" s="67" t="s">
        <v>1204</v>
      </c>
      <c r="E833" s="67" t="s">
        <v>1473</v>
      </c>
      <c r="F833" s="67" t="s">
        <v>1681</v>
      </c>
      <c r="G833" s="67" t="s">
        <v>7</v>
      </c>
      <c r="H833" s="68">
        <v>0.58750000000000002</v>
      </c>
      <c r="I833" s="68">
        <v>0.58750000000000002</v>
      </c>
      <c r="J833" s="68"/>
      <c r="K833" s="67" t="s">
        <v>1721</v>
      </c>
      <c r="L833" s="67" t="s">
        <v>1204</v>
      </c>
      <c r="M833" s="67" t="s">
        <v>1473</v>
      </c>
    </row>
    <row r="834" spans="1:13" ht="12" customHeight="1" x14ac:dyDescent="0.2">
      <c r="A834" s="78">
        <v>237508</v>
      </c>
      <c r="B834" s="67" t="s">
        <v>887</v>
      </c>
      <c r="C834" s="67" t="s">
        <v>1196</v>
      </c>
      <c r="D834" s="67" t="s">
        <v>1204</v>
      </c>
      <c r="E834" s="67" t="s">
        <v>1474</v>
      </c>
      <c r="F834" s="67" t="s">
        <v>1681</v>
      </c>
      <c r="G834" s="67" t="s">
        <v>8</v>
      </c>
      <c r="H834" s="68">
        <v>0.57500000000000007</v>
      </c>
      <c r="I834" s="68"/>
      <c r="J834" s="68">
        <v>0.57500000000000007</v>
      </c>
      <c r="K834" s="67" t="s">
        <v>1718</v>
      </c>
      <c r="L834" s="67" t="s">
        <v>1204</v>
      </c>
      <c r="M834" s="67" t="s">
        <v>1474</v>
      </c>
    </row>
    <row r="835" spans="1:13" ht="12" customHeight="1" x14ac:dyDescent="0.2">
      <c r="A835" s="78">
        <v>230040</v>
      </c>
      <c r="B835" s="67" t="s">
        <v>888</v>
      </c>
      <c r="C835" s="67" t="s">
        <v>1196</v>
      </c>
      <c r="D835" s="67" t="s">
        <v>1204</v>
      </c>
      <c r="E835" s="67" t="s">
        <v>1474</v>
      </c>
      <c r="F835" s="67" t="s">
        <v>1681</v>
      </c>
      <c r="G835" s="67" t="s">
        <v>8</v>
      </c>
      <c r="H835" s="68">
        <v>0.40763888888888888</v>
      </c>
      <c r="I835" s="68"/>
      <c r="J835" s="68">
        <v>0.40763888888888888</v>
      </c>
      <c r="K835" s="67" t="s">
        <v>1718</v>
      </c>
      <c r="L835" s="67" t="s">
        <v>1204</v>
      </c>
      <c r="M835" s="67" t="s">
        <v>1474</v>
      </c>
    </row>
    <row r="836" spans="1:13" ht="12" customHeight="1" x14ac:dyDescent="0.2">
      <c r="A836" s="78">
        <v>233896</v>
      </c>
      <c r="B836" s="67" t="s">
        <v>889</v>
      </c>
      <c r="C836" s="67" t="s">
        <v>1196</v>
      </c>
      <c r="D836" s="67" t="s">
        <v>1204</v>
      </c>
      <c r="E836" s="67" t="s">
        <v>1474</v>
      </c>
      <c r="F836" s="67" t="s">
        <v>1681</v>
      </c>
      <c r="G836" s="67" t="s">
        <v>8</v>
      </c>
      <c r="H836" s="68">
        <v>0.33263888888888887</v>
      </c>
      <c r="I836" s="68"/>
      <c r="J836" s="68">
        <v>0.33263888888888887</v>
      </c>
      <c r="K836" s="67" t="s">
        <v>1718</v>
      </c>
      <c r="L836" s="67" t="s">
        <v>1204</v>
      </c>
      <c r="M836" s="67" t="s">
        <v>1474</v>
      </c>
    </row>
    <row r="837" spans="1:13" ht="12" customHeight="1" x14ac:dyDescent="0.2">
      <c r="A837" s="78">
        <v>222018</v>
      </c>
      <c r="B837" s="67" t="s">
        <v>890</v>
      </c>
      <c r="C837" s="67" t="s">
        <v>1196</v>
      </c>
      <c r="D837" s="67" t="s">
        <v>1204</v>
      </c>
      <c r="E837" s="67" t="s">
        <v>1475</v>
      </c>
      <c r="F837" s="67" t="s">
        <v>1682</v>
      </c>
      <c r="G837" s="67" t="s">
        <v>8</v>
      </c>
      <c r="H837" s="68">
        <v>0.25486111111111109</v>
      </c>
      <c r="I837" s="68"/>
      <c r="J837" s="68">
        <v>0.25486111111111109</v>
      </c>
      <c r="K837" s="67" t="s">
        <v>1719</v>
      </c>
      <c r="L837" s="67" t="s">
        <v>1204</v>
      </c>
      <c r="M837" s="67" t="s">
        <v>1475</v>
      </c>
    </row>
    <row r="838" spans="1:13" ht="12" customHeight="1" x14ac:dyDescent="0.2">
      <c r="A838" s="78">
        <v>237584</v>
      </c>
      <c r="B838" s="67" t="s">
        <v>891</v>
      </c>
      <c r="C838" s="67" t="s">
        <v>1196</v>
      </c>
      <c r="D838" s="67" t="s">
        <v>1204</v>
      </c>
      <c r="E838" s="67" t="s">
        <v>1474</v>
      </c>
      <c r="F838" s="67" t="s">
        <v>1681</v>
      </c>
      <c r="G838" s="67" t="s">
        <v>8</v>
      </c>
      <c r="H838" s="68">
        <v>5.1388888888888894E-2</v>
      </c>
      <c r="I838" s="68"/>
      <c r="J838" s="68">
        <v>5.1388888888888894E-2</v>
      </c>
      <c r="K838" s="67" t="s">
        <v>1718</v>
      </c>
      <c r="L838" s="67" t="s">
        <v>1204</v>
      </c>
      <c r="M838" s="67" t="s">
        <v>1474</v>
      </c>
    </row>
    <row r="839" spans="1:13" ht="12" customHeight="1" x14ac:dyDescent="0.2">
      <c r="A839" s="78">
        <v>237211</v>
      </c>
      <c r="B839" s="67" t="s">
        <v>892</v>
      </c>
      <c r="C839" s="67" t="s">
        <v>1196</v>
      </c>
      <c r="D839" s="67" t="s">
        <v>1204</v>
      </c>
      <c r="E839" s="67" t="s">
        <v>1476</v>
      </c>
      <c r="F839" s="67" t="s">
        <v>1683</v>
      </c>
      <c r="G839" s="67" t="s">
        <v>7</v>
      </c>
      <c r="H839" s="68">
        <v>6.8263888888888893</v>
      </c>
      <c r="I839" s="68">
        <v>6.8263888888888893</v>
      </c>
      <c r="J839" s="68"/>
      <c r="K839" s="67" t="s">
        <v>1721</v>
      </c>
      <c r="L839" s="67" t="s">
        <v>1204</v>
      </c>
      <c r="M839" s="67" t="s">
        <v>1476</v>
      </c>
    </row>
    <row r="840" spans="1:13" ht="12" customHeight="1" x14ac:dyDescent="0.2">
      <c r="A840" s="78">
        <v>225332</v>
      </c>
      <c r="B840" s="67" t="s">
        <v>893</v>
      </c>
      <c r="C840" s="67" t="s">
        <v>1196</v>
      </c>
      <c r="D840" s="67" t="s">
        <v>1204</v>
      </c>
      <c r="E840" s="67" t="s">
        <v>1477</v>
      </c>
      <c r="F840" s="67" t="s">
        <v>1682</v>
      </c>
      <c r="G840" s="67" t="s">
        <v>7</v>
      </c>
      <c r="H840" s="68">
        <v>9.9999999999999992E-2</v>
      </c>
      <c r="I840" s="68">
        <v>9.9999999999999992E-2</v>
      </c>
      <c r="J840" s="68"/>
      <c r="K840" s="67" t="s">
        <v>1719</v>
      </c>
      <c r="L840" s="67" t="s">
        <v>1204</v>
      </c>
      <c r="M840" s="67" t="s">
        <v>1477</v>
      </c>
    </row>
    <row r="841" spans="1:13" ht="12" customHeight="1" x14ac:dyDescent="0.2">
      <c r="A841" s="78">
        <v>230746</v>
      </c>
      <c r="B841" s="67" t="s">
        <v>894</v>
      </c>
      <c r="C841" s="67" t="s">
        <v>1196</v>
      </c>
      <c r="D841" s="67" t="s">
        <v>1204</v>
      </c>
      <c r="E841" s="67" t="s">
        <v>1478</v>
      </c>
      <c r="F841" s="67" t="s">
        <v>1683</v>
      </c>
      <c r="G841" s="67" t="s">
        <v>8</v>
      </c>
      <c r="H841" s="68">
        <v>2.5243055555555558</v>
      </c>
      <c r="I841" s="68"/>
      <c r="J841" s="68">
        <v>2.5243055555555558</v>
      </c>
      <c r="K841" s="67" t="s">
        <v>1718</v>
      </c>
      <c r="L841" s="67" t="s">
        <v>1204</v>
      </c>
      <c r="M841" s="67" t="s">
        <v>1478</v>
      </c>
    </row>
    <row r="842" spans="1:13" ht="12" customHeight="1" x14ac:dyDescent="0.2">
      <c r="A842" s="78">
        <v>231009</v>
      </c>
      <c r="B842" s="67" t="s">
        <v>895</v>
      </c>
      <c r="C842" s="67" t="s">
        <v>1196</v>
      </c>
      <c r="D842" s="67" t="s">
        <v>1204</v>
      </c>
      <c r="E842" s="67" t="s">
        <v>1478</v>
      </c>
      <c r="F842" s="67" t="s">
        <v>1683</v>
      </c>
      <c r="G842" s="67" t="s">
        <v>8</v>
      </c>
      <c r="H842" s="68">
        <v>1.6208333333333333</v>
      </c>
      <c r="I842" s="68"/>
      <c r="J842" s="68">
        <v>1.6208333333333333</v>
      </c>
      <c r="K842" s="67" t="s">
        <v>1718</v>
      </c>
      <c r="L842" s="67" t="s">
        <v>1204</v>
      </c>
      <c r="M842" s="67" t="s">
        <v>1478</v>
      </c>
    </row>
    <row r="843" spans="1:13" ht="12" customHeight="1" x14ac:dyDescent="0.2">
      <c r="A843" s="78">
        <v>230739</v>
      </c>
      <c r="B843" s="67" t="s">
        <v>896</v>
      </c>
      <c r="C843" s="67" t="s">
        <v>1196</v>
      </c>
      <c r="D843" s="67" t="s">
        <v>1204</v>
      </c>
      <c r="E843" s="67" t="s">
        <v>1478</v>
      </c>
      <c r="F843" s="67" t="s">
        <v>1683</v>
      </c>
      <c r="G843" s="67" t="s">
        <v>8</v>
      </c>
      <c r="H843" s="68">
        <v>0.4152777777777778</v>
      </c>
      <c r="I843" s="68"/>
      <c r="J843" s="68">
        <v>0.4152777777777778</v>
      </c>
      <c r="K843" s="67" t="s">
        <v>1718</v>
      </c>
      <c r="L843" s="67" t="s">
        <v>1204</v>
      </c>
      <c r="M843" s="67" t="s">
        <v>1478</v>
      </c>
    </row>
    <row r="844" spans="1:13" ht="12" customHeight="1" x14ac:dyDescent="0.2">
      <c r="A844" s="78">
        <v>225622</v>
      </c>
      <c r="B844" s="67" t="s">
        <v>897</v>
      </c>
      <c r="C844" s="67" t="s">
        <v>1196</v>
      </c>
      <c r="D844" s="67" t="s">
        <v>1204</v>
      </c>
      <c r="E844" s="67" t="s">
        <v>1478</v>
      </c>
      <c r="F844" s="67" t="s">
        <v>1683</v>
      </c>
      <c r="G844" s="67" t="s">
        <v>8</v>
      </c>
      <c r="H844" s="68">
        <v>8.1250000000000003E-2</v>
      </c>
      <c r="I844" s="68"/>
      <c r="J844" s="68">
        <v>8.1250000000000003E-2</v>
      </c>
      <c r="K844" s="67" t="s">
        <v>1718</v>
      </c>
      <c r="L844" s="67" t="s">
        <v>1204</v>
      </c>
      <c r="M844" s="67" t="s">
        <v>1478</v>
      </c>
    </row>
    <row r="845" spans="1:13" ht="12" customHeight="1" x14ac:dyDescent="0.2">
      <c r="A845" s="78">
        <v>234680</v>
      </c>
      <c r="B845" s="67" t="s">
        <v>898</v>
      </c>
      <c r="C845" s="67" t="s">
        <v>1196</v>
      </c>
      <c r="D845" s="67" t="s">
        <v>1204</v>
      </c>
      <c r="E845" s="67" t="s">
        <v>1476</v>
      </c>
      <c r="F845" s="67" t="s">
        <v>1683</v>
      </c>
      <c r="G845" s="67" t="s">
        <v>8</v>
      </c>
      <c r="H845" s="68">
        <v>1.5972222222222224E-2</v>
      </c>
      <c r="I845" s="68"/>
      <c r="J845" s="68">
        <v>1.5972222222222224E-2</v>
      </c>
      <c r="K845" s="67" t="s">
        <v>1720</v>
      </c>
      <c r="L845" s="67" t="s">
        <v>1204</v>
      </c>
      <c r="M845" s="67" t="s">
        <v>1476</v>
      </c>
    </row>
    <row r="846" spans="1:13" ht="12" customHeight="1" x14ac:dyDescent="0.2">
      <c r="A846" s="78">
        <v>237314</v>
      </c>
      <c r="B846" s="67" t="s">
        <v>899</v>
      </c>
      <c r="C846" s="67" t="s">
        <v>1196</v>
      </c>
      <c r="D846" s="67" t="s">
        <v>1204</v>
      </c>
      <c r="E846" s="67" t="s">
        <v>1479</v>
      </c>
      <c r="F846" s="67" t="s">
        <v>1684</v>
      </c>
      <c r="G846" s="67" t="s">
        <v>8</v>
      </c>
      <c r="H846" s="68">
        <v>1.3062500000000001</v>
      </c>
      <c r="I846" s="68"/>
      <c r="J846" s="68">
        <v>1.3062500000000001</v>
      </c>
      <c r="K846" s="67" t="s">
        <v>1718</v>
      </c>
      <c r="L846" s="67" t="s">
        <v>1204</v>
      </c>
      <c r="M846" s="67" t="s">
        <v>1479</v>
      </c>
    </row>
    <row r="847" spans="1:13" ht="12" customHeight="1" x14ac:dyDescent="0.2">
      <c r="A847" s="78">
        <v>237313</v>
      </c>
      <c r="B847" s="67" t="s">
        <v>900</v>
      </c>
      <c r="C847" s="67" t="s">
        <v>1196</v>
      </c>
      <c r="D847" s="67" t="s">
        <v>1204</v>
      </c>
      <c r="E847" s="67" t="s">
        <v>1479</v>
      </c>
      <c r="F847" s="67" t="s">
        <v>1684</v>
      </c>
      <c r="G847" s="67" t="s">
        <v>8</v>
      </c>
      <c r="H847" s="68">
        <v>1.2604166666666667</v>
      </c>
      <c r="I847" s="68"/>
      <c r="J847" s="68">
        <v>1.2604166666666667</v>
      </c>
      <c r="K847" s="67" t="s">
        <v>1718</v>
      </c>
      <c r="L847" s="67" t="s">
        <v>1204</v>
      </c>
      <c r="M847" s="67" t="s">
        <v>1479</v>
      </c>
    </row>
    <row r="848" spans="1:13" ht="12" customHeight="1" x14ac:dyDescent="0.2">
      <c r="A848" s="78">
        <v>237315</v>
      </c>
      <c r="B848" s="67" t="s">
        <v>901</v>
      </c>
      <c r="C848" s="67" t="s">
        <v>1196</v>
      </c>
      <c r="D848" s="67" t="s">
        <v>1204</v>
      </c>
      <c r="E848" s="67" t="s">
        <v>1479</v>
      </c>
      <c r="F848" s="67" t="s">
        <v>1684</v>
      </c>
      <c r="G848" s="67" t="s">
        <v>8</v>
      </c>
      <c r="H848" s="68">
        <v>0.66111111111111109</v>
      </c>
      <c r="I848" s="68"/>
      <c r="J848" s="68">
        <v>0.66111111111111109</v>
      </c>
      <c r="K848" s="67" t="s">
        <v>1718</v>
      </c>
      <c r="L848" s="67" t="s">
        <v>1204</v>
      </c>
      <c r="M848" s="67" t="s">
        <v>1479</v>
      </c>
    </row>
    <row r="849" spans="1:13" ht="12" customHeight="1" x14ac:dyDescent="0.2">
      <c r="A849" s="78">
        <v>237324</v>
      </c>
      <c r="B849" s="67" t="s">
        <v>902</v>
      </c>
      <c r="C849" s="67" t="s">
        <v>1196</v>
      </c>
      <c r="D849" s="67" t="s">
        <v>1204</v>
      </c>
      <c r="E849" s="67" t="s">
        <v>1480</v>
      </c>
      <c r="F849" s="67" t="s">
        <v>1684</v>
      </c>
      <c r="G849" s="67" t="s">
        <v>8</v>
      </c>
      <c r="H849" s="68">
        <v>0.33333333333333331</v>
      </c>
      <c r="I849" s="68"/>
      <c r="J849" s="68">
        <v>0.33333333333333331</v>
      </c>
      <c r="K849" s="67" t="s">
        <v>1721</v>
      </c>
      <c r="L849" s="67" t="s">
        <v>1204</v>
      </c>
      <c r="M849" s="67" t="s">
        <v>1480</v>
      </c>
    </row>
    <row r="850" spans="1:13" ht="12" customHeight="1" x14ac:dyDescent="0.2">
      <c r="A850" s="78">
        <v>237325</v>
      </c>
      <c r="B850" s="67" t="s">
        <v>903</v>
      </c>
      <c r="C850" s="67" t="s">
        <v>1196</v>
      </c>
      <c r="D850" s="67" t="s">
        <v>1204</v>
      </c>
      <c r="E850" s="67" t="s">
        <v>1480</v>
      </c>
      <c r="F850" s="67" t="s">
        <v>1684</v>
      </c>
      <c r="G850" s="67" t="s">
        <v>8</v>
      </c>
      <c r="H850" s="68">
        <v>0.33333333333333331</v>
      </c>
      <c r="I850" s="68"/>
      <c r="J850" s="68">
        <v>0.33333333333333331</v>
      </c>
      <c r="K850" s="67" t="s">
        <v>1720</v>
      </c>
      <c r="L850" s="67" t="s">
        <v>1204</v>
      </c>
      <c r="M850" s="67" t="s">
        <v>1480</v>
      </c>
    </row>
    <row r="851" spans="1:13" ht="12" customHeight="1" x14ac:dyDescent="0.2">
      <c r="A851" s="78">
        <v>237507</v>
      </c>
      <c r="B851" s="67" t="s">
        <v>904</v>
      </c>
      <c r="C851" s="67" t="s">
        <v>1196</v>
      </c>
      <c r="D851" s="67" t="s">
        <v>1204</v>
      </c>
      <c r="E851" s="67" t="s">
        <v>1481</v>
      </c>
      <c r="F851" s="67" t="s">
        <v>1682</v>
      </c>
      <c r="G851" s="67" t="s">
        <v>8</v>
      </c>
      <c r="H851" s="68">
        <v>4.0972222222222222E-2</v>
      </c>
      <c r="I851" s="68"/>
      <c r="J851" s="68">
        <v>4.0972222222222222E-2</v>
      </c>
      <c r="K851" s="67" t="s">
        <v>1719</v>
      </c>
      <c r="L851" s="67" t="s">
        <v>1204</v>
      </c>
      <c r="M851" s="67" t="s">
        <v>1481</v>
      </c>
    </row>
    <row r="852" spans="1:13" ht="12" customHeight="1" x14ac:dyDescent="0.2">
      <c r="A852" s="78">
        <v>235729</v>
      </c>
      <c r="B852" s="67" t="s">
        <v>905</v>
      </c>
      <c r="C852" s="67" t="s">
        <v>1196</v>
      </c>
      <c r="D852" s="67" t="s">
        <v>1204</v>
      </c>
      <c r="E852" s="67" t="s">
        <v>1482</v>
      </c>
      <c r="F852" s="67" t="s">
        <v>1685</v>
      </c>
      <c r="G852" s="67" t="s">
        <v>7</v>
      </c>
      <c r="H852" s="68">
        <v>0.81458333333333333</v>
      </c>
      <c r="I852" s="68">
        <v>0.81458333333333333</v>
      </c>
      <c r="J852" s="68"/>
      <c r="K852" s="67" t="s">
        <v>1718</v>
      </c>
      <c r="L852" s="67" t="s">
        <v>1204</v>
      </c>
      <c r="M852" s="67" t="s">
        <v>1482</v>
      </c>
    </row>
    <row r="853" spans="1:13" ht="12" customHeight="1" x14ac:dyDescent="0.2">
      <c r="A853" s="78">
        <v>233628</v>
      </c>
      <c r="B853" s="67" t="s">
        <v>906</v>
      </c>
      <c r="C853" s="67" t="s">
        <v>1196</v>
      </c>
      <c r="D853" s="67" t="s">
        <v>1204</v>
      </c>
      <c r="E853" s="67" t="s">
        <v>1482</v>
      </c>
      <c r="F853" s="67" t="s">
        <v>1685</v>
      </c>
      <c r="G853" s="67" t="s">
        <v>7</v>
      </c>
      <c r="H853" s="68">
        <v>3.473611111111111</v>
      </c>
      <c r="I853" s="68">
        <v>3.473611111111111</v>
      </c>
      <c r="J853" s="68"/>
      <c r="K853" s="67" t="s">
        <v>1718</v>
      </c>
      <c r="L853" s="67" t="s">
        <v>1204</v>
      </c>
      <c r="M853" s="67" t="s">
        <v>1482</v>
      </c>
    </row>
    <row r="854" spans="1:13" ht="12" customHeight="1" x14ac:dyDescent="0.2">
      <c r="A854" s="78">
        <v>229872</v>
      </c>
      <c r="B854" s="67" t="s">
        <v>907</v>
      </c>
      <c r="C854" s="67" t="s">
        <v>1196</v>
      </c>
      <c r="D854" s="67" t="s">
        <v>1204</v>
      </c>
      <c r="E854" s="67" t="s">
        <v>1482</v>
      </c>
      <c r="F854" s="67" t="s">
        <v>1685</v>
      </c>
      <c r="G854" s="67" t="s">
        <v>7</v>
      </c>
      <c r="H854" s="68">
        <v>1.1298611111111112</v>
      </c>
      <c r="I854" s="68">
        <v>1.1298611111111112</v>
      </c>
      <c r="J854" s="68"/>
      <c r="K854" s="67" t="s">
        <v>1718</v>
      </c>
      <c r="L854" s="67" t="s">
        <v>1204</v>
      </c>
      <c r="M854" s="67" t="s">
        <v>1482</v>
      </c>
    </row>
    <row r="855" spans="1:13" ht="12" customHeight="1" x14ac:dyDescent="0.2">
      <c r="A855" s="78">
        <v>218563</v>
      </c>
      <c r="B855" s="67" t="s">
        <v>908</v>
      </c>
      <c r="C855" s="67" t="s">
        <v>1196</v>
      </c>
      <c r="D855" s="67" t="s">
        <v>1204</v>
      </c>
      <c r="E855" s="67" t="s">
        <v>1483</v>
      </c>
      <c r="F855" s="67" t="s">
        <v>1682</v>
      </c>
      <c r="G855" s="67" t="s">
        <v>8</v>
      </c>
      <c r="H855" s="68">
        <v>1.2013888888888888</v>
      </c>
      <c r="I855" s="68"/>
      <c r="J855" s="68">
        <v>1.2013888888888888</v>
      </c>
      <c r="K855" s="67" t="s">
        <v>1726</v>
      </c>
      <c r="L855" s="67" t="s">
        <v>1204</v>
      </c>
      <c r="M855" s="67" t="s">
        <v>1483</v>
      </c>
    </row>
    <row r="856" spans="1:13" ht="12" customHeight="1" x14ac:dyDescent="0.2">
      <c r="A856" s="78">
        <v>232766</v>
      </c>
      <c r="B856" s="67" t="s">
        <v>909</v>
      </c>
      <c r="C856" s="67" t="s">
        <v>1196</v>
      </c>
      <c r="D856" s="67" t="s">
        <v>1204</v>
      </c>
      <c r="E856" s="67" t="s">
        <v>1482</v>
      </c>
      <c r="F856" s="67" t="s">
        <v>1685</v>
      </c>
      <c r="G856" s="67" t="s">
        <v>8</v>
      </c>
      <c r="H856" s="68">
        <v>1.1902777777777778</v>
      </c>
      <c r="I856" s="68"/>
      <c r="J856" s="68">
        <v>1.1902777777777778</v>
      </c>
      <c r="K856" s="67" t="s">
        <v>1718</v>
      </c>
      <c r="L856" s="67" t="s">
        <v>1204</v>
      </c>
      <c r="M856" s="67" t="s">
        <v>1482</v>
      </c>
    </row>
    <row r="857" spans="1:13" ht="12" customHeight="1" x14ac:dyDescent="0.2">
      <c r="A857" s="78">
        <v>233559</v>
      </c>
      <c r="B857" s="67" t="s">
        <v>910</v>
      </c>
      <c r="C857" s="67" t="s">
        <v>1196</v>
      </c>
      <c r="D857" s="67" t="s">
        <v>1204</v>
      </c>
      <c r="E857" s="67" t="s">
        <v>1484</v>
      </c>
      <c r="F857" s="67" t="s">
        <v>1685</v>
      </c>
      <c r="G857" s="67" t="s">
        <v>8</v>
      </c>
      <c r="H857" s="68">
        <v>0.87916666666666676</v>
      </c>
      <c r="I857" s="68"/>
      <c r="J857" s="68">
        <v>0.87916666666666676</v>
      </c>
      <c r="K857" s="67" t="s">
        <v>1720</v>
      </c>
      <c r="L857" s="67" t="s">
        <v>1204</v>
      </c>
      <c r="M857" s="67" t="s">
        <v>1484</v>
      </c>
    </row>
    <row r="858" spans="1:13" ht="12" customHeight="1" x14ac:dyDescent="0.2">
      <c r="A858" s="78">
        <v>231169</v>
      </c>
      <c r="B858" s="67" t="s">
        <v>911</v>
      </c>
      <c r="C858" s="67" t="s">
        <v>1196</v>
      </c>
      <c r="D858" s="67" t="s">
        <v>1204</v>
      </c>
      <c r="E858" s="67" t="s">
        <v>1482</v>
      </c>
      <c r="F858" s="67" t="s">
        <v>1685</v>
      </c>
      <c r="G858" s="67" t="s">
        <v>8</v>
      </c>
      <c r="H858" s="68">
        <v>0.49652777777777773</v>
      </c>
      <c r="I858" s="68"/>
      <c r="J858" s="68">
        <v>0.49652777777777773</v>
      </c>
      <c r="K858" s="67" t="s">
        <v>1718</v>
      </c>
      <c r="L858" s="67" t="s">
        <v>1204</v>
      </c>
      <c r="M858" s="67" t="s">
        <v>1482</v>
      </c>
    </row>
    <row r="859" spans="1:13" ht="12" customHeight="1" x14ac:dyDescent="0.2">
      <c r="A859" s="78">
        <v>203351</v>
      </c>
      <c r="B859" s="67" t="s">
        <v>912</v>
      </c>
      <c r="C859" s="67" t="s">
        <v>1196</v>
      </c>
      <c r="D859" s="67" t="s">
        <v>1204</v>
      </c>
      <c r="E859" s="67" t="s">
        <v>1482</v>
      </c>
      <c r="F859" s="67" t="s">
        <v>1685</v>
      </c>
      <c r="G859" s="67" t="s">
        <v>8</v>
      </c>
      <c r="H859" s="68">
        <v>0.46388888888888885</v>
      </c>
      <c r="I859" s="68"/>
      <c r="J859" s="68">
        <v>0.46388888888888885</v>
      </c>
      <c r="K859" s="67" t="s">
        <v>1718</v>
      </c>
      <c r="L859" s="67" t="s">
        <v>1204</v>
      </c>
      <c r="M859" s="67" t="s">
        <v>1482</v>
      </c>
    </row>
    <row r="860" spans="1:13" ht="12" customHeight="1" x14ac:dyDescent="0.2">
      <c r="A860" s="78">
        <v>231447</v>
      </c>
      <c r="B860" s="67" t="s">
        <v>913</v>
      </c>
      <c r="C860" s="67" t="s">
        <v>1196</v>
      </c>
      <c r="D860" s="67" t="s">
        <v>1204</v>
      </c>
      <c r="E860" s="67" t="s">
        <v>1484</v>
      </c>
      <c r="F860" s="67" t="s">
        <v>1685</v>
      </c>
      <c r="G860" s="67" t="s">
        <v>8</v>
      </c>
      <c r="H860" s="68">
        <v>0.1986111111111111</v>
      </c>
      <c r="I860" s="68"/>
      <c r="J860" s="68">
        <v>0.1986111111111111</v>
      </c>
      <c r="K860" s="67" t="s">
        <v>1720</v>
      </c>
      <c r="L860" s="67" t="s">
        <v>1204</v>
      </c>
      <c r="M860" s="67" t="s">
        <v>1484</v>
      </c>
    </row>
    <row r="861" spans="1:13" ht="12" customHeight="1" x14ac:dyDescent="0.2">
      <c r="A861" s="78">
        <v>219325</v>
      </c>
      <c r="B861" s="67" t="s">
        <v>914</v>
      </c>
      <c r="C861" s="67" t="s">
        <v>1196</v>
      </c>
      <c r="D861" s="67" t="s">
        <v>1204</v>
      </c>
      <c r="E861" s="67" t="s">
        <v>1484</v>
      </c>
      <c r="F861" s="67" t="s">
        <v>1685</v>
      </c>
      <c r="G861" s="67" t="s">
        <v>8</v>
      </c>
      <c r="H861" s="68">
        <v>2.9861111111111113E-2</v>
      </c>
      <c r="I861" s="68"/>
      <c r="J861" s="68">
        <v>2.9861111111111113E-2</v>
      </c>
      <c r="K861" s="67" t="s">
        <v>1721</v>
      </c>
      <c r="L861" s="67" t="s">
        <v>1204</v>
      </c>
      <c r="M861" s="67" t="s">
        <v>1484</v>
      </c>
    </row>
    <row r="862" spans="1:13" ht="12" customHeight="1" x14ac:dyDescent="0.2">
      <c r="A862" s="78">
        <v>235743</v>
      </c>
      <c r="B862" s="67" t="s">
        <v>915</v>
      </c>
      <c r="C862" s="67" t="s">
        <v>1196</v>
      </c>
      <c r="D862" s="67" t="s">
        <v>1204</v>
      </c>
      <c r="E862" s="67" t="s">
        <v>1485</v>
      </c>
      <c r="F862" s="67" t="s">
        <v>1686</v>
      </c>
      <c r="G862" s="67" t="s">
        <v>7</v>
      </c>
      <c r="H862" s="68">
        <v>0.26319444444444445</v>
      </c>
      <c r="I862" s="68">
        <v>0.26319444444444445</v>
      </c>
      <c r="J862" s="68"/>
      <c r="K862" s="67" t="s">
        <v>1720</v>
      </c>
      <c r="L862" s="67" t="s">
        <v>1204</v>
      </c>
      <c r="M862" s="67" t="s">
        <v>1485</v>
      </c>
    </row>
    <row r="863" spans="1:13" ht="12" customHeight="1" x14ac:dyDescent="0.2">
      <c r="A863" s="78">
        <v>232809</v>
      </c>
      <c r="B863" s="67" t="s">
        <v>916</v>
      </c>
      <c r="C863" s="67" t="s">
        <v>1196</v>
      </c>
      <c r="D863" s="67" t="s">
        <v>1204</v>
      </c>
      <c r="E863" s="67" t="s">
        <v>1486</v>
      </c>
      <c r="F863" s="67" t="s">
        <v>1686</v>
      </c>
      <c r="G863" s="67" t="s">
        <v>7</v>
      </c>
      <c r="H863" s="68">
        <v>0.4381944444444445</v>
      </c>
      <c r="I863" s="68">
        <v>0.4381944444444445</v>
      </c>
      <c r="J863" s="68"/>
      <c r="K863" s="67" t="s">
        <v>1718</v>
      </c>
      <c r="L863" s="67" t="s">
        <v>1204</v>
      </c>
      <c r="M863" s="67" t="s">
        <v>1486</v>
      </c>
    </row>
    <row r="864" spans="1:13" ht="12" customHeight="1" x14ac:dyDescent="0.2">
      <c r="A864" s="78">
        <v>225679</v>
      </c>
      <c r="B864" s="67" t="s">
        <v>917</v>
      </c>
      <c r="C864" s="67" t="s">
        <v>1196</v>
      </c>
      <c r="D864" s="67" t="s">
        <v>1204</v>
      </c>
      <c r="E864" s="67" t="s">
        <v>1486</v>
      </c>
      <c r="F864" s="67" t="s">
        <v>1686</v>
      </c>
      <c r="G864" s="67" t="s">
        <v>8</v>
      </c>
      <c r="H864" s="68">
        <v>1.1590277777777778</v>
      </c>
      <c r="I864" s="68"/>
      <c r="J864" s="68">
        <v>1.1590277777777778</v>
      </c>
      <c r="K864" s="67" t="s">
        <v>1718</v>
      </c>
      <c r="L864" s="67" t="s">
        <v>1204</v>
      </c>
      <c r="M864" s="67" t="s">
        <v>1486</v>
      </c>
    </row>
    <row r="865" spans="1:13" ht="12" customHeight="1" x14ac:dyDescent="0.2">
      <c r="A865" s="78">
        <v>236862</v>
      </c>
      <c r="B865" s="67" t="s">
        <v>918</v>
      </c>
      <c r="C865" s="67" t="s">
        <v>1196</v>
      </c>
      <c r="D865" s="67" t="s">
        <v>1204</v>
      </c>
      <c r="E865" s="67" t="s">
        <v>1485</v>
      </c>
      <c r="F865" s="67" t="s">
        <v>1686</v>
      </c>
      <c r="G865" s="67" t="s">
        <v>8</v>
      </c>
      <c r="H865" s="68">
        <v>1.09375</v>
      </c>
      <c r="I865" s="68"/>
      <c r="J865" s="68">
        <v>1.09375</v>
      </c>
      <c r="K865" s="67" t="s">
        <v>1720</v>
      </c>
      <c r="L865" s="67" t="s">
        <v>1204</v>
      </c>
      <c r="M865" s="67" t="s">
        <v>1485</v>
      </c>
    </row>
    <row r="866" spans="1:13" ht="12" customHeight="1" x14ac:dyDescent="0.2">
      <c r="A866" s="78">
        <v>203513</v>
      </c>
      <c r="B866" s="67" t="s">
        <v>919</v>
      </c>
      <c r="C866" s="67" t="s">
        <v>1196</v>
      </c>
      <c r="D866" s="67" t="s">
        <v>1204</v>
      </c>
      <c r="E866" s="67" t="s">
        <v>1486</v>
      </c>
      <c r="F866" s="67" t="s">
        <v>1686</v>
      </c>
      <c r="G866" s="67" t="s">
        <v>8</v>
      </c>
      <c r="H866" s="68">
        <v>0.62222222222222223</v>
      </c>
      <c r="I866" s="68"/>
      <c r="J866" s="68">
        <v>0.62222222222222223</v>
      </c>
      <c r="K866" s="67" t="s">
        <v>1718</v>
      </c>
      <c r="L866" s="67" t="s">
        <v>1204</v>
      </c>
      <c r="M866" s="67" t="s">
        <v>1486</v>
      </c>
    </row>
    <row r="867" spans="1:13" ht="12" customHeight="1" x14ac:dyDescent="0.2">
      <c r="A867" s="78">
        <v>225543</v>
      </c>
      <c r="B867" s="67" t="s">
        <v>920</v>
      </c>
      <c r="C867" s="67" t="s">
        <v>1196</v>
      </c>
      <c r="D867" s="67" t="s">
        <v>1204</v>
      </c>
      <c r="E867" s="67" t="s">
        <v>1487</v>
      </c>
      <c r="F867" s="67" t="s">
        <v>1682</v>
      </c>
      <c r="G867" s="67" t="s">
        <v>8</v>
      </c>
      <c r="H867" s="68">
        <v>0.54097222222222219</v>
      </c>
      <c r="I867" s="68"/>
      <c r="J867" s="68">
        <v>0.54097222222222219</v>
      </c>
      <c r="K867" s="67" t="s">
        <v>1719</v>
      </c>
      <c r="L867" s="67" t="s">
        <v>1204</v>
      </c>
      <c r="M867" s="67" t="s">
        <v>1487</v>
      </c>
    </row>
    <row r="868" spans="1:13" ht="12" customHeight="1" x14ac:dyDescent="0.2">
      <c r="A868" s="78">
        <v>236788</v>
      </c>
      <c r="B868" s="67" t="s">
        <v>921</v>
      </c>
      <c r="C868" s="67" t="s">
        <v>1196</v>
      </c>
      <c r="D868" s="67" t="s">
        <v>1204</v>
      </c>
      <c r="E868" s="67" t="s">
        <v>1485</v>
      </c>
      <c r="F868" s="67" t="s">
        <v>1686</v>
      </c>
      <c r="G868" s="67" t="s">
        <v>8</v>
      </c>
      <c r="H868" s="68">
        <v>0.33402777777777781</v>
      </c>
      <c r="I868" s="68"/>
      <c r="J868" s="68">
        <v>0.33402777777777781</v>
      </c>
      <c r="K868" s="67" t="s">
        <v>1721</v>
      </c>
      <c r="L868" s="67" t="s">
        <v>1204</v>
      </c>
      <c r="M868" s="67" t="s">
        <v>1485</v>
      </c>
    </row>
    <row r="869" spans="1:13" ht="12" customHeight="1" x14ac:dyDescent="0.2">
      <c r="A869" s="78">
        <v>233634</v>
      </c>
      <c r="B869" s="67" t="s">
        <v>922</v>
      </c>
      <c r="C869" s="67" t="s">
        <v>1196</v>
      </c>
      <c r="D869" s="67" t="s">
        <v>1204</v>
      </c>
      <c r="E869" s="67" t="s">
        <v>1486</v>
      </c>
      <c r="F869" s="67" t="s">
        <v>1686</v>
      </c>
      <c r="G869" s="67" t="s">
        <v>8</v>
      </c>
      <c r="H869" s="68">
        <v>0.21597222222222223</v>
      </c>
      <c r="I869" s="68"/>
      <c r="J869" s="68">
        <v>0.21597222222222223</v>
      </c>
      <c r="K869" s="67" t="s">
        <v>1718</v>
      </c>
      <c r="L869" s="67" t="s">
        <v>1204</v>
      </c>
      <c r="M869" s="67" t="s">
        <v>1486</v>
      </c>
    </row>
    <row r="870" spans="1:13" ht="12" customHeight="1" x14ac:dyDescent="0.2">
      <c r="A870" s="78">
        <v>234171</v>
      </c>
      <c r="B870" s="67" t="s">
        <v>923</v>
      </c>
      <c r="C870" s="67" t="s">
        <v>1196</v>
      </c>
      <c r="D870" s="67" t="s">
        <v>1204</v>
      </c>
      <c r="E870" s="67" t="s">
        <v>1486</v>
      </c>
      <c r="F870" s="67" t="s">
        <v>1686</v>
      </c>
      <c r="G870" s="67" t="s">
        <v>8</v>
      </c>
      <c r="H870" s="68">
        <v>0.16597222222222222</v>
      </c>
      <c r="I870" s="68"/>
      <c r="J870" s="68">
        <v>0.16597222222222222</v>
      </c>
      <c r="K870" s="67" t="s">
        <v>1718</v>
      </c>
      <c r="L870" s="67" t="s">
        <v>1204</v>
      </c>
      <c r="M870" s="67" t="s">
        <v>1486</v>
      </c>
    </row>
    <row r="871" spans="1:13" ht="12" customHeight="1" x14ac:dyDescent="0.2">
      <c r="A871" s="78">
        <v>237934</v>
      </c>
      <c r="B871" s="67" t="s">
        <v>924</v>
      </c>
      <c r="C871" s="67" t="s">
        <v>1196</v>
      </c>
      <c r="D871" s="67" t="s">
        <v>1204</v>
      </c>
      <c r="E871" s="67" t="s">
        <v>1488</v>
      </c>
      <c r="F871" s="67" t="s">
        <v>1687</v>
      </c>
      <c r="G871" s="67" t="s">
        <v>7</v>
      </c>
      <c r="H871" s="68">
        <v>0.5</v>
      </c>
      <c r="I871" s="68">
        <v>0.5</v>
      </c>
      <c r="J871" s="68"/>
      <c r="K871" s="67" t="s">
        <v>1720</v>
      </c>
      <c r="L871" s="67" t="s">
        <v>1204</v>
      </c>
      <c r="M871" s="67" t="s">
        <v>1488</v>
      </c>
    </row>
    <row r="872" spans="1:13" ht="12" customHeight="1" x14ac:dyDescent="0.2">
      <c r="A872" s="78">
        <v>237565</v>
      </c>
      <c r="B872" s="67" t="s">
        <v>925</v>
      </c>
      <c r="C872" s="67" t="s">
        <v>1196</v>
      </c>
      <c r="D872" s="67" t="s">
        <v>1204</v>
      </c>
      <c r="E872" s="67" t="s">
        <v>1488</v>
      </c>
      <c r="F872" s="67" t="s">
        <v>1687</v>
      </c>
      <c r="G872" s="67" t="s">
        <v>7</v>
      </c>
      <c r="H872" s="68">
        <v>1.4604166666666667</v>
      </c>
      <c r="I872" s="68">
        <v>1.4604166666666667</v>
      </c>
      <c r="J872" s="68"/>
      <c r="K872" s="67" t="s">
        <v>1721</v>
      </c>
      <c r="L872" s="67" t="s">
        <v>1204</v>
      </c>
      <c r="M872" s="67" t="s">
        <v>1488</v>
      </c>
    </row>
    <row r="873" spans="1:13" ht="12" customHeight="1" x14ac:dyDescent="0.2">
      <c r="A873" s="78">
        <v>237380</v>
      </c>
      <c r="B873" s="67" t="s">
        <v>926</v>
      </c>
      <c r="C873" s="67" t="s">
        <v>1196</v>
      </c>
      <c r="D873" s="67" t="s">
        <v>1204</v>
      </c>
      <c r="E873" s="67" t="s">
        <v>1488</v>
      </c>
      <c r="F873" s="67" t="s">
        <v>1687</v>
      </c>
      <c r="G873" s="67" t="s">
        <v>7</v>
      </c>
      <c r="H873" s="68">
        <v>4.7333333333333334</v>
      </c>
      <c r="I873" s="68">
        <v>4.7333333333333334</v>
      </c>
      <c r="J873" s="68"/>
      <c r="K873" s="67" t="s">
        <v>1720</v>
      </c>
      <c r="L873" s="67" t="s">
        <v>1204</v>
      </c>
      <c r="M873" s="67" t="s">
        <v>1488</v>
      </c>
    </row>
    <row r="874" spans="1:13" ht="12" customHeight="1" x14ac:dyDescent="0.2">
      <c r="A874" s="78">
        <v>235838</v>
      </c>
      <c r="B874" s="67" t="s">
        <v>927</v>
      </c>
      <c r="C874" s="67" t="s">
        <v>1196</v>
      </c>
      <c r="D874" s="67" t="s">
        <v>1204</v>
      </c>
      <c r="E874" s="67" t="s">
        <v>1489</v>
      </c>
      <c r="F874" s="67" t="s">
        <v>1687</v>
      </c>
      <c r="G874" s="67" t="s">
        <v>8</v>
      </c>
      <c r="H874" s="68">
        <v>7.0916666666666659</v>
      </c>
      <c r="I874" s="68"/>
      <c r="J874" s="68">
        <v>7.0916666666666659</v>
      </c>
      <c r="K874" s="67" t="s">
        <v>1718</v>
      </c>
      <c r="L874" s="67" t="s">
        <v>1204</v>
      </c>
      <c r="M874" s="67" t="s">
        <v>1489</v>
      </c>
    </row>
    <row r="875" spans="1:13" ht="12" customHeight="1" x14ac:dyDescent="0.2">
      <c r="A875" s="78">
        <v>237704</v>
      </c>
      <c r="B875" s="67" t="s">
        <v>928</v>
      </c>
      <c r="C875" s="67" t="s">
        <v>1196</v>
      </c>
      <c r="D875" s="67" t="s">
        <v>1204</v>
      </c>
      <c r="E875" s="67" t="s">
        <v>1489</v>
      </c>
      <c r="F875" s="67" t="s">
        <v>1687</v>
      </c>
      <c r="G875" s="67" t="s">
        <v>8</v>
      </c>
      <c r="H875" s="68">
        <v>2.9333333333333336</v>
      </c>
      <c r="I875" s="68"/>
      <c r="J875" s="68">
        <v>2.9333333333333336</v>
      </c>
      <c r="K875" s="67" t="s">
        <v>1718</v>
      </c>
      <c r="L875" s="67" t="s">
        <v>1204</v>
      </c>
      <c r="M875" s="67" t="s">
        <v>1489</v>
      </c>
    </row>
    <row r="876" spans="1:13" ht="12" customHeight="1" x14ac:dyDescent="0.2">
      <c r="A876" s="78">
        <v>236626</v>
      </c>
      <c r="B876" s="67" t="s">
        <v>929</v>
      </c>
      <c r="C876" s="67" t="s">
        <v>1196</v>
      </c>
      <c r="D876" s="67" t="s">
        <v>1204</v>
      </c>
      <c r="E876" s="67" t="s">
        <v>1489</v>
      </c>
      <c r="F876" s="67" t="s">
        <v>1687</v>
      </c>
      <c r="G876" s="67" t="s">
        <v>8</v>
      </c>
      <c r="H876" s="68">
        <v>1.3368055555555556</v>
      </c>
      <c r="I876" s="68"/>
      <c r="J876" s="68">
        <v>1.3368055555555556</v>
      </c>
      <c r="K876" s="67" t="s">
        <v>1718</v>
      </c>
      <c r="L876" s="67" t="s">
        <v>1204</v>
      </c>
      <c r="M876" s="67" t="s">
        <v>1489</v>
      </c>
    </row>
    <row r="877" spans="1:13" ht="12" customHeight="1" x14ac:dyDescent="0.2">
      <c r="A877" s="78">
        <v>201441</v>
      </c>
      <c r="B877" s="67" t="s">
        <v>930</v>
      </c>
      <c r="C877" s="67" t="s">
        <v>1196</v>
      </c>
      <c r="D877" s="67" t="s">
        <v>1204</v>
      </c>
      <c r="E877" s="67" t="s">
        <v>1490</v>
      </c>
      <c r="F877" s="67" t="s">
        <v>1688</v>
      </c>
      <c r="G877" s="67" t="s">
        <v>7</v>
      </c>
      <c r="H877" s="68">
        <v>6.1020833333333337</v>
      </c>
      <c r="I877" s="68">
        <v>6.1020833333333337</v>
      </c>
      <c r="J877" s="68"/>
      <c r="K877" s="67" t="s">
        <v>1720</v>
      </c>
      <c r="L877" s="67" t="s">
        <v>1204</v>
      </c>
      <c r="M877" s="67" t="s">
        <v>1490</v>
      </c>
    </row>
    <row r="878" spans="1:13" ht="12" customHeight="1" x14ac:dyDescent="0.2">
      <c r="A878" s="78">
        <v>232418</v>
      </c>
      <c r="B878" s="67" t="s">
        <v>931</v>
      </c>
      <c r="C878" s="67" t="s">
        <v>1196</v>
      </c>
      <c r="D878" s="67" t="s">
        <v>1204</v>
      </c>
      <c r="E878" s="67" t="s">
        <v>1491</v>
      </c>
      <c r="F878" s="67" t="s">
        <v>1688</v>
      </c>
      <c r="G878" s="67" t="s">
        <v>7</v>
      </c>
      <c r="H878" s="68">
        <v>10.553472222222222</v>
      </c>
      <c r="I878" s="68">
        <v>10.553472222222222</v>
      </c>
      <c r="J878" s="68"/>
      <c r="K878" s="67" t="s">
        <v>1718</v>
      </c>
      <c r="L878" s="67" t="s">
        <v>1204</v>
      </c>
      <c r="M878" s="67" t="s">
        <v>1491</v>
      </c>
    </row>
    <row r="879" spans="1:13" ht="12" customHeight="1" x14ac:dyDescent="0.2">
      <c r="A879" s="78">
        <v>233959</v>
      </c>
      <c r="B879" s="67" t="s">
        <v>932</v>
      </c>
      <c r="C879" s="67" t="s">
        <v>1196</v>
      </c>
      <c r="D879" s="67" t="s">
        <v>1204</v>
      </c>
      <c r="E879" s="67" t="s">
        <v>1491</v>
      </c>
      <c r="F879" s="67" t="s">
        <v>1688</v>
      </c>
      <c r="G879" s="67" t="s">
        <v>7</v>
      </c>
      <c r="H879" s="68">
        <v>8.6</v>
      </c>
      <c r="I879" s="68">
        <v>8.6</v>
      </c>
      <c r="J879" s="68"/>
      <c r="K879" s="67" t="s">
        <v>1718</v>
      </c>
      <c r="L879" s="67" t="s">
        <v>1204</v>
      </c>
      <c r="M879" s="67" t="s">
        <v>1491</v>
      </c>
    </row>
    <row r="880" spans="1:13" ht="12" customHeight="1" x14ac:dyDescent="0.2">
      <c r="A880" s="78">
        <v>229701</v>
      </c>
      <c r="B880" s="67" t="s">
        <v>933</v>
      </c>
      <c r="C880" s="67" t="s">
        <v>1196</v>
      </c>
      <c r="D880" s="67" t="s">
        <v>1204</v>
      </c>
      <c r="E880" s="67" t="s">
        <v>1491</v>
      </c>
      <c r="F880" s="67" t="s">
        <v>1688</v>
      </c>
      <c r="G880" s="67" t="s">
        <v>7</v>
      </c>
      <c r="H880" s="68">
        <v>7.9736111111111114</v>
      </c>
      <c r="I880" s="68">
        <v>7.9736111111111114</v>
      </c>
      <c r="J880" s="68"/>
      <c r="K880" s="67" t="s">
        <v>1718</v>
      </c>
      <c r="L880" s="67" t="s">
        <v>1204</v>
      </c>
      <c r="M880" s="67" t="s">
        <v>1491</v>
      </c>
    </row>
    <row r="881" spans="1:13" ht="12" customHeight="1" x14ac:dyDescent="0.2">
      <c r="A881" s="78">
        <v>201126</v>
      </c>
      <c r="B881" s="67" t="s">
        <v>934</v>
      </c>
      <c r="C881" s="67" t="s">
        <v>1196</v>
      </c>
      <c r="D881" s="67" t="s">
        <v>1204</v>
      </c>
      <c r="E881" s="67" t="s">
        <v>1490</v>
      </c>
      <c r="F881" s="67" t="s">
        <v>1688</v>
      </c>
      <c r="G881" s="67" t="s">
        <v>7</v>
      </c>
      <c r="H881" s="68">
        <v>6.2499999999999995E-3</v>
      </c>
      <c r="I881" s="68">
        <v>6.2499999999999995E-3</v>
      </c>
      <c r="J881" s="68"/>
      <c r="K881" s="67" t="s">
        <v>1721</v>
      </c>
      <c r="L881" s="67" t="s">
        <v>1204</v>
      </c>
      <c r="M881" s="67" t="s">
        <v>1490</v>
      </c>
    </row>
    <row r="882" spans="1:13" ht="12" customHeight="1" x14ac:dyDescent="0.2">
      <c r="A882" s="78">
        <v>203531</v>
      </c>
      <c r="B882" s="67" t="s">
        <v>935</v>
      </c>
      <c r="C882" s="67" t="s">
        <v>1196</v>
      </c>
      <c r="D882" s="67" t="s">
        <v>1204</v>
      </c>
      <c r="E882" s="67" t="s">
        <v>1491</v>
      </c>
      <c r="F882" s="67" t="s">
        <v>1688</v>
      </c>
      <c r="G882" s="67" t="s">
        <v>7</v>
      </c>
      <c r="H882" s="68">
        <v>5.40625</v>
      </c>
      <c r="I882" s="68">
        <v>5.40625</v>
      </c>
      <c r="J882" s="68"/>
      <c r="K882" s="67" t="s">
        <v>1718</v>
      </c>
      <c r="L882" s="67" t="s">
        <v>1204</v>
      </c>
      <c r="M882" s="67" t="s">
        <v>1491</v>
      </c>
    </row>
    <row r="883" spans="1:13" ht="12" customHeight="1" x14ac:dyDescent="0.2">
      <c r="A883" s="78">
        <v>202742</v>
      </c>
      <c r="B883" s="67" t="s">
        <v>936</v>
      </c>
      <c r="C883" s="67" t="s">
        <v>1196</v>
      </c>
      <c r="D883" s="67" t="s">
        <v>1204</v>
      </c>
      <c r="E883" s="67" t="s">
        <v>1491</v>
      </c>
      <c r="F883" s="67" t="s">
        <v>1688</v>
      </c>
      <c r="G883" s="67" t="s">
        <v>7</v>
      </c>
      <c r="H883" s="68">
        <v>7.7166666666666668</v>
      </c>
      <c r="I883" s="68">
        <v>7.7166666666666668</v>
      </c>
      <c r="J883" s="68"/>
      <c r="K883" s="67" t="s">
        <v>1718</v>
      </c>
      <c r="L883" s="67" t="s">
        <v>1204</v>
      </c>
      <c r="M883" s="67" t="s">
        <v>1491</v>
      </c>
    </row>
    <row r="884" spans="1:13" ht="12" customHeight="1" x14ac:dyDescent="0.2">
      <c r="A884" s="78">
        <v>200117</v>
      </c>
      <c r="B884" s="67" t="s">
        <v>937</v>
      </c>
      <c r="C884" s="67" t="s">
        <v>1196</v>
      </c>
      <c r="D884" s="67" t="s">
        <v>1204</v>
      </c>
      <c r="E884" s="67" t="s">
        <v>1492</v>
      </c>
      <c r="F884" s="67" t="s">
        <v>1682</v>
      </c>
      <c r="G884" s="67" t="s">
        <v>8</v>
      </c>
      <c r="H884" s="68">
        <v>0.85555555555555562</v>
      </c>
      <c r="I884" s="68"/>
      <c r="J884" s="68">
        <v>0.85555555555555562</v>
      </c>
      <c r="K884" s="67" t="s">
        <v>1726</v>
      </c>
      <c r="L884" s="67" t="s">
        <v>1204</v>
      </c>
      <c r="M884" s="67" t="s">
        <v>1492</v>
      </c>
    </row>
    <row r="885" spans="1:13" ht="12" customHeight="1" x14ac:dyDescent="0.2">
      <c r="A885" s="78">
        <v>232818</v>
      </c>
      <c r="B885" s="67" t="s">
        <v>938</v>
      </c>
      <c r="C885" s="67" t="s">
        <v>1196</v>
      </c>
      <c r="D885" s="67" t="s">
        <v>1204</v>
      </c>
      <c r="E885" s="67" t="s">
        <v>1493</v>
      </c>
      <c r="F885" s="67" t="s">
        <v>1689</v>
      </c>
      <c r="G885" s="67" t="s">
        <v>7</v>
      </c>
      <c r="H885" s="68">
        <v>0.53125</v>
      </c>
      <c r="I885" s="68">
        <v>0.53125</v>
      </c>
      <c r="J885" s="68"/>
      <c r="K885" s="67" t="s">
        <v>1718</v>
      </c>
      <c r="L885" s="67" t="s">
        <v>1204</v>
      </c>
      <c r="M885" s="67" t="s">
        <v>1493</v>
      </c>
    </row>
    <row r="886" spans="1:13" ht="12" customHeight="1" x14ac:dyDescent="0.2">
      <c r="A886" s="78">
        <v>234576</v>
      </c>
      <c r="B886" s="67" t="s">
        <v>939</v>
      </c>
      <c r="C886" s="67" t="s">
        <v>1196</v>
      </c>
      <c r="D886" s="67" t="s">
        <v>1204</v>
      </c>
      <c r="E886" s="67" t="s">
        <v>1493</v>
      </c>
      <c r="F886" s="67" t="s">
        <v>1689</v>
      </c>
      <c r="G886" s="67" t="s">
        <v>7</v>
      </c>
      <c r="H886" s="68">
        <v>8.5416666666666655E-2</v>
      </c>
      <c r="I886" s="68">
        <v>8.5416666666666655E-2</v>
      </c>
      <c r="J886" s="68"/>
      <c r="K886" s="67" t="s">
        <v>1718</v>
      </c>
      <c r="L886" s="67" t="s">
        <v>1204</v>
      </c>
      <c r="M886" s="67" t="s">
        <v>1493</v>
      </c>
    </row>
    <row r="887" spans="1:13" ht="12" customHeight="1" x14ac:dyDescent="0.2">
      <c r="A887" s="78">
        <v>232817</v>
      </c>
      <c r="B887" s="67" t="s">
        <v>940</v>
      </c>
      <c r="C887" s="67" t="s">
        <v>1196</v>
      </c>
      <c r="D887" s="67" t="s">
        <v>1204</v>
      </c>
      <c r="E887" s="67" t="s">
        <v>1494</v>
      </c>
      <c r="F887" s="67" t="s">
        <v>1689</v>
      </c>
      <c r="G887" s="67" t="s">
        <v>7</v>
      </c>
      <c r="H887" s="68">
        <v>1.7604166666666665</v>
      </c>
      <c r="I887" s="68">
        <v>1.7604166666666665</v>
      </c>
      <c r="J887" s="68"/>
      <c r="K887" s="67" t="s">
        <v>1721</v>
      </c>
      <c r="L887" s="67" t="s">
        <v>1204</v>
      </c>
      <c r="M887" s="67" t="s">
        <v>1494</v>
      </c>
    </row>
    <row r="888" spans="1:13" ht="12" customHeight="1" x14ac:dyDescent="0.2">
      <c r="A888" s="78">
        <v>233016</v>
      </c>
      <c r="B888" s="67" t="s">
        <v>941</v>
      </c>
      <c r="C888" s="67" t="s">
        <v>1196</v>
      </c>
      <c r="D888" s="67" t="s">
        <v>1204</v>
      </c>
      <c r="E888" s="67" t="s">
        <v>1495</v>
      </c>
      <c r="F888" s="67" t="s">
        <v>1682</v>
      </c>
      <c r="G888" s="67" t="s">
        <v>7</v>
      </c>
      <c r="H888" s="68">
        <v>0.27499999999999997</v>
      </c>
      <c r="I888" s="68">
        <v>0.27499999999999997</v>
      </c>
      <c r="J888" s="68"/>
      <c r="K888" s="67" t="s">
        <v>1719</v>
      </c>
      <c r="L888" s="67" t="s">
        <v>1204</v>
      </c>
      <c r="M888" s="67" t="s">
        <v>1495</v>
      </c>
    </row>
    <row r="889" spans="1:13" ht="12" customHeight="1" x14ac:dyDescent="0.2">
      <c r="A889" s="78">
        <v>222225</v>
      </c>
      <c r="B889" s="67" t="s">
        <v>942</v>
      </c>
      <c r="C889" s="67" t="s">
        <v>1196</v>
      </c>
      <c r="D889" s="67" t="s">
        <v>1204</v>
      </c>
      <c r="E889" s="67" t="s">
        <v>1494</v>
      </c>
      <c r="F889" s="67" t="s">
        <v>1689</v>
      </c>
      <c r="G889" s="67" t="s">
        <v>7</v>
      </c>
      <c r="H889" s="68">
        <v>0.18958333333333333</v>
      </c>
      <c r="I889" s="68">
        <v>0.18958333333333333</v>
      </c>
      <c r="J889" s="68"/>
      <c r="K889" s="67" t="s">
        <v>1720</v>
      </c>
      <c r="L889" s="67" t="s">
        <v>1204</v>
      </c>
      <c r="M889" s="67" t="s">
        <v>1494</v>
      </c>
    </row>
    <row r="890" spans="1:13" ht="12" customHeight="1" x14ac:dyDescent="0.2">
      <c r="A890" s="78">
        <v>232796</v>
      </c>
      <c r="B890" s="67" t="s">
        <v>943</v>
      </c>
      <c r="C890" s="67" t="s">
        <v>1196</v>
      </c>
      <c r="D890" s="67" t="s">
        <v>1204</v>
      </c>
      <c r="E890" s="67" t="s">
        <v>1493</v>
      </c>
      <c r="F890" s="67" t="s">
        <v>1689</v>
      </c>
      <c r="G890" s="67" t="s">
        <v>7</v>
      </c>
      <c r="H890" s="68">
        <v>1.5881944444444445</v>
      </c>
      <c r="I890" s="68">
        <v>1.5881944444444445</v>
      </c>
      <c r="J890" s="68"/>
      <c r="K890" s="67" t="s">
        <v>1718</v>
      </c>
      <c r="L890" s="67" t="s">
        <v>1204</v>
      </c>
      <c r="M890" s="67" t="s">
        <v>1493</v>
      </c>
    </row>
    <row r="891" spans="1:13" ht="12" customHeight="1" x14ac:dyDescent="0.2">
      <c r="A891" s="78">
        <v>232797</v>
      </c>
      <c r="B891" s="67" t="s">
        <v>944</v>
      </c>
      <c r="C891" s="67" t="s">
        <v>1196</v>
      </c>
      <c r="D891" s="67" t="s">
        <v>1204</v>
      </c>
      <c r="E891" s="67" t="s">
        <v>1493</v>
      </c>
      <c r="F891" s="67" t="s">
        <v>1689</v>
      </c>
      <c r="G891" s="67" t="s">
        <v>8</v>
      </c>
      <c r="H891" s="68">
        <v>3.0874999999999999</v>
      </c>
      <c r="I891" s="68"/>
      <c r="J891" s="68">
        <v>3.0874999999999999</v>
      </c>
      <c r="K891" s="67" t="s">
        <v>1718</v>
      </c>
      <c r="L891" s="67" t="s">
        <v>1204</v>
      </c>
      <c r="M891" s="67" t="s">
        <v>1493</v>
      </c>
    </row>
    <row r="892" spans="1:13" ht="12" customHeight="1" x14ac:dyDescent="0.2">
      <c r="A892" s="78">
        <v>225454</v>
      </c>
      <c r="B892" s="67" t="s">
        <v>945</v>
      </c>
      <c r="C892" s="67" t="s">
        <v>1196</v>
      </c>
      <c r="D892" s="67" t="s">
        <v>1204</v>
      </c>
      <c r="E892" s="67" t="s">
        <v>1496</v>
      </c>
      <c r="F892" s="67" t="s">
        <v>1690</v>
      </c>
      <c r="G892" s="67" t="s">
        <v>7</v>
      </c>
      <c r="H892" s="68">
        <v>5.4118055555555555</v>
      </c>
      <c r="I892" s="68">
        <v>5.4118055555555555</v>
      </c>
      <c r="J892" s="68"/>
      <c r="K892" s="67" t="s">
        <v>1721</v>
      </c>
      <c r="L892" s="67" t="s">
        <v>1204</v>
      </c>
      <c r="M892" s="67" t="s">
        <v>1496</v>
      </c>
    </row>
    <row r="893" spans="1:13" ht="12" customHeight="1" x14ac:dyDescent="0.2">
      <c r="A893" s="78">
        <v>225453</v>
      </c>
      <c r="B893" s="67" t="s">
        <v>946</v>
      </c>
      <c r="C893" s="67" t="s">
        <v>1196</v>
      </c>
      <c r="D893" s="67" t="s">
        <v>1204</v>
      </c>
      <c r="E893" s="67" t="s">
        <v>1496</v>
      </c>
      <c r="F893" s="67" t="s">
        <v>1690</v>
      </c>
      <c r="G893" s="67" t="s">
        <v>7</v>
      </c>
      <c r="H893" s="68">
        <v>8.5111111111111111</v>
      </c>
      <c r="I893" s="68">
        <v>8.5111111111111111</v>
      </c>
      <c r="J893" s="68"/>
      <c r="K893" s="67" t="s">
        <v>1720</v>
      </c>
      <c r="L893" s="67" t="s">
        <v>1204</v>
      </c>
      <c r="M893" s="67" t="s">
        <v>1496</v>
      </c>
    </row>
    <row r="894" spans="1:13" ht="12" customHeight="1" x14ac:dyDescent="0.2">
      <c r="A894" s="78">
        <v>231115</v>
      </c>
      <c r="B894" s="67" t="s">
        <v>947</v>
      </c>
      <c r="C894" s="67" t="s">
        <v>1196</v>
      </c>
      <c r="D894" s="67" t="s">
        <v>1204</v>
      </c>
      <c r="E894" s="67" t="s">
        <v>1497</v>
      </c>
      <c r="F894" s="67" t="s">
        <v>1690</v>
      </c>
      <c r="G894" s="67" t="s">
        <v>7</v>
      </c>
      <c r="H894" s="68">
        <v>4.3493055555555555</v>
      </c>
      <c r="I894" s="68">
        <v>4.3493055555555555</v>
      </c>
      <c r="J894" s="68"/>
      <c r="K894" s="67" t="s">
        <v>1718</v>
      </c>
      <c r="L894" s="67" t="s">
        <v>1204</v>
      </c>
      <c r="M894" s="67" t="s">
        <v>1497</v>
      </c>
    </row>
    <row r="895" spans="1:13" ht="12" customHeight="1" x14ac:dyDescent="0.2">
      <c r="A895" s="78">
        <v>231116</v>
      </c>
      <c r="B895" s="67" t="s">
        <v>948</v>
      </c>
      <c r="C895" s="67" t="s">
        <v>1196</v>
      </c>
      <c r="D895" s="67" t="s">
        <v>1204</v>
      </c>
      <c r="E895" s="67" t="s">
        <v>1497</v>
      </c>
      <c r="F895" s="67" t="s">
        <v>1690</v>
      </c>
      <c r="G895" s="67" t="s">
        <v>8</v>
      </c>
      <c r="H895" s="68">
        <v>4.5354166666666664</v>
      </c>
      <c r="I895" s="68"/>
      <c r="J895" s="68">
        <v>4.5354166666666664</v>
      </c>
      <c r="K895" s="67" t="s">
        <v>1718</v>
      </c>
      <c r="L895" s="67" t="s">
        <v>1204</v>
      </c>
      <c r="M895" s="67" t="s">
        <v>1497</v>
      </c>
    </row>
    <row r="896" spans="1:13" ht="12" customHeight="1" x14ac:dyDescent="0.2">
      <c r="A896" s="78">
        <v>225392</v>
      </c>
      <c r="B896" s="67" t="s">
        <v>949</v>
      </c>
      <c r="C896" s="67" t="s">
        <v>1196</v>
      </c>
      <c r="D896" s="67" t="s">
        <v>1204</v>
      </c>
      <c r="E896" s="67" t="s">
        <v>1497</v>
      </c>
      <c r="F896" s="67" t="s">
        <v>1690</v>
      </c>
      <c r="G896" s="67" t="s">
        <v>8</v>
      </c>
      <c r="H896" s="68">
        <v>4.2444444444444445</v>
      </c>
      <c r="I896" s="68"/>
      <c r="J896" s="68">
        <v>4.2444444444444445</v>
      </c>
      <c r="K896" s="67" t="s">
        <v>1718</v>
      </c>
      <c r="L896" s="67" t="s">
        <v>1204</v>
      </c>
      <c r="M896" s="67" t="s">
        <v>1497</v>
      </c>
    </row>
    <row r="897" spans="1:13" ht="12" customHeight="1" x14ac:dyDescent="0.2">
      <c r="A897" s="78">
        <v>234533</v>
      </c>
      <c r="B897" s="67" t="s">
        <v>950</v>
      </c>
      <c r="C897" s="67" t="s">
        <v>1196</v>
      </c>
      <c r="D897" s="67" t="s">
        <v>1204</v>
      </c>
      <c r="E897" s="67" t="s">
        <v>1497</v>
      </c>
      <c r="F897" s="67" t="s">
        <v>1690</v>
      </c>
      <c r="G897" s="67" t="s">
        <v>8</v>
      </c>
      <c r="H897" s="68">
        <v>3.6875</v>
      </c>
      <c r="I897" s="68"/>
      <c r="J897" s="68">
        <v>3.6875</v>
      </c>
      <c r="K897" s="67" t="s">
        <v>1718</v>
      </c>
      <c r="L897" s="67" t="s">
        <v>1204</v>
      </c>
      <c r="M897" s="67" t="s">
        <v>1497</v>
      </c>
    </row>
    <row r="898" spans="1:13" ht="12" customHeight="1" x14ac:dyDescent="0.2">
      <c r="A898" s="78">
        <v>229447</v>
      </c>
      <c r="B898" s="67" t="s">
        <v>951</v>
      </c>
      <c r="C898" s="67" t="s">
        <v>1196</v>
      </c>
      <c r="D898" s="67" t="s">
        <v>1204</v>
      </c>
      <c r="E898" s="67" t="s">
        <v>1497</v>
      </c>
      <c r="F898" s="67" t="s">
        <v>1690</v>
      </c>
      <c r="G898" s="67" t="s">
        <v>8</v>
      </c>
      <c r="H898" s="68">
        <v>3.6472222222222221</v>
      </c>
      <c r="I898" s="68"/>
      <c r="J898" s="68">
        <v>3.6472222222222221</v>
      </c>
      <c r="K898" s="67" t="s">
        <v>1718</v>
      </c>
      <c r="L898" s="67" t="s">
        <v>1204</v>
      </c>
      <c r="M898" s="67" t="s">
        <v>1497</v>
      </c>
    </row>
    <row r="899" spans="1:13" ht="12" customHeight="1" x14ac:dyDescent="0.2">
      <c r="A899" s="78">
        <v>234938</v>
      </c>
      <c r="B899" s="67" t="s">
        <v>952</v>
      </c>
      <c r="C899" s="67" t="s">
        <v>1196</v>
      </c>
      <c r="D899" s="67" t="s">
        <v>1204</v>
      </c>
      <c r="E899" s="67" t="s">
        <v>1498</v>
      </c>
      <c r="F899" s="67" t="s">
        <v>1682</v>
      </c>
      <c r="G899" s="67" t="s">
        <v>8</v>
      </c>
      <c r="H899" s="68">
        <v>1.0048611111111112</v>
      </c>
      <c r="I899" s="68"/>
      <c r="J899" s="68">
        <v>1.0048611111111112</v>
      </c>
      <c r="K899" s="67" t="s">
        <v>1719</v>
      </c>
      <c r="L899" s="67" t="s">
        <v>1204</v>
      </c>
      <c r="M899" s="67" t="s">
        <v>1498</v>
      </c>
    </row>
    <row r="900" spans="1:13" ht="12" customHeight="1" x14ac:dyDescent="0.2">
      <c r="A900" s="78">
        <v>238220</v>
      </c>
      <c r="B900" s="67" t="s">
        <v>953</v>
      </c>
      <c r="C900" s="67" t="s">
        <v>1196</v>
      </c>
      <c r="D900" s="67" t="s">
        <v>1204</v>
      </c>
      <c r="E900" s="67" t="s">
        <v>1499</v>
      </c>
      <c r="F900" s="67" t="s">
        <v>1691</v>
      </c>
      <c r="G900" s="67" t="s">
        <v>7</v>
      </c>
      <c r="H900" s="68">
        <v>0.3666666666666667</v>
      </c>
      <c r="I900" s="68">
        <v>0.3666666666666667</v>
      </c>
      <c r="J900" s="68"/>
      <c r="K900" s="67" t="s">
        <v>1718</v>
      </c>
      <c r="L900" s="67" t="s">
        <v>1204</v>
      </c>
      <c r="M900" s="67" t="s">
        <v>1499</v>
      </c>
    </row>
    <row r="901" spans="1:13" ht="12" customHeight="1" x14ac:dyDescent="0.2">
      <c r="A901" s="78">
        <v>237209</v>
      </c>
      <c r="B901" s="67" t="s">
        <v>954</v>
      </c>
      <c r="C901" s="67" t="s">
        <v>1196</v>
      </c>
      <c r="D901" s="67" t="s">
        <v>1204</v>
      </c>
      <c r="E901" s="67" t="s">
        <v>1499</v>
      </c>
      <c r="F901" s="67" t="s">
        <v>1691</v>
      </c>
      <c r="G901" s="67" t="s">
        <v>7</v>
      </c>
      <c r="H901" s="68">
        <v>1.3972222222222221</v>
      </c>
      <c r="I901" s="68">
        <v>1.3972222222222221</v>
      </c>
      <c r="J901" s="68"/>
      <c r="K901" s="67" t="s">
        <v>1718</v>
      </c>
      <c r="L901" s="67" t="s">
        <v>1204</v>
      </c>
      <c r="M901" s="67" t="s">
        <v>1499</v>
      </c>
    </row>
    <row r="902" spans="1:13" ht="12" customHeight="1" x14ac:dyDescent="0.2">
      <c r="A902" s="78">
        <v>235804</v>
      </c>
      <c r="B902" s="67" t="s">
        <v>955</v>
      </c>
      <c r="C902" s="67" t="s">
        <v>1196</v>
      </c>
      <c r="D902" s="67" t="s">
        <v>1204</v>
      </c>
      <c r="E902" s="67" t="s">
        <v>1500</v>
      </c>
      <c r="F902" s="67" t="s">
        <v>1691</v>
      </c>
      <c r="G902" s="67" t="s">
        <v>7</v>
      </c>
      <c r="H902" s="68">
        <v>9.8868055555555561</v>
      </c>
      <c r="I902" s="68">
        <v>9.8868055555555561</v>
      </c>
      <c r="J902" s="68"/>
      <c r="K902" s="67" t="s">
        <v>1721</v>
      </c>
      <c r="L902" s="67" t="s">
        <v>1204</v>
      </c>
      <c r="M902" s="67" t="s">
        <v>1500</v>
      </c>
    </row>
    <row r="903" spans="1:13" ht="12" customHeight="1" x14ac:dyDescent="0.2">
      <c r="A903" s="78">
        <v>235432</v>
      </c>
      <c r="B903" s="67" t="s">
        <v>956</v>
      </c>
      <c r="C903" s="67" t="s">
        <v>1196</v>
      </c>
      <c r="D903" s="67" t="s">
        <v>1204</v>
      </c>
      <c r="E903" s="67" t="s">
        <v>1499</v>
      </c>
      <c r="F903" s="67" t="s">
        <v>1691</v>
      </c>
      <c r="G903" s="67" t="s">
        <v>8</v>
      </c>
      <c r="H903" s="68">
        <v>1.3479166666666667</v>
      </c>
      <c r="I903" s="68"/>
      <c r="J903" s="68">
        <v>1.3479166666666667</v>
      </c>
      <c r="K903" s="67" t="s">
        <v>1718</v>
      </c>
      <c r="L903" s="67" t="s">
        <v>1204</v>
      </c>
      <c r="M903" s="67" t="s">
        <v>1499</v>
      </c>
    </row>
    <row r="904" spans="1:13" ht="12" customHeight="1" x14ac:dyDescent="0.2">
      <c r="A904" s="78">
        <v>238218</v>
      </c>
      <c r="B904" s="67" t="s">
        <v>957</v>
      </c>
      <c r="C904" s="67" t="s">
        <v>1196</v>
      </c>
      <c r="D904" s="67" t="s">
        <v>1204</v>
      </c>
      <c r="E904" s="67" t="s">
        <v>1500</v>
      </c>
      <c r="F904" s="67" t="s">
        <v>1691</v>
      </c>
      <c r="G904" s="67" t="s">
        <v>8</v>
      </c>
      <c r="H904" s="68">
        <v>0.27430555555555552</v>
      </c>
      <c r="I904" s="68"/>
      <c r="J904" s="68">
        <v>0.27430555555555552</v>
      </c>
      <c r="K904" s="67" t="s">
        <v>1720</v>
      </c>
      <c r="L904" s="67" t="s">
        <v>1204</v>
      </c>
      <c r="M904" s="67" t="s">
        <v>1500</v>
      </c>
    </row>
    <row r="905" spans="1:13" ht="12" customHeight="1" x14ac:dyDescent="0.2">
      <c r="A905" s="78">
        <v>225462</v>
      </c>
      <c r="B905" s="67" t="s">
        <v>958</v>
      </c>
      <c r="C905" s="67" t="s">
        <v>1196</v>
      </c>
      <c r="D905" s="67" t="s">
        <v>1204</v>
      </c>
      <c r="E905" s="67" t="s">
        <v>1501</v>
      </c>
      <c r="F905" s="67" t="s">
        <v>1692</v>
      </c>
      <c r="G905" s="67" t="s">
        <v>7</v>
      </c>
      <c r="H905" s="68">
        <v>7.7777777777777779E-2</v>
      </c>
      <c r="I905" s="68">
        <v>7.7777777777777779E-2</v>
      </c>
      <c r="J905" s="68"/>
      <c r="K905" s="67" t="s">
        <v>1720</v>
      </c>
      <c r="L905" s="67" t="s">
        <v>1204</v>
      </c>
      <c r="M905" s="67" t="s">
        <v>1501</v>
      </c>
    </row>
    <row r="906" spans="1:13" ht="12" customHeight="1" x14ac:dyDescent="0.2">
      <c r="A906" s="78">
        <v>223055</v>
      </c>
      <c r="B906" s="67" t="s">
        <v>959</v>
      </c>
      <c r="C906" s="67" t="s">
        <v>1196</v>
      </c>
      <c r="D906" s="67" t="s">
        <v>1204</v>
      </c>
      <c r="E906" s="67" t="s">
        <v>1502</v>
      </c>
      <c r="F906" s="67" t="s">
        <v>1692</v>
      </c>
      <c r="G906" s="67" t="s">
        <v>7</v>
      </c>
      <c r="H906" s="68">
        <v>0.75902777777777775</v>
      </c>
      <c r="I906" s="68">
        <v>0.75902777777777775</v>
      </c>
      <c r="J906" s="68"/>
      <c r="K906" s="67" t="s">
        <v>1718</v>
      </c>
      <c r="L906" s="67" t="s">
        <v>1204</v>
      </c>
      <c r="M906" s="67" t="s">
        <v>1502</v>
      </c>
    </row>
    <row r="907" spans="1:13" ht="12" customHeight="1" x14ac:dyDescent="0.2">
      <c r="A907" s="78">
        <v>223287</v>
      </c>
      <c r="B907" s="67" t="s">
        <v>960</v>
      </c>
      <c r="C907" s="67" t="s">
        <v>1196</v>
      </c>
      <c r="D907" s="67" t="s">
        <v>1204</v>
      </c>
      <c r="E907" s="67" t="s">
        <v>1501</v>
      </c>
      <c r="F907" s="67" t="s">
        <v>1692</v>
      </c>
      <c r="G907" s="67" t="s">
        <v>7</v>
      </c>
      <c r="H907" s="68">
        <v>8.9173611111111111</v>
      </c>
      <c r="I907" s="68">
        <v>8.9173611111111111</v>
      </c>
      <c r="J907" s="68"/>
      <c r="K907" s="67" t="s">
        <v>1721</v>
      </c>
      <c r="L907" s="67" t="s">
        <v>1204</v>
      </c>
      <c r="M907" s="67" t="s">
        <v>1501</v>
      </c>
    </row>
    <row r="908" spans="1:13" ht="12" customHeight="1" x14ac:dyDescent="0.2">
      <c r="A908" s="78">
        <v>236032</v>
      </c>
      <c r="B908" s="67" t="s">
        <v>961</v>
      </c>
      <c r="C908" s="67" t="s">
        <v>1196</v>
      </c>
      <c r="D908" s="67" t="s">
        <v>1204</v>
      </c>
      <c r="E908" s="67" t="s">
        <v>1502</v>
      </c>
      <c r="F908" s="67" t="s">
        <v>1692</v>
      </c>
      <c r="G908" s="67" t="s">
        <v>7</v>
      </c>
      <c r="H908" s="68">
        <v>9.375E-2</v>
      </c>
      <c r="I908" s="68">
        <v>9.375E-2</v>
      </c>
      <c r="J908" s="68"/>
      <c r="K908" s="67" t="s">
        <v>1718</v>
      </c>
      <c r="L908" s="67" t="s">
        <v>1204</v>
      </c>
      <c r="M908" s="67" t="s">
        <v>1502</v>
      </c>
    </row>
    <row r="909" spans="1:13" ht="12" customHeight="1" x14ac:dyDescent="0.2">
      <c r="A909" s="78">
        <v>229770</v>
      </c>
      <c r="B909" s="67" t="s">
        <v>962</v>
      </c>
      <c r="C909" s="67" t="s">
        <v>1196</v>
      </c>
      <c r="D909" s="67" t="s">
        <v>1204</v>
      </c>
      <c r="E909" s="67" t="s">
        <v>1503</v>
      </c>
      <c r="F909" s="67" t="s">
        <v>1682</v>
      </c>
      <c r="G909" s="67" t="s">
        <v>8</v>
      </c>
      <c r="H909" s="68">
        <v>1.3430555555555557</v>
      </c>
      <c r="I909" s="68"/>
      <c r="J909" s="68">
        <v>1.3430555555555557</v>
      </c>
      <c r="K909" s="67" t="s">
        <v>1719</v>
      </c>
      <c r="L909" s="67" t="s">
        <v>1204</v>
      </c>
      <c r="M909" s="67" t="s">
        <v>1503</v>
      </c>
    </row>
    <row r="910" spans="1:13" ht="12" customHeight="1" x14ac:dyDescent="0.2">
      <c r="A910" s="78">
        <v>230261</v>
      </c>
      <c r="B910" s="67" t="s">
        <v>963</v>
      </c>
      <c r="C910" s="67" t="s">
        <v>1196</v>
      </c>
      <c r="D910" s="67" t="s">
        <v>1204</v>
      </c>
      <c r="E910" s="67" t="s">
        <v>1502</v>
      </c>
      <c r="F910" s="67" t="s">
        <v>1692</v>
      </c>
      <c r="G910" s="67" t="s">
        <v>8</v>
      </c>
      <c r="H910" s="68">
        <v>0.28888888888888892</v>
      </c>
      <c r="I910" s="68"/>
      <c r="J910" s="68">
        <v>0.28888888888888892</v>
      </c>
      <c r="K910" s="67" t="s">
        <v>1718</v>
      </c>
      <c r="L910" s="67" t="s">
        <v>1204</v>
      </c>
      <c r="M910" s="67" t="s">
        <v>1502</v>
      </c>
    </row>
    <row r="911" spans="1:13" ht="12" customHeight="1" x14ac:dyDescent="0.2">
      <c r="A911" s="78">
        <v>230277</v>
      </c>
      <c r="B911" s="67" t="s">
        <v>964</v>
      </c>
      <c r="C911" s="67" t="s">
        <v>1196</v>
      </c>
      <c r="D911" s="67" t="s">
        <v>1204</v>
      </c>
      <c r="E911" s="67" t="s">
        <v>1502</v>
      </c>
      <c r="F911" s="67" t="s">
        <v>1692</v>
      </c>
      <c r="G911" s="67" t="s">
        <v>8</v>
      </c>
      <c r="H911" s="68">
        <v>0.16944444444444443</v>
      </c>
      <c r="I911" s="68"/>
      <c r="J911" s="68">
        <v>0.16944444444444443</v>
      </c>
      <c r="K911" s="67" t="s">
        <v>1718</v>
      </c>
      <c r="L911" s="67" t="s">
        <v>1204</v>
      </c>
      <c r="M911" s="67" t="s">
        <v>1502</v>
      </c>
    </row>
    <row r="912" spans="1:13" ht="12" customHeight="1" x14ac:dyDescent="0.2">
      <c r="A912" s="78">
        <v>225539</v>
      </c>
      <c r="B912" s="67" t="s">
        <v>965</v>
      </c>
      <c r="C912" s="67" t="s">
        <v>1196</v>
      </c>
      <c r="D912" s="67" t="s">
        <v>1204</v>
      </c>
      <c r="E912" s="67" t="s">
        <v>1504</v>
      </c>
      <c r="F912" s="67" t="s">
        <v>1693</v>
      </c>
      <c r="G912" s="67" t="s">
        <v>7</v>
      </c>
      <c r="H912" s="68">
        <v>0.30069444444444443</v>
      </c>
      <c r="I912" s="68">
        <v>0.30069444444444443</v>
      </c>
      <c r="J912" s="68"/>
      <c r="K912" s="67" t="s">
        <v>1718</v>
      </c>
      <c r="L912" s="67" t="s">
        <v>1204</v>
      </c>
      <c r="M912" s="67" t="s">
        <v>1504</v>
      </c>
    </row>
    <row r="913" spans="1:13" ht="12" customHeight="1" x14ac:dyDescent="0.2">
      <c r="A913" s="78">
        <v>235710</v>
      </c>
      <c r="B913" s="67" t="s">
        <v>966</v>
      </c>
      <c r="C913" s="67" t="s">
        <v>1196</v>
      </c>
      <c r="D913" s="67" t="s">
        <v>1204</v>
      </c>
      <c r="E913" s="67" t="s">
        <v>1504</v>
      </c>
      <c r="F913" s="67" t="s">
        <v>1693</v>
      </c>
      <c r="G913" s="67" t="s">
        <v>7</v>
      </c>
      <c r="H913" s="68">
        <v>0.4604166666666667</v>
      </c>
      <c r="I913" s="68">
        <v>0.4604166666666667</v>
      </c>
      <c r="J913" s="68"/>
      <c r="K913" s="67" t="s">
        <v>1718</v>
      </c>
      <c r="L913" s="67" t="s">
        <v>1204</v>
      </c>
      <c r="M913" s="67" t="s">
        <v>1504</v>
      </c>
    </row>
    <row r="914" spans="1:13" ht="12" customHeight="1" x14ac:dyDescent="0.2">
      <c r="A914" s="78">
        <v>231230</v>
      </c>
      <c r="B914" s="67" t="s">
        <v>967</v>
      </c>
      <c r="C914" s="67" t="s">
        <v>1196</v>
      </c>
      <c r="D914" s="67" t="s">
        <v>1204</v>
      </c>
      <c r="E914" s="67" t="s">
        <v>1505</v>
      </c>
      <c r="F914" s="67" t="s">
        <v>1693</v>
      </c>
      <c r="G914" s="67" t="s">
        <v>8</v>
      </c>
      <c r="H914" s="68">
        <v>3.129861111111111</v>
      </c>
      <c r="I914" s="68"/>
      <c r="J914" s="68">
        <v>3.129861111111111</v>
      </c>
      <c r="K914" s="67" t="s">
        <v>1720</v>
      </c>
      <c r="L914" s="67" t="s">
        <v>1204</v>
      </c>
      <c r="M914" s="67" t="s">
        <v>1505</v>
      </c>
    </row>
    <row r="915" spans="1:13" ht="12" customHeight="1" x14ac:dyDescent="0.2">
      <c r="A915" s="78">
        <v>237791</v>
      </c>
      <c r="B915" s="67" t="s">
        <v>968</v>
      </c>
      <c r="C915" s="67" t="s">
        <v>1196</v>
      </c>
      <c r="D915" s="67" t="s">
        <v>1204</v>
      </c>
      <c r="E915" s="67" t="s">
        <v>1504</v>
      </c>
      <c r="F915" s="67" t="s">
        <v>1693</v>
      </c>
      <c r="G915" s="67" t="s">
        <v>8</v>
      </c>
      <c r="H915" s="68">
        <v>2.1694444444444447</v>
      </c>
      <c r="I915" s="68"/>
      <c r="J915" s="68">
        <v>2.1694444444444447</v>
      </c>
      <c r="K915" s="67" t="s">
        <v>1718</v>
      </c>
      <c r="L915" s="67" t="s">
        <v>1204</v>
      </c>
      <c r="M915" s="67" t="s">
        <v>1504</v>
      </c>
    </row>
    <row r="916" spans="1:13" ht="12" customHeight="1" x14ac:dyDescent="0.2">
      <c r="A916" s="78">
        <v>234626</v>
      </c>
      <c r="B916" s="67" t="s">
        <v>969</v>
      </c>
      <c r="C916" s="67" t="s">
        <v>1196</v>
      </c>
      <c r="D916" s="67" t="s">
        <v>1204</v>
      </c>
      <c r="E916" s="67" t="s">
        <v>1504</v>
      </c>
      <c r="F916" s="67" t="s">
        <v>1693</v>
      </c>
      <c r="G916" s="67" t="s">
        <v>8</v>
      </c>
      <c r="H916" s="68">
        <v>2.1569444444444446</v>
      </c>
      <c r="I916" s="68"/>
      <c r="J916" s="68">
        <v>2.1569444444444446</v>
      </c>
      <c r="K916" s="67" t="s">
        <v>1718</v>
      </c>
      <c r="L916" s="67" t="s">
        <v>1204</v>
      </c>
      <c r="M916" s="67" t="s">
        <v>1504</v>
      </c>
    </row>
    <row r="917" spans="1:13" ht="12" customHeight="1" x14ac:dyDescent="0.2">
      <c r="A917" s="78">
        <v>216552</v>
      </c>
      <c r="B917" s="67" t="s">
        <v>970</v>
      </c>
      <c r="C917" s="67" t="s">
        <v>1196</v>
      </c>
      <c r="D917" s="67" t="s">
        <v>1204</v>
      </c>
      <c r="E917" s="67" t="s">
        <v>1506</v>
      </c>
      <c r="F917" s="67" t="s">
        <v>1682</v>
      </c>
      <c r="G917" s="67" t="s">
        <v>8</v>
      </c>
      <c r="H917" s="68">
        <v>1.2361111111111112</v>
      </c>
      <c r="I917" s="68"/>
      <c r="J917" s="68">
        <v>1.2361111111111112</v>
      </c>
      <c r="K917" s="67" t="s">
        <v>1726</v>
      </c>
      <c r="L917" s="67" t="s">
        <v>1204</v>
      </c>
      <c r="M917" s="67" t="s">
        <v>1506</v>
      </c>
    </row>
    <row r="918" spans="1:13" ht="12" customHeight="1" x14ac:dyDescent="0.2">
      <c r="A918" s="78">
        <v>238036</v>
      </c>
      <c r="B918" s="67" t="s">
        <v>971</v>
      </c>
      <c r="C918" s="67" t="s">
        <v>1196</v>
      </c>
      <c r="D918" s="67" t="s">
        <v>1204</v>
      </c>
      <c r="E918" s="67" t="s">
        <v>1504</v>
      </c>
      <c r="F918" s="67" t="s">
        <v>1693</v>
      </c>
      <c r="G918" s="67" t="s">
        <v>8</v>
      </c>
      <c r="H918" s="68">
        <v>0.3666666666666667</v>
      </c>
      <c r="I918" s="68"/>
      <c r="J918" s="68">
        <v>0.3666666666666667</v>
      </c>
      <c r="K918" s="67" t="s">
        <v>1718</v>
      </c>
      <c r="L918" s="67" t="s">
        <v>1204</v>
      </c>
      <c r="M918" s="67" t="s">
        <v>1504</v>
      </c>
    </row>
    <row r="919" spans="1:13" ht="12" customHeight="1" x14ac:dyDescent="0.2">
      <c r="A919" s="78">
        <v>218097</v>
      </c>
      <c r="B919" s="67" t="s">
        <v>972</v>
      </c>
      <c r="C919" s="67" t="s">
        <v>1196</v>
      </c>
      <c r="D919" s="67" t="s">
        <v>1204</v>
      </c>
      <c r="E919" s="67" t="s">
        <v>1505</v>
      </c>
      <c r="F919" s="67" t="s">
        <v>1693</v>
      </c>
      <c r="G919" s="67" t="s">
        <v>8</v>
      </c>
      <c r="H919" s="68">
        <v>0.33749999999999997</v>
      </c>
      <c r="I919" s="68"/>
      <c r="J919" s="68">
        <v>0.33749999999999997</v>
      </c>
      <c r="K919" s="67" t="s">
        <v>1720</v>
      </c>
      <c r="L919" s="67" t="s">
        <v>1204</v>
      </c>
      <c r="M919" s="67" t="s">
        <v>1505</v>
      </c>
    </row>
    <row r="920" spans="1:13" ht="12" customHeight="1" x14ac:dyDescent="0.2">
      <c r="A920" s="78">
        <v>224508</v>
      </c>
      <c r="B920" s="67" t="s">
        <v>973</v>
      </c>
      <c r="C920" s="67" t="s">
        <v>1196</v>
      </c>
      <c r="D920" s="67" t="s">
        <v>1204</v>
      </c>
      <c r="E920" s="67" t="s">
        <v>1505</v>
      </c>
      <c r="F920" s="67" t="s">
        <v>1693</v>
      </c>
      <c r="G920" s="67" t="s">
        <v>8</v>
      </c>
      <c r="H920" s="68">
        <v>0.22222222222222221</v>
      </c>
      <c r="I920" s="68"/>
      <c r="J920" s="68">
        <v>0.22222222222222221</v>
      </c>
      <c r="K920" s="67" t="s">
        <v>1721</v>
      </c>
      <c r="L920" s="67" t="s">
        <v>1204</v>
      </c>
      <c r="M920" s="67" t="s">
        <v>1505</v>
      </c>
    </row>
    <row r="921" spans="1:13" ht="12" customHeight="1" x14ac:dyDescent="0.2">
      <c r="A921" s="78">
        <v>229847</v>
      </c>
      <c r="B921" s="67" t="s">
        <v>974</v>
      </c>
      <c r="C921" s="67" t="s">
        <v>1196</v>
      </c>
      <c r="D921" s="67" t="s">
        <v>1204</v>
      </c>
      <c r="E921" s="67" t="s">
        <v>1504</v>
      </c>
      <c r="F921" s="67" t="s">
        <v>1693</v>
      </c>
      <c r="G921" s="67" t="s">
        <v>8</v>
      </c>
      <c r="H921" s="68">
        <v>0.18333333333333335</v>
      </c>
      <c r="I921" s="68"/>
      <c r="J921" s="68">
        <v>0.18333333333333335</v>
      </c>
      <c r="K921" s="67" t="s">
        <v>1718</v>
      </c>
      <c r="L921" s="67" t="s">
        <v>1204</v>
      </c>
      <c r="M921" s="67" t="s">
        <v>1504</v>
      </c>
    </row>
    <row r="922" spans="1:13" ht="12" customHeight="1" x14ac:dyDescent="0.2">
      <c r="A922" s="78">
        <v>235376</v>
      </c>
      <c r="B922" s="67" t="s">
        <v>975</v>
      </c>
      <c r="C922" s="67" t="s">
        <v>1196</v>
      </c>
      <c r="D922" s="67" t="s">
        <v>1204</v>
      </c>
      <c r="E922" s="67" t="s">
        <v>1507</v>
      </c>
      <c r="F922" s="67" t="s">
        <v>1694</v>
      </c>
      <c r="G922" s="67" t="s">
        <v>7</v>
      </c>
      <c r="H922" s="68">
        <v>0.48749999999999999</v>
      </c>
      <c r="I922" s="68">
        <v>0.48749999999999999</v>
      </c>
      <c r="J922" s="68"/>
      <c r="K922" s="67" t="s">
        <v>1718</v>
      </c>
      <c r="L922" s="67" t="s">
        <v>1204</v>
      </c>
      <c r="M922" s="67" t="s">
        <v>1507</v>
      </c>
    </row>
    <row r="923" spans="1:13" ht="12" customHeight="1" x14ac:dyDescent="0.2">
      <c r="A923" s="78">
        <v>237697</v>
      </c>
      <c r="B923" s="67" t="s">
        <v>976</v>
      </c>
      <c r="C923" s="67" t="s">
        <v>1196</v>
      </c>
      <c r="D923" s="67" t="s">
        <v>1204</v>
      </c>
      <c r="E923" s="67" t="s">
        <v>1507</v>
      </c>
      <c r="F923" s="67" t="s">
        <v>1694</v>
      </c>
      <c r="G923" s="67" t="s">
        <v>7</v>
      </c>
      <c r="H923" s="68">
        <v>0.4777777777777778</v>
      </c>
      <c r="I923" s="68">
        <v>0.4777777777777778</v>
      </c>
      <c r="J923" s="68"/>
      <c r="K923" s="67" t="s">
        <v>1718</v>
      </c>
      <c r="L923" s="67" t="s">
        <v>1204</v>
      </c>
      <c r="M923" s="67" t="s">
        <v>1507</v>
      </c>
    </row>
    <row r="924" spans="1:13" ht="12" customHeight="1" x14ac:dyDescent="0.2">
      <c r="A924" s="78">
        <v>234143</v>
      </c>
      <c r="B924" s="67" t="s">
        <v>977</v>
      </c>
      <c r="C924" s="67" t="s">
        <v>1196</v>
      </c>
      <c r="D924" s="67" t="s">
        <v>1204</v>
      </c>
      <c r="E924" s="67" t="s">
        <v>1507</v>
      </c>
      <c r="F924" s="67" t="s">
        <v>1694</v>
      </c>
      <c r="G924" s="67" t="s">
        <v>7</v>
      </c>
      <c r="H924" s="68">
        <v>0.66249999999999998</v>
      </c>
      <c r="I924" s="68">
        <v>0.66249999999999998</v>
      </c>
      <c r="J924" s="68"/>
      <c r="K924" s="67" t="s">
        <v>1718</v>
      </c>
      <c r="L924" s="67" t="s">
        <v>1204</v>
      </c>
      <c r="M924" s="67" t="s">
        <v>1507</v>
      </c>
    </row>
    <row r="925" spans="1:13" ht="12" customHeight="1" x14ac:dyDescent="0.2">
      <c r="A925" s="78">
        <v>234141</v>
      </c>
      <c r="B925" s="67" t="s">
        <v>978</v>
      </c>
      <c r="C925" s="67" t="s">
        <v>1196</v>
      </c>
      <c r="D925" s="67" t="s">
        <v>1204</v>
      </c>
      <c r="E925" s="67" t="s">
        <v>1507</v>
      </c>
      <c r="F925" s="67" t="s">
        <v>1694</v>
      </c>
      <c r="G925" s="67" t="s">
        <v>7</v>
      </c>
      <c r="H925" s="68">
        <v>1.9506944444444443</v>
      </c>
      <c r="I925" s="68">
        <v>1.9506944444444443</v>
      </c>
      <c r="J925" s="68"/>
      <c r="K925" s="67" t="s">
        <v>1718</v>
      </c>
      <c r="L925" s="67" t="s">
        <v>1204</v>
      </c>
      <c r="M925" s="67" t="s">
        <v>1507</v>
      </c>
    </row>
    <row r="926" spans="1:13" ht="12" customHeight="1" x14ac:dyDescent="0.2">
      <c r="A926" s="78">
        <v>237707</v>
      </c>
      <c r="B926" s="67" t="s">
        <v>979</v>
      </c>
      <c r="C926" s="67" t="s">
        <v>1196</v>
      </c>
      <c r="D926" s="67" t="s">
        <v>1204</v>
      </c>
      <c r="E926" s="67" t="s">
        <v>1507</v>
      </c>
      <c r="F926" s="67" t="s">
        <v>1694</v>
      </c>
      <c r="G926" s="67" t="s">
        <v>7</v>
      </c>
      <c r="H926" s="68">
        <v>1.29375</v>
      </c>
      <c r="I926" s="68">
        <v>1.29375</v>
      </c>
      <c r="J926" s="68"/>
      <c r="K926" s="67" t="s">
        <v>1718</v>
      </c>
      <c r="L926" s="67" t="s">
        <v>1204</v>
      </c>
      <c r="M926" s="67" t="s">
        <v>1507</v>
      </c>
    </row>
    <row r="927" spans="1:13" ht="12" customHeight="1" x14ac:dyDescent="0.2">
      <c r="A927" s="78">
        <v>234142</v>
      </c>
      <c r="B927" s="67" t="s">
        <v>980</v>
      </c>
      <c r="C927" s="67" t="s">
        <v>1196</v>
      </c>
      <c r="D927" s="67" t="s">
        <v>1204</v>
      </c>
      <c r="E927" s="67" t="s">
        <v>1508</v>
      </c>
      <c r="F927" s="67" t="s">
        <v>1694</v>
      </c>
      <c r="G927" s="67" t="s">
        <v>7</v>
      </c>
      <c r="H927" s="68">
        <v>0.15763888888888888</v>
      </c>
      <c r="I927" s="68">
        <v>0.15763888888888888</v>
      </c>
      <c r="J927" s="68"/>
      <c r="K927" s="67" t="s">
        <v>1720</v>
      </c>
      <c r="L927" s="67" t="s">
        <v>1204</v>
      </c>
      <c r="M927" s="67" t="s">
        <v>1508</v>
      </c>
    </row>
    <row r="928" spans="1:13" ht="12" customHeight="1" x14ac:dyDescent="0.2">
      <c r="A928" s="78">
        <v>236401</v>
      </c>
      <c r="B928" s="67" t="s">
        <v>981</v>
      </c>
      <c r="C928" s="67" t="s">
        <v>1196</v>
      </c>
      <c r="D928" s="67" t="s">
        <v>1204</v>
      </c>
      <c r="E928" s="67" t="s">
        <v>1508</v>
      </c>
      <c r="F928" s="67" t="s">
        <v>1694</v>
      </c>
      <c r="G928" s="67" t="s">
        <v>7</v>
      </c>
      <c r="H928" s="68">
        <v>0.92291666666666661</v>
      </c>
      <c r="I928" s="68">
        <v>0.92291666666666661</v>
      </c>
      <c r="J928" s="68"/>
      <c r="K928" s="67" t="s">
        <v>1720</v>
      </c>
      <c r="L928" s="67" t="s">
        <v>1204</v>
      </c>
      <c r="M928" s="67" t="s">
        <v>1508</v>
      </c>
    </row>
    <row r="929" spans="1:13" ht="12" customHeight="1" x14ac:dyDescent="0.2">
      <c r="A929" s="78">
        <v>234144</v>
      </c>
      <c r="B929" s="67" t="s">
        <v>982</v>
      </c>
      <c r="C929" s="67" t="s">
        <v>1196</v>
      </c>
      <c r="D929" s="67" t="s">
        <v>1204</v>
      </c>
      <c r="E929" s="67" t="s">
        <v>1509</v>
      </c>
      <c r="F929" s="67" t="s">
        <v>1682</v>
      </c>
      <c r="G929" s="67" t="s">
        <v>8</v>
      </c>
      <c r="H929" s="68">
        <v>0.6972222222222223</v>
      </c>
      <c r="I929" s="68"/>
      <c r="J929" s="68">
        <v>0.6972222222222223</v>
      </c>
      <c r="K929" s="67" t="s">
        <v>1719</v>
      </c>
      <c r="L929" s="67" t="s">
        <v>1204</v>
      </c>
      <c r="M929" s="67" t="s">
        <v>1509</v>
      </c>
    </row>
    <row r="930" spans="1:13" ht="12" customHeight="1" x14ac:dyDescent="0.2">
      <c r="A930" s="78">
        <v>236130</v>
      </c>
      <c r="B930" s="67" t="s">
        <v>983</v>
      </c>
      <c r="C930" s="67" t="s">
        <v>1196</v>
      </c>
      <c r="D930" s="67" t="s">
        <v>1204</v>
      </c>
      <c r="E930" s="67" t="s">
        <v>1508</v>
      </c>
      <c r="F930" s="67" t="s">
        <v>1694</v>
      </c>
      <c r="G930" s="67" t="s">
        <v>8</v>
      </c>
      <c r="H930" s="68">
        <v>0.30972222222222223</v>
      </c>
      <c r="I930" s="68"/>
      <c r="J930" s="68">
        <v>0.30972222222222223</v>
      </c>
      <c r="K930" s="67" t="s">
        <v>1721</v>
      </c>
      <c r="L930" s="67" t="s">
        <v>1204</v>
      </c>
      <c r="M930" s="67" t="s">
        <v>1508</v>
      </c>
    </row>
    <row r="931" spans="1:13" ht="12" customHeight="1" x14ac:dyDescent="0.2">
      <c r="A931" s="78">
        <v>237232</v>
      </c>
      <c r="B931" s="67" t="s">
        <v>984</v>
      </c>
      <c r="C931" s="67" t="s">
        <v>1196</v>
      </c>
      <c r="D931" s="67" t="s">
        <v>1204</v>
      </c>
      <c r="E931" s="67" t="s">
        <v>1510</v>
      </c>
      <c r="F931" s="67" t="s">
        <v>1695</v>
      </c>
      <c r="G931" s="67" t="s">
        <v>7</v>
      </c>
      <c r="H931" s="68">
        <v>7.4999999999999997E-2</v>
      </c>
      <c r="I931" s="68">
        <v>7.4999999999999997E-2</v>
      </c>
      <c r="J931" s="68"/>
      <c r="K931" s="67" t="s">
        <v>1720</v>
      </c>
      <c r="L931" s="67" t="s">
        <v>1204</v>
      </c>
      <c r="M931" s="67" t="s">
        <v>1510</v>
      </c>
    </row>
    <row r="932" spans="1:13" ht="12" customHeight="1" x14ac:dyDescent="0.2">
      <c r="A932" s="78">
        <v>237318</v>
      </c>
      <c r="B932" s="67" t="s">
        <v>985</v>
      </c>
      <c r="C932" s="67" t="s">
        <v>1196</v>
      </c>
      <c r="D932" s="67" t="s">
        <v>1204</v>
      </c>
      <c r="E932" s="67" t="s">
        <v>1511</v>
      </c>
      <c r="F932" s="67" t="s">
        <v>1695</v>
      </c>
      <c r="G932" s="67" t="s">
        <v>8</v>
      </c>
      <c r="H932" s="68">
        <v>1.8333333333333333</v>
      </c>
      <c r="I932" s="68"/>
      <c r="J932" s="68">
        <v>1.8333333333333333</v>
      </c>
      <c r="K932" s="67" t="s">
        <v>1718</v>
      </c>
      <c r="L932" s="67" t="s">
        <v>1204</v>
      </c>
      <c r="M932" s="67" t="s">
        <v>1511</v>
      </c>
    </row>
    <row r="933" spans="1:13" ht="12" customHeight="1" x14ac:dyDescent="0.2">
      <c r="A933" s="78">
        <v>237563</v>
      </c>
      <c r="B933" s="67" t="s">
        <v>986</v>
      </c>
      <c r="C933" s="67" t="s">
        <v>1196</v>
      </c>
      <c r="D933" s="67" t="s">
        <v>1204</v>
      </c>
      <c r="E933" s="67" t="s">
        <v>1511</v>
      </c>
      <c r="F933" s="67" t="s">
        <v>1695</v>
      </c>
      <c r="G933" s="67" t="s">
        <v>8</v>
      </c>
      <c r="H933" s="68">
        <v>0.45833333333333331</v>
      </c>
      <c r="I933" s="68"/>
      <c r="J933" s="68">
        <v>0.45833333333333331</v>
      </c>
      <c r="K933" s="67" t="s">
        <v>1718</v>
      </c>
      <c r="L933" s="67" t="s">
        <v>1204</v>
      </c>
      <c r="M933" s="67" t="s">
        <v>1511</v>
      </c>
    </row>
    <row r="934" spans="1:13" ht="12" customHeight="1" x14ac:dyDescent="0.2">
      <c r="A934" s="78">
        <v>237564</v>
      </c>
      <c r="B934" s="67" t="s">
        <v>987</v>
      </c>
      <c r="C934" s="67" t="s">
        <v>1196</v>
      </c>
      <c r="D934" s="67" t="s">
        <v>1204</v>
      </c>
      <c r="E934" s="67" t="s">
        <v>1510</v>
      </c>
      <c r="F934" s="67" t="s">
        <v>1695</v>
      </c>
      <c r="G934" s="67" t="s">
        <v>8</v>
      </c>
      <c r="H934" s="68">
        <v>0.16666666666666666</v>
      </c>
      <c r="I934" s="68"/>
      <c r="J934" s="68">
        <v>0.16666666666666666</v>
      </c>
      <c r="K934" s="67" t="s">
        <v>1721</v>
      </c>
      <c r="L934" s="67" t="s">
        <v>1204</v>
      </c>
      <c r="M934" s="67" t="s">
        <v>1510</v>
      </c>
    </row>
    <row r="935" spans="1:13" ht="12" customHeight="1" x14ac:dyDescent="0.2">
      <c r="A935" s="78">
        <v>234668</v>
      </c>
      <c r="B935" s="67" t="s">
        <v>988</v>
      </c>
      <c r="C935" s="67" t="s">
        <v>1196</v>
      </c>
      <c r="D935" s="67" t="s">
        <v>1204</v>
      </c>
      <c r="E935" s="67" t="s">
        <v>1512</v>
      </c>
      <c r="F935" s="67" t="s">
        <v>1696</v>
      </c>
      <c r="G935" s="67" t="s">
        <v>7</v>
      </c>
      <c r="H935" s="68">
        <v>1.2375</v>
      </c>
      <c r="I935" s="68">
        <v>1.2375</v>
      </c>
      <c r="J935" s="68"/>
      <c r="K935" s="67" t="s">
        <v>1721</v>
      </c>
      <c r="L935" s="67" t="s">
        <v>1204</v>
      </c>
      <c r="M935" s="67" t="s">
        <v>1512</v>
      </c>
    </row>
    <row r="936" spans="1:13" ht="12" customHeight="1" x14ac:dyDescent="0.2">
      <c r="A936" s="78">
        <v>234161</v>
      </c>
      <c r="B936" s="67" t="s">
        <v>989</v>
      </c>
      <c r="C936" s="67" t="s">
        <v>1196</v>
      </c>
      <c r="D936" s="67" t="s">
        <v>1204</v>
      </c>
      <c r="E936" s="67" t="s">
        <v>1513</v>
      </c>
      <c r="F936" s="67" t="s">
        <v>1696</v>
      </c>
      <c r="G936" s="67" t="s">
        <v>7</v>
      </c>
      <c r="H936" s="68">
        <v>1.3548611111111111</v>
      </c>
      <c r="I936" s="68">
        <v>1.3548611111111111</v>
      </c>
      <c r="J936" s="68"/>
      <c r="K936" s="67" t="s">
        <v>1718</v>
      </c>
      <c r="L936" s="67" t="s">
        <v>1204</v>
      </c>
      <c r="M936" s="67" t="s">
        <v>1513</v>
      </c>
    </row>
    <row r="937" spans="1:13" ht="12" customHeight="1" x14ac:dyDescent="0.2">
      <c r="A937" s="78">
        <v>235725</v>
      </c>
      <c r="B937" s="67" t="s">
        <v>990</v>
      </c>
      <c r="C937" s="67" t="s">
        <v>1196</v>
      </c>
      <c r="D937" s="67" t="s">
        <v>1204</v>
      </c>
      <c r="E937" s="67" t="s">
        <v>1513</v>
      </c>
      <c r="F937" s="67" t="s">
        <v>1696</v>
      </c>
      <c r="G937" s="67" t="s">
        <v>7</v>
      </c>
      <c r="H937" s="68">
        <v>0.83888888888888891</v>
      </c>
      <c r="I937" s="68">
        <v>0.83888888888888891</v>
      </c>
      <c r="J937" s="68"/>
      <c r="K937" s="67" t="s">
        <v>1718</v>
      </c>
      <c r="L937" s="67" t="s">
        <v>1204</v>
      </c>
      <c r="M937" s="67" t="s">
        <v>1513</v>
      </c>
    </row>
    <row r="938" spans="1:13" ht="12" customHeight="1" x14ac:dyDescent="0.2">
      <c r="A938" s="78">
        <v>234146</v>
      </c>
      <c r="B938" s="67" t="s">
        <v>991</v>
      </c>
      <c r="C938" s="67" t="s">
        <v>1196</v>
      </c>
      <c r="D938" s="67" t="s">
        <v>1204</v>
      </c>
      <c r="E938" s="67" t="s">
        <v>1513</v>
      </c>
      <c r="F938" s="67" t="s">
        <v>1696</v>
      </c>
      <c r="G938" s="67" t="s">
        <v>8</v>
      </c>
      <c r="H938" s="68">
        <v>6.2680555555555557</v>
      </c>
      <c r="I938" s="68"/>
      <c r="J938" s="68">
        <v>6.2680555555555557</v>
      </c>
      <c r="K938" s="67" t="s">
        <v>1718</v>
      </c>
      <c r="L938" s="67" t="s">
        <v>1204</v>
      </c>
      <c r="M938" s="67" t="s">
        <v>1513</v>
      </c>
    </row>
    <row r="939" spans="1:13" ht="12" customHeight="1" x14ac:dyDescent="0.2">
      <c r="A939" s="78">
        <v>235711</v>
      </c>
      <c r="B939" s="67" t="s">
        <v>992</v>
      </c>
      <c r="C939" s="67" t="s">
        <v>1196</v>
      </c>
      <c r="D939" s="67" t="s">
        <v>1204</v>
      </c>
      <c r="E939" s="67" t="s">
        <v>1513</v>
      </c>
      <c r="F939" s="67" t="s">
        <v>1696</v>
      </c>
      <c r="G939" s="67" t="s">
        <v>8</v>
      </c>
      <c r="H939" s="68">
        <v>3.3513888888888892</v>
      </c>
      <c r="I939" s="68"/>
      <c r="J939" s="68">
        <v>3.3513888888888892</v>
      </c>
      <c r="K939" s="67" t="s">
        <v>1718</v>
      </c>
      <c r="L939" s="67" t="s">
        <v>1204</v>
      </c>
      <c r="M939" s="67" t="s">
        <v>1513</v>
      </c>
    </row>
    <row r="940" spans="1:13" ht="12" customHeight="1" x14ac:dyDescent="0.2">
      <c r="A940" s="78">
        <v>234165</v>
      </c>
      <c r="B940" s="67" t="s">
        <v>993</v>
      </c>
      <c r="C940" s="67" t="s">
        <v>1196</v>
      </c>
      <c r="D940" s="67" t="s">
        <v>1204</v>
      </c>
      <c r="E940" s="67" t="s">
        <v>1512</v>
      </c>
      <c r="F940" s="67" t="s">
        <v>1696</v>
      </c>
      <c r="G940" s="67" t="s">
        <v>8</v>
      </c>
      <c r="H940" s="68">
        <v>1.9069444444444443</v>
      </c>
      <c r="I940" s="68"/>
      <c r="J940" s="68">
        <v>1.9069444444444443</v>
      </c>
      <c r="K940" s="67" t="s">
        <v>1720</v>
      </c>
      <c r="L940" s="67" t="s">
        <v>1204</v>
      </c>
      <c r="M940" s="67" t="s">
        <v>1512</v>
      </c>
    </row>
    <row r="941" spans="1:13" ht="12" customHeight="1" x14ac:dyDescent="0.2">
      <c r="A941" s="78">
        <v>235375</v>
      </c>
      <c r="B941" s="67" t="s">
        <v>994</v>
      </c>
      <c r="C941" s="67" t="s">
        <v>1196</v>
      </c>
      <c r="D941" s="67" t="s">
        <v>1204</v>
      </c>
      <c r="E941" s="67" t="s">
        <v>1514</v>
      </c>
      <c r="F941" s="67" t="s">
        <v>1682</v>
      </c>
      <c r="G941" s="67" t="s">
        <v>8</v>
      </c>
      <c r="H941" s="68">
        <v>1.0277777777777779</v>
      </c>
      <c r="I941" s="68"/>
      <c r="J941" s="68">
        <v>1.0277777777777779</v>
      </c>
      <c r="K941" s="67" t="s">
        <v>1719</v>
      </c>
      <c r="L941" s="67" t="s">
        <v>1204</v>
      </c>
      <c r="M941" s="67" t="s">
        <v>1514</v>
      </c>
    </row>
    <row r="942" spans="1:13" ht="12" customHeight="1" x14ac:dyDescent="0.2">
      <c r="A942" s="78">
        <v>236084</v>
      </c>
      <c r="B942" s="67" t="s">
        <v>995</v>
      </c>
      <c r="C942" s="67" t="s">
        <v>1196</v>
      </c>
      <c r="D942" s="67" t="s">
        <v>1204</v>
      </c>
      <c r="E942" s="67" t="s">
        <v>1513</v>
      </c>
      <c r="F942" s="67" t="s">
        <v>1696</v>
      </c>
      <c r="G942" s="67" t="s">
        <v>8</v>
      </c>
      <c r="H942" s="68">
        <v>0.39166666666666666</v>
      </c>
      <c r="I942" s="68"/>
      <c r="J942" s="68">
        <v>0.39166666666666666</v>
      </c>
      <c r="K942" s="67" t="s">
        <v>1718</v>
      </c>
      <c r="L942" s="67" t="s">
        <v>1204</v>
      </c>
      <c r="M942" s="67" t="s">
        <v>1513</v>
      </c>
    </row>
    <row r="943" spans="1:13" ht="12" customHeight="1" x14ac:dyDescent="0.2">
      <c r="A943" s="78">
        <v>230276</v>
      </c>
      <c r="B943" s="67" t="s">
        <v>996</v>
      </c>
      <c r="C943" s="67" t="s">
        <v>1196</v>
      </c>
      <c r="D943" s="67" t="s">
        <v>1204</v>
      </c>
      <c r="E943" s="67" t="s">
        <v>1515</v>
      </c>
      <c r="F943" s="67" t="s">
        <v>1682</v>
      </c>
      <c r="G943" s="67" t="s">
        <v>8</v>
      </c>
      <c r="H943" s="68">
        <v>0.58958333333333335</v>
      </c>
      <c r="I943" s="68"/>
      <c r="J943" s="68">
        <v>0.58958333333333335</v>
      </c>
      <c r="K943" s="67" t="s">
        <v>1719</v>
      </c>
      <c r="L943" s="67" t="s">
        <v>1204</v>
      </c>
      <c r="M943" s="67" t="s">
        <v>1515</v>
      </c>
    </row>
    <row r="944" spans="1:13" ht="12" customHeight="1" x14ac:dyDescent="0.2">
      <c r="A944" s="78">
        <v>235023</v>
      </c>
      <c r="B944" s="67" t="s">
        <v>997</v>
      </c>
      <c r="C944" s="67" t="s">
        <v>1196</v>
      </c>
      <c r="D944" s="67" t="s">
        <v>1204</v>
      </c>
      <c r="E944" s="67" t="s">
        <v>1516</v>
      </c>
      <c r="F944" s="67" t="s">
        <v>1697</v>
      </c>
      <c r="G944" s="67" t="s">
        <v>7</v>
      </c>
      <c r="H944" s="68">
        <v>0.48194444444444445</v>
      </c>
      <c r="I944" s="68">
        <v>0.48194444444444445</v>
      </c>
      <c r="J944" s="68"/>
      <c r="K944" s="67" t="s">
        <v>1718</v>
      </c>
      <c r="L944" s="67" t="s">
        <v>1204</v>
      </c>
      <c r="M944" s="67" t="s">
        <v>1516</v>
      </c>
    </row>
    <row r="945" spans="1:13" ht="12" customHeight="1" x14ac:dyDescent="0.2">
      <c r="A945" s="78">
        <v>235819</v>
      </c>
      <c r="B945" s="67" t="s">
        <v>998</v>
      </c>
      <c r="C945" s="67" t="s">
        <v>1196</v>
      </c>
      <c r="D945" s="67" t="s">
        <v>1204</v>
      </c>
      <c r="E945" s="67" t="s">
        <v>1517</v>
      </c>
      <c r="F945" s="67" t="s">
        <v>1697</v>
      </c>
      <c r="G945" s="67" t="s">
        <v>7</v>
      </c>
      <c r="H945" s="68">
        <v>0.11388888888888889</v>
      </c>
      <c r="I945" s="68">
        <v>0.11388888888888889</v>
      </c>
      <c r="J945" s="68"/>
      <c r="K945" s="67" t="s">
        <v>1722</v>
      </c>
      <c r="L945" s="67" t="s">
        <v>1204</v>
      </c>
      <c r="M945" s="67" t="s">
        <v>1517</v>
      </c>
    </row>
    <row r="946" spans="1:13" ht="12" customHeight="1" x14ac:dyDescent="0.2">
      <c r="A946" s="78">
        <v>232716</v>
      </c>
      <c r="B946" s="67" t="s">
        <v>999</v>
      </c>
      <c r="C946" s="67" t="s">
        <v>1196</v>
      </c>
      <c r="D946" s="67" t="s">
        <v>1204</v>
      </c>
      <c r="E946" s="67" t="s">
        <v>1516</v>
      </c>
      <c r="F946" s="67" t="s">
        <v>1697</v>
      </c>
      <c r="G946" s="67" t="s">
        <v>8</v>
      </c>
      <c r="H946" s="68">
        <v>1.117361111111111</v>
      </c>
      <c r="I946" s="68"/>
      <c r="J946" s="68">
        <v>1.117361111111111</v>
      </c>
      <c r="K946" s="67" t="s">
        <v>1718</v>
      </c>
      <c r="L946" s="67" t="s">
        <v>1204</v>
      </c>
      <c r="M946" s="67" t="s">
        <v>1516</v>
      </c>
    </row>
    <row r="947" spans="1:13" ht="12" customHeight="1" x14ac:dyDescent="0.2">
      <c r="A947" s="78">
        <v>231776</v>
      </c>
      <c r="B947" s="67" t="s">
        <v>1000</v>
      </c>
      <c r="C947" s="67" t="s">
        <v>1196</v>
      </c>
      <c r="D947" s="67" t="s">
        <v>1204</v>
      </c>
      <c r="E947" s="67" t="s">
        <v>1516</v>
      </c>
      <c r="F947" s="67" t="s">
        <v>1697</v>
      </c>
      <c r="G947" s="67" t="s">
        <v>8</v>
      </c>
      <c r="H947" s="68">
        <v>0.95694444444444438</v>
      </c>
      <c r="I947" s="68"/>
      <c r="J947" s="68">
        <v>0.95694444444444438</v>
      </c>
      <c r="K947" s="67" t="s">
        <v>1718</v>
      </c>
      <c r="L947" s="67" t="s">
        <v>1204</v>
      </c>
      <c r="M947" s="67" t="s">
        <v>1516</v>
      </c>
    </row>
    <row r="948" spans="1:13" ht="12" customHeight="1" x14ac:dyDescent="0.2">
      <c r="A948" s="78">
        <v>232842</v>
      </c>
      <c r="B948" s="67" t="s">
        <v>1001</v>
      </c>
      <c r="C948" s="67" t="s">
        <v>1196</v>
      </c>
      <c r="D948" s="67" t="s">
        <v>1204</v>
      </c>
      <c r="E948" s="67" t="s">
        <v>1516</v>
      </c>
      <c r="F948" s="67" t="s">
        <v>1697</v>
      </c>
      <c r="G948" s="67" t="s">
        <v>8</v>
      </c>
      <c r="H948" s="68">
        <v>0.87083333333333324</v>
      </c>
      <c r="I948" s="68"/>
      <c r="J948" s="68">
        <v>0.87083333333333324</v>
      </c>
      <c r="K948" s="67" t="s">
        <v>1718</v>
      </c>
      <c r="L948" s="67" t="s">
        <v>1204</v>
      </c>
      <c r="M948" s="67" t="s">
        <v>1516</v>
      </c>
    </row>
    <row r="949" spans="1:13" ht="12" customHeight="1" x14ac:dyDescent="0.2">
      <c r="A949" s="78">
        <v>234739</v>
      </c>
      <c r="B949" s="67" t="s">
        <v>1002</v>
      </c>
      <c r="C949" s="67" t="s">
        <v>1196</v>
      </c>
      <c r="D949" s="67" t="s">
        <v>1204</v>
      </c>
      <c r="E949" s="67" t="s">
        <v>1516</v>
      </c>
      <c r="F949" s="67" t="s">
        <v>1697</v>
      </c>
      <c r="G949" s="67" t="s">
        <v>8</v>
      </c>
      <c r="H949" s="68">
        <v>0.7104166666666667</v>
      </c>
      <c r="I949" s="68"/>
      <c r="J949" s="68">
        <v>0.7104166666666667</v>
      </c>
      <c r="K949" s="67" t="s">
        <v>1718</v>
      </c>
      <c r="L949" s="67" t="s">
        <v>1204</v>
      </c>
      <c r="M949" s="67" t="s">
        <v>1516</v>
      </c>
    </row>
    <row r="950" spans="1:13" ht="12" customHeight="1" x14ac:dyDescent="0.2">
      <c r="A950" s="78">
        <v>231223</v>
      </c>
      <c r="B950" s="67" t="s">
        <v>1003</v>
      </c>
      <c r="C950" s="67" t="s">
        <v>1196</v>
      </c>
      <c r="D950" s="67" t="s">
        <v>1204</v>
      </c>
      <c r="E950" s="67" t="s">
        <v>1516</v>
      </c>
      <c r="F950" s="67" t="s">
        <v>1697</v>
      </c>
      <c r="G950" s="67" t="s">
        <v>8</v>
      </c>
      <c r="H950" s="68">
        <v>0.69166666666666676</v>
      </c>
      <c r="I950" s="68"/>
      <c r="J950" s="68">
        <v>0.69166666666666676</v>
      </c>
      <c r="K950" s="67" t="s">
        <v>1718</v>
      </c>
      <c r="L950" s="67" t="s">
        <v>1204</v>
      </c>
      <c r="M950" s="67" t="s">
        <v>1516</v>
      </c>
    </row>
    <row r="951" spans="1:13" ht="12" customHeight="1" x14ac:dyDescent="0.2">
      <c r="A951" s="78">
        <v>219894</v>
      </c>
      <c r="B951" s="67" t="s">
        <v>1004</v>
      </c>
      <c r="C951" s="67" t="s">
        <v>1196</v>
      </c>
      <c r="D951" s="67" t="s">
        <v>1204</v>
      </c>
      <c r="E951" s="67" t="s">
        <v>1518</v>
      </c>
      <c r="F951" s="67" t="s">
        <v>1682</v>
      </c>
      <c r="G951" s="67" t="s">
        <v>8</v>
      </c>
      <c r="H951" s="68">
        <v>0.59513888888888888</v>
      </c>
      <c r="I951" s="68"/>
      <c r="J951" s="68">
        <v>0.59513888888888888</v>
      </c>
      <c r="K951" s="67" t="s">
        <v>1719</v>
      </c>
      <c r="L951" s="67" t="s">
        <v>1204</v>
      </c>
      <c r="M951" s="67" t="s">
        <v>1518</v>
      </c>
    </row>
    <row r="952" spans="1:13" ht="12" customHeight="1" x14ac:dyDescent="0.2">
      <c r="A952" s="78">
        <v>229385</v>
      </c>
      <c r="B952" s="67" t="s">
        <v>1005</v>
      </c>
      <c r="C952" s="67" t="s">
        <v>1196</v>
      </c>
      <c r="D952" s="67" t="s">
        <v>1204</v>
      </c>
      <c r="E952" s="67" t="s">
        <v>1517</v>
      </c>
      <c r="F952" s="67" t="s">
        <v>1697</v>
      </c>
      <c r="G952" s="67" t="s">
        <v>8</v>
      </c>
      <c r="H952" s="68">
        <v>0.5180555555555556</v>
      </c>
      <c r="I952" s="68"/>
      <c r="J952" s="68">
        <v>0.5180555555555556</v>
      </c>
      <c r="K952" s="67" t="s">
        <v>1720</v>
      </c>
      <c r="L952" s="67" t="s">
        <v>1204</v>
      </c>
      <c r="M952" s="67" t="s">
        <v>1517</v>
      </c>
    </row>
    <row r="953" spans="1:13" ht="12" customHeight="1" x14ac:dyDescent="0.2">
      <c r="A953" s="78">
        <v>229584</v>
      </c>
      <c r="B953" s="67" t="s">
        <v>1006</v>
      </c>
      <c r="C953" s="67" t="s">
        <v>1196</v>
      </c>
      <c r="D953" s="67" t="s">
        <v>1204</v>
      </c>
      <c r="E953" s="67" t="s">
        <v>1517</v>
      </c>
      <c r="F953" s="67" t="s">
        <v>1697</v>
      </c>
      <c r="G953" s="67" t="s">
        <v>8</v>
      </c>
      <c r="H953" s="68">
        <v>0.42291666666666666</v>
      </c>
      <c r="I953" s="68"/>
      <c r="J953" s="68">
        <v>0.42291666666666666</v>
      </c>
      <c r="K953" s="67" t="s">
        <v>1720</v>
      </c>
      <c r="L953" s="67" t="s">
        <v>1204</v>
      </c>
      <c r="M953" s="67" t="s">
        <v>1517</v>
      </c>
    </row>
    <row r="954" spans="1:13" ht="12" customHeight="1" x14ac:dyDescent="0.2">
      <c r="A954" s="78">
        <v>235844</v>
      </c>
      <c r="B954" s="67" t="s">
        <v>1007</v>
      </c>
      <c r="C954" s="67" t="s">
        <v>1196</v>
      </c>
      <c r="D954" s="67" t="s">
        <v>1204</v>
      </c>
      <c r="E954" s="67" t="s">
        <v>1516</v>
      </c>
      <c r="F954" s="67" t="s">
        <v>1697</v>
      </c>
      <c r="G954" s="67" t="s">
        <v>8</v>
      </c>
      <c r="H954" s="68">
        <v>0.34861111111111115</v>
      </c>
      <c r="I954" s="68"/>
      <c r="J954" s="68">
        <v>0.34861111111111115</v>
      </c>
      <c r="K954" s="67" t="s">
        <v>1718</v>
      </c>
      <c r="L954" s="67" t="s">
        <v>1204</v>
      </c>
      <c r="M954" s="67" t="s">
        <v>1516</v>
      </c>
    </row>
    <row r="955" spans="1:13" ht="12" customHeight="1" x14ac:dyDescent="0.2">
      <c r="A955" s="78">
        <v>217966</v>
      </c>
      <c r="B955" s="67" t="s">
        <v>1008</v>
      </c>
      <c r="C955" s="67" t="s">
        <v>1196</v>
      </c>
      <c r="D955" s="67" t="s">
        <v>1204</v>
      </c>
      <c r="E955" s="67" t="s">
        <v>1517</v>
      </c>
      <c r="F955" s="67" t="s">
        <v>1697</v>
      </c>
      <c r="G955" s="67" t="s">
        <v>8</v>
      </c>
      <c r="H955" s="68">
        <v>0.27916666666666667</v>
      </c>
      <c r="I955" s="68"/>
      <c r="J955" s="68">
        <v>0.27916666666666667</v>
      </c>
      <c r="K955" s="67" t="s">
        <v>1721</v>
      </c>
      <c r="L955" s="67" t="s">
        <v>1204</v>
      </c>
      <c r="M955" s="67" t="s">
        <v>1517</v>
      </c>
    </row>
    <row r="956" spans="1:13" ht="12" customHeight="1" x14ac:dyDescent="0.2">
      <c r="A956" s="78">
        <v>203594</v>
      </c>
      <c r="B956" s="67" t="s">
        <v>1009</v>
      </c>
      <c r="C956" s="67" t="s">
        <v>1196</v>
      </c>
      <c r="D956" s="67" t="s">
        <v>1205</v>
      </c>
      <c r="E956" s="67" t="s">
        <v>1519</v>
      </c>
      <c r="F956" s="67" t="s">
        <v>1698</v>
      </c>
      <c r="G956" s="67" t="s">
        <v>7</v>
      </c>
      <c r="H956" s="68">
        <v>1.3847222222222222</v>
      </c>
      <c r="I956" s="68">
        <v>1.3847222222222222</v>
      </c>
      <c r="J956" s="68"/>
      <c r="K956" s="67" t="s">
        <v>1718</v>
      </c>
      <c r="L956" s="67" t="s">
        <v>1205</v>
      </c>
      <c r="M956" s="67" t="s">
        <v>1519</v>
      </c>
    </row>
    <row r="957" spans="1:13" ht="12" customHeight="1" x14ac:dyDescent="0.2">
      <c r="A957" s="78">
        <v>235756</v>
      </c>
      <c r="B957" s="67" t="s">
        <v>1010</v>
      </c>
      <c r="C957" s="67" t="s">
        <v>1196</v>
      </c>
      <c r="D957" s="67" t="s">
        <v>1205</v>
      </c>
      <c r="E957" s="67" t="s">
        <v>1520</v>
      </c>
      <c r="F957" s="67" t="s">
        <v>1699</v>
      </c>
      <c r="G957" s="67" t="s">
        <v>7</v>
      </c>
      <c r="H957" s="68">
        <v>1.4229166666666666</v>
      </c>
      <c r="I957" s="68">
        <v>1.4229166666666666</v>
      </c>
      <c r="J957" s="68"/>
      <c r="K957" s="67" t="s">
        <v>1718</v>
      </c>
      <c r="L957" s="67" t="s">
        <v>1205</v>
      </c>
      <c r="M957" s="67" t="s">
        <v>1520</v>
      </c>
    </row>
    <row r="958" spans="1:13" ht="12" customHeight="1" x14ac:dyDescent="0.2">
      <c r="A958" s="78">
        <v>221016</v>
      </c>
      <c r="B958" s="67" t="s">
        <v>1011</v>
      </c>
      <c r="C958" s="67" t="s">
        <v>1196</v>
      </c>
      <c r="D958" s="67" t="s">
        <v>1205</v>
      </c>
      <c r="E958" s="67" t="s">
        <v>1521</v>
      </c>
      <c r="F958" s="67" t="s">
        <v>1700</v>
      </c>
      <c r="G958" s="67" t="s">
        <v>7</v>
      </c>
      <c r="H958" s="68">
        <v>3.3416666666666668</v>
      </c>
      <c r="I958" s="68">
        <v>3.3416666666666668</v>
      </c>
      <c r="J958" s="68"/>
      <c r="K958" s="67" t="s">
        <v>1721</v>
      </c>
      <c r="L958" s="67" t="s">
        <v>1205</v>
      </c>
      <c r="M958" s="67" t="s">
        <v>1521</v>
      </c>
    </row>
    <row r="959" spans="1:13" ht="12" customHeight="1" x14ac:dyDescent="0.2">
      <c r="A959" s="78">
        <v>224468</v>
      </c>
      <c r="B959" s="67" t="s">
        <v>1012</v>
      </c>
      <c r="C959" s="67" t="s">
        <v>1196</v>
      </c>
      <c r="D959" s="67" t="s">
        <v>1205</v>
      </c>
      <c r="E959" s="67" t="s">
        <v>1522</v>
      </c>
      <c r="F959" s="67" t="s">
        <v>1701</v>
      </c>
      <c r="G959" s="67" t="s">
        <v>7</v>
      </c>
      <c r="H959" s="68">
        <v>1.1347222222222222</v>
      </c>
      <c r="I959" s="68">
        <v>1.1347222222222222</v>
      </c>
      <c r="J959" s="68"/>
      <c r="K959" s="67" t="s">
        <v>1720</v>
      </c>
      <c r="L959" s="67" t="s">
        <v>1205</v>
      </c>
      <c r="M959" s="67" t="s">
        <v>1522</v>
      </c>
    </row>
    <row r="960" spans="1:13" ht="12" customHeight="1" x14ac:dyDescent="0.2">
      <c r="A960" s="78">
        <v>230583</v>
      </c>
      <c r="B960" s="67" t="s">
        <v>1013</v>
      </c>
      <c r="C960" s="67" t="s">
        <v>1196</v>
      </c>
      <c r="D960" s="67" t="s">
        <v>1205</v>
      </c>
      <c r="E960" s="67" t="s">
        <v>1523</v>
      </c>
      <c r="F960" s="67" t="s">
        <v>1700</v>
      </c>
      <c r="G960" s="67" t="s">
        <v>7</v>
      </c>
      <c r="H960" s="68">
        <v>4.7861111111111114</v>
      </c>
      <c r="I960" s="68">
        <v>4.7861111111111114</v>
      </c>
      <c r="J960" s="68"/>
      <c r="K960" s="67" t="s">
        <v>1718</v>
      </c>
      <c r="L960" s="67" t="s">
        <v>1205</v>
      </c>
      <c r="M960" s="67" t="s">
        <v>1523</v>
      </c>
    </row>
    <row r="961" spans="1:13" ht="12" customHeight="1" x14ac:dyDescent="0.2">
      <c r="A961" s="78">
        <v>223539</v>
      </c>
      <c r="B961" s="67" t="s">
        <v>1014</v>
      </c>
      <c r="C961" s="67" t="s">
        <v>1196</v>
      </c>
      <c r="D961" s="67" t="s">
        <v>1205</v>
      </c>
      <c r="E961" s="67" t="s">
        <v>1524</v>
      </c>
      <c r="F961" s="67" t="s">
        <v>1702</v>
      </c>
      <c r="G961" s="67" t="s">
        <v>7</v>
      </c>
      <c r="H961" s="68">
        <v>12.400694444444444</v>
      </c>
      <c r="I961" s="68">
        <v>12.400694444444444</v>
      </c>
      <c r="J961" s="68"/>
      <c r="K961" s="67" t="s">
        <v>1721</v>
      </c>
      <c r="L961" s="67" t="s">
        <v>1205</v>
      </c>
      <c r="M961" s="67" t="s">
        <v>1524</v>
      </c>
    </row>
    <row r="962" spans="1:13" ht="12" customHeight="1" x14ac:dyDescent="0.2">
      <c r="A962" s="78">
        <v>218444</v>
      </c>
      <c r="B962" s="67" t="s">
        <v>1015</v>
      </c>
      <c r="C962" s="67" t="s">
        <v>1196</v>
      </c>
      <c r="D962" s="67" t="s">
        <v>1204</v>
      </c>
      <c r="E962" s="67" t="s">
        <v>1525</v>
      </c>
      <c r="F962" s="67" t="s">
        <v>1703</v>
      </c>
      <c r="G962" s="67" t="s">
        <v>7</v>
      </c>
      <c r="H962" s="68">
        <v>1.0173611111111112</v>
      </c>
      <c r="I962" s="68">
        <v>1.0173611111111112</v>
      </c>
      <c r="J962" s="68"/>
      <c r="K962" s="67" t="s">
        <v>1720</v>
      </c>
      <c r="L962" s="67" t="s">
        <v>1204</v>
      </c>
      <c r="M962" s="67" t="s">
        <v>1525</v>
      </c>
    </row>
    <row r="963" spans="1:13" ht="12" customHeight="1" x14ac:dyDescent="0.2">
      <c r="A963" s="78">
        <v>229828</v>
      </c>
      <c r="B963" s="67" t="s">
        <v>1016</v>
      </c>
      <c r="C963" s="67" t="s">
        <v>1196</v>
      </c>
      <c r="D963" s="67" t="s">
        <v>1205</v>
      </c>
      <c r="E963" s="67" t="s">
        <v>1520</v>
      </c>
      <c r="F963" s="67" t="s">
        <v>1699</v>
      </c>
      <c r="G963" s="67" t="s">
        <v>7</v>
      </c>
      <c r="H963" s="68">
        <v>0.9819444444444444</v>
      </c>
      <c r="I963" s="68">
        <v>0.9819444444444444</v>
      </c>
      <c r="J963" s="68"/>
      <c r="K963" s="67" t="s">
        <v>1718</v>
      </c>
      <c r="L963" s="67" t="s">
        <v>1205</v>
      </c>
      <c r="M963" s="67" t="s">
        <v>1520</v>
      </c>
    </row>
    <row r="964" spans="1:13" ht="12" customHeight="1" x14ac:dyDescent="0.2">
      <c r="A964" s="78">
        <v>235499</v>
      </c>
      <c r="B964" s="67" t="s">
        <v>1017</v>
      </c>
      <c r="C964" s="67" t="s">
        <v>1196</v>
      </c>
      <c r="D964" s="67" t="s">
        <v>1205</v>
      </c>
      <c r="E964" s="67" t="s">
        <v>1526</v>
      </c>
      <c r="F964" s="67" t="s">
        <v>1701</v>
      </c>
      <c r="G964" s="67" t="s">
        <v>7</v>
      </c>
      <c r="H964" s="68">
        <v>0.76041666666666663</v>
      </c>
      <c r="I964" s="68">
        <v>0.76041666666666663</v>
      </c>
      <c r="J964" s="68"/>
      <c r="K964" s="67" t="s">
        <v>1718</v>
      </c>
      <c r="L964" s="67" t="s">
        <v>1205</v>
      </c>
      <c r="M964" s="67" t="s">
        <v>1526</v>
      </c>
    </row>
    <row r="965" spans="1:13" ht="12" customHeight="1" x14ac:dyDescent="0.2">
      <c r="A965" s="78">
        <v>237491</v>
      </c>
      <c r="B965" s="67" t="s">
        <v>1018</v>
      </c>
      <c r="C965" s="67" t="s">
        <v>1196</v>
      </c>
      <c r="D965" s="67" t="s">
        <v>1205</v>
      </c>
      <c r="E965" s="67" t="s">
        <v>1519</v>
      </c>
      <c r="F965" s="67" t="s">
        <v>1698</v>
      </c>
      <c r="G965" s="67" t="s">
        <v>7</v>
      </c>
      <c r="H965" s="68">
        <v>0.24305555555555555</v>
      </c>
      <c r="I965" s="68">
        <v>0.24305555555555555</v>
      </c>
      <c r="J965" s="68"/>
      <c r="K965" s="67" t="s">
        <v>1718</v>
      </c>
      <c r="L965" s="67" t="s">
        <v>1205</v>
      </c>
      <c r="M965" s="67" t="s">
        <v>1519</v>
      </c>
    </row>
    <row r="966" spans="1:13" ht="12" customHeight="1" x14ac:dyDescent="0.2">
      <c r="A966" s="78">
        <v>233434</v>
      </c>
      <c r="B966" s="67" t="s">
        <v>1019</v>
      </c>
      <c r="C966" s="67" t="s">
        <v>1196</v>
      </c>
      <c r="D966" s="67" t="s">
        <v>1205</v>
      </c>
      <c r="E966" s="67" t="s">
        <v>1520</v>
      </c>
      <c r="F966" s="67" t="s">
        <v>1699</v>
      </c>
      <c r="G966" s="67" t="s">
        <v>7</v>
      </c>
      <c r="H966" s="68">
        <v>1.8340277777777776</v>
      </c>
      <c r="I966" s="68">
        <v>1.8340277777777776</v>
      </c>
      <c r="J966" s="68"/>
      <c r="K966" s="67" t="s">
        <v>1718</v>
      </c>
      <c r="L966" s="67" t="s">
        <v>1205</v>
      </c>
      <c r="M966" s="67" t="s">
        <v>1520</v>
      </c>
    </row>
    <row r="967" spans="1:13" ht="12" customHeight="1" x14ac:dyDescent="0.2">
      <c r="A967" s="78">
        <v>203339</v>
      </c>
      <c r="B967" s="67" t="s">
        <v>1020</v>
      </c>
      <c r="C967" s="67" t="s">
        <v>1196</v>
      </c>
      <c r="D967" s="67" t="s">
        <v>1205</v>
      </c>
      <c r="E967" s="67" t="s">
        <v>1527</v>
      </c>
      <c r="F967" s="67" t="s">
        <v>1704</v>
      </c>
      <c r="G967" s="67" t="s">
        <v>7</v>
      </c>
      <c r="H967" s="68">
        <v>1.3819444444444444</v>
      </c>
      <c r="I967" s="68">
        <v>1.3819444444444444</v>
      </c>
      <c r="J967" s="68"/>
      <c r="K967" s="67" t="s">
        <v>1719</v>
      </c>
      <c r="L967" s="67" t="s">
        <v>1205</v>
      </c>
      <c r="M967" s="67" t="s">
        <v>1527</v>
      </c>
    </row>
    <row r="968" spans="1:13" ht="12" customHeight="1" x14ac:dyDescent="0.2">
      <c r="A968" s="78">
        <v>235957</v>
      </c>
      <c r="B968" s="67" t="s">
        <v>1021</v>
      </c>
      <c r="C968" s="67" t="s">
        <v>1196</v>
      </c>
      <c r="D968" s="67" t="s">
        <v>1205</v>
      </c>
      <c r="E968" s="67" t="s">
        <v>1528</v>
      </c>
      <c r="F968" s="67" t="s">
        <v>1705</v>
      </c>
      <c r="G968" s="67" t="s">
        <v>7</v>
      </c>
      <c r="H968" s="68">
        <v>20.179166666666667</v>
      </c>
      <c r="I968" s="68">
        <v>20.179166666666667</v>
      </c>
      <c r="J968" s="68"/>
      <c r="K968" s="67" t="s">
        <v>1720</v>
      </c>
      <c r="L968" s="67" t="s">
        <v>1205</v>
      </c>
      <c r="M968" s="67" t="s">
        <v>1528</v>
      </c>
    </row>
    <row r="969" spans="1:13" ht="12" customHeight="1" x14ac:dyDescent="0.2">
      <c r="A969" s="78">
        <v>233380</v>
      </c>
      <c r="B969" s="67" t="s">
        <v>1022</v>
      </c>
      <c r="C969" s="67" t="s">
        <v>1196</v>
      </c>
      <c r="D969" s="67" t="s">
        <v>1205</v>
      </c>
      <c r="E969" s="67" t="s">
        <v>1529</v>
      </c>
      <c r="F969" s="67" t="s">
        <v>1706</v>
      </c>
      <c r="G969" s="67" t="s">
        <v>7</v>
      </c>
      <c r="H969" s="68">
        <v>0.44166666666666665</v>
      </c>
      <c r="I969" s="68">
        <v>0.44166666666666665</v>
      </c>
      <c r="J969" s="68"/>
      <c r="K969" s="67" t="s">
        <v>1718</v>
      </c>
      <c r="L969" s="67" t="s">
        <v>1205</v>
      </c>
      <c r="M969" s="67" t="s">
        <v>1529</v>
      </c>
    </row>
    <row r="970" spans="1:13" ht="12" customHeight="1" x14ac:dyDescent="0.2">
      <c r="A970" s="78">
        <v>238191</v>
      </c>
      <c r="B970" s="67" t="s">
        <v>1023</v>
      </c>
      <c r="C970" s="67" t="s">
        <v>1196</v>
      </c>
      <c r="D970" s="67" t="s">
        <v>1204</v>
      </c>
      <c r="E970" s="67" t="s">
        <v>1530</v>
      </c>
      <c r="F970" s="67" t="s">
        <v>1703</v>
      </c>
      <c r="G970" s="67" t="s">
        <v>7</v>
      </c>
      <c r="H970" s="68">
        <v>0.37777777777777777</v>
      </c>
      <c r="I970" s="68">
        <v>0.37777777777777777</v>
      </c>
      <c r="J970" s="68"/>
      <c r="K970" s="67" t="s">
        <v>1718</v>
      </c>
      <c r="L970" s="67" t="s">
        <v>1204</v>
      </c>
      <c r="M970" s="67" t="s">
        <v>1530</v>
      </c>
    </row>
    <row r="971" spans="1:13" ht="12" customHeight="1" x14ac:dyDescent="0.2">
      <c r="A971" s="78">
        <v>235966</v>
      </c>
      <c r="B971" s="67" t="s">
        <v>1024</v>
      </c>
      <c r="C971" s="67" t="s">
        <v>1196</v>
      </c>
      <c r="D971" s="67" t="s">
        <v>1205</v>
      </c>
      <c r="E971" s="67" t="s">
        <v>1528</v>
      </c>
      <c r="F971" s="67" t="s">
        <v>1705</v>
      </c>
      <c r="G971" s="67" t="s">
        <v>7</v>
      </c>
      <c r="H971" s="68">
        <v>1.9798611111111111</v>
      </c>
      <c r="I971" s="68">
        <v>1.9798611111111111</v>
      </c>
      <c r="J971" s="68"/>
      <c r="K971" s="67" t="s">
        <v>1721</v>
      </c>
      <c r="L971" s="67" t="s">
        <v>1205</v>
      </c>
      <c r="M971" s="67" t="s">
        <v>1528</v>
      </c>
    </row>
    <row r="972" spans="1:13" ht="12" customHeight="1" x14ac:dyDescent="0.2">
      <c r="A972" s="78">
        <v>202925</v>
      </c>
      <c r="B972" s="67" t="s">
        <v>1025</v>
      </c>
      <c r="C972" s="67" t="s">
        <v>1196</v>
      </c>
      <c r="D972" s="67" t="s">
        <v>1205</v>
      </c>
      <c r="E972" s="67" t="s">
        <v>1531</v>
      </c>
      <c r="F972" s="67" t="s">
        <v>1706</v>
      </c>
      <c r="G972" s="67" t="s">
        <v>7</v>
      </c>
      <c r="H972" s="68">
        <v>32.266666666666666</v>
      </c>
      <c r="I972" s="68">
        <v>32.266666666666666</v>
      </c>
      <c r="J972" s="68"/>
      <c r="K972" s="67" t="s">
        <v>1720</v>
      </c>
      <c r="L972" s="67" t="s">
        <v>1205</v>
      </c>
      <c r="M972" s="67" t="s">
        <v>1531</v>
      </c>
    </row>
    <row r="973" spans="1:13" ht="12" customHeight="1" x14ac:dyDescent="0.2">
      <c r="A973" s="78">
        <v>230518</v>
      </c>
      <c r="B973" s="67" t="s">
        <v>1026</v>
      </c>
      <c r="C973" s="67" t="s">
        <v>1196</v>
      </c>
      <c r="D973" s="67" t="s">
        <v>1205</v>
      </c>
      <c r="E973" s="67" t="s">
        <v>1519</v>
      </c>
      <c r="F973" s="67" t="s">
        <v>1698</v>
      </c>
      <c r="G973" s="67" t="s">
        <v>7</v>
      </c>
      <c r="H973" s="68">
        <v>2.8756944444444446</v>
      </c>
      <c r="I973" s="68">
        <v>2.8756944444444446</v>
      </c>
      <c r="J973" s="68"/>
      <c r="K973" s="67" t="s">
        <v>1718</v>
      </c>
      <c r="L973" s="67" t="s">
        <v>1205</v>
      </c>
      <c r="M973" s="67" t="s">
        <v>1519</v>
      </c>
    </row>
    <row r="974" spans="1:13" ht="12" customHeight="1" x14ac:dyDescent="0.2">
      <c r="A974" s="78">
        <v>232506</v>
      </c>
      <c r="B974" s="67" t="s">
        <v>1027</v>
      </c>
      <c r="C974" s="67" t="s">
        <v>1196</v>
      </c>
      <c r="D974" s="67" t="s">
        <v>1205</v>
      </c>
      <c r="E974" s="67" t="s">
        <v>1526</v>
      </c>
      <c r="F974" s="67" t="s">
        <v>1701</v>
      </c>
      <c r="G974" s="67" t="s">
        <v>7</v>
      </c>
      <c r="H974" s="68">
        <v>0.47152777777777777</v>
      </c>
      <c r="I974" s="68">
        <v>0.47152777777777777</v>
      </c>
      <c r="J974" s="68"/>
      <c r="K974" s="67" t="s">
        <v>1718</v>
      </c>
      <c r="L974" s="67" t="s">
        <v>1205</v>
      </c>
      <c r="M974" s="67" t="s">
        <v>1526</v>
      </c>
    </row>
    <row r="975" spans="1:13" ht="12" customHeight="1" x14ac:dyDescent="0.2">
      <c r="A975" s="78">
        <v>230559</v>
      </c>
      <c r="B975" s="67" t="s">
        <v>1028</v>
      </c>
      <c r="C975" s="67" t="s">
        <v>1196</v>
      </c>
      <c r="D975" s="67" t="s">
        <v>1205</v>
      </c>
      <c r="E975" s="67" t="s">
        <v>1526</v>
      </c>
      <c r="F975" s="67" t="s">
        <v>1701</v>
      </c>
      <c r="G975" s="67" t="s">
        <v>7</v>
      </c>
      <c r="H975" s="68">
        <v>2.8069444444444445</v>
      </c>
      <c r="I975" s="68">
        <v>2.8069444444444445</v>
      </c>
      <c r="J975" s="68"/>
      <c r="K975" s="67" t="s">
        <v>1718</v>
      </c>
      <c r="L975" s="67" t="s">
        <v>1205</v>
      </c>
      <c r="M975" s="67" t="s">
        <v>1526</v>
      </c>
    </row>
    <row r="976" spans="1:13" ht="12" customHeight="1" x14ac:dyDescent="0.2">
      <c r="A976" s="78">
        <v>232249</v>
      </c>
      <c r="B976" s="67" t="s">
        <v>1029</v>
      </c>
      <c r="C976" s="67" t="s">
        <v>1196</v>
      </c>
      <c r="D976" s="67" t="s">
        <v>1205</v>
      </c>
      <c r="E976" s="67" t="s">
        <v>1531</v>
      </c>
      <c r="F976" s="67" t="s">
        <v>1706</v>
      </c>
      <c r="G976" s="67" t="s">
        <v>7</v>
      </c>
      <c r="H976" s="68">
        <v>7.6388888888888886E-3</v>
      </c>
      <c r="I976" s="68">
        <v>7.6388888888888886E-3</v>
      </c>
      <c r="J976" s="68"/>
      <c r="K976" s="67" t="s">
        <v>1720</v>
      </c>
      <c r="L976" s="67" t="s">
        <v>1205</v>
      </c>
      <c r="M976" s="67" t="s">
        <v>1531</v>
      </c>
    </row>
    <row r="977" spans="1:13" ht="12" customHeight="1" x14ac:dyDescent="0.2">
      <c r="A977" s="78">
        <v>235963</v>
      </c>
      <c r="B977" s="67" t="s">
        <v>1030</v>
      </c>
      <c r="C977" s="67" t="s">
        <v>1196</v>
      </c>
      <c r="D977" s="67" t="s">
        <v>1205</v>
      </c>
      <c r="E977" s="67" t="s">
        <v>1532</v>
      </c>
      <c r="F977" s="67" t="s">
        <v>1705</v>
      </c>
      <c r="G977" s="67" t="s">
        <v>7</v>
      </c>
      <c r="H977" s="68">
        <v>22.631250000000001</v>
      </c>
      <c r="I977" s="68">
        <v>22.631250000000001</v>
      </c>
      <c r="J977" s="68"/>
      <c r="K977" s="67" t="s">
        <v>1718</v>
      </c>
      <c r="L977" s="67" t="s">
        <v>1205</v>
      </c>
      <c r="M977" s="67" t="s">
        <v>1532</v>
      </c>
    </row>
    <row r="978" spans="1:13" ht="12" customHeight="1" x14ac:dyDescent="0.2">
      <c r="A978" s="78">
        <v>236870</v>
      </c>
      <c r="B978" s="67" t="s">
        <v>1031</v>
      </c>
      <c r="C978" s="67" t="s">
        <v>1196</v>
      </c>
      <c r="D978" s="67" t="s">
        <v>1205</v>
      </c>
      <c r="E978" s="67" t="s">
        <v>1520</v>
      </c>
      <c r="F978" s="67" t="s">
        <v>1699</v>
      </c>
      <c r="G978" s="67" t="s">
        <v>7</v>
      </c>
      <c r="H978" s="68">
        <v>5.9604166666666671</v>
      </c>
      <c r="I978" s="68">
        <v>5.9604166666666671</v>
      </c>
      <c r="J978" s="68"/>
      <c r="K978" s="67" t="s">
        <v>1718</v>
      </c>
      <c r="L978" s="67" t="s">
        <v>1205</v>
      </c>
      <c r="M978" s="67" t="s">
        <v>1520</v>
      </c>
    </row>
    <row r="979" spans="1:13" ht="12" customHeight="1" x14ac:dyDescent="0.2">
      <c r="A979" s="78">
        <v>230403</v>
      </c>
      <c r="B979" s="67" t="s">
        <v>1032</v>
      </c>
      <c r="C979" s="67" t="s">
        <v>1196</v>
      </c>
      <c r="D979" s="67" t="s">
        <v>1205</v>
      </c>
      <c r="E979" s="67" t="s">
        <v>1526</v>
      </c>
      <c r="F979" s="67" t="s">
        <v>1701</v>
      </c>
      <c r="G979" s="67" t="s">
        <v>7</v>
      </c>
      <c r="H979" s="68">
        <v>0.55833333333333335</v>
      </c>
      <c r="I979" s="68">
        <v>0.55833333333333335</v>
      </c>
      <c r="J979" s="68"/>
      <c r="K979" s="67" t="s">
        <v>1718</v>
      </c>
      <c r="L979" s="67" t="s">
        <v>1205</v>
      </c>
      <c r="M979" s="67" t="s">
        <v>1526</v>
      </c>
    </row>
    <row r="980" spans="1:13" ht="12" customHeight="1" x14ac:dyDescent="0.2">
      <c r="A980" s="78">
        <v>233457</v>
      </c>
      <c r="B980" s="67" t="s">
        <v>1033</v>
      </c>
      <c r="C980" s="67" t="s">
        <v>1196</v>
      </c>
      <c r="D980" s="67" t="s">
        <v>1205</v>
      </c>
      <c r="E980" s="67" t="s">
        <v>1520</v>
      </c>
      <c r="F980" s="67" t="s">
        <v>1699</v>
      </c>
      <c r="G980" s="67" t="s">
        <v>7</v>
      </c>
      <c r="H980" s="68">
        <v>3.6861111111111109</v>
      </c>
      <c r="I980" s="68">
        <v>3.6861111111111109</v>
      </c>
      <c r="J980" s="68"/>
      <c r="K980" s="67" t="s">
        <v>1718</v>
      </c>
      <c r="L980" s="67" t="s">
        <v>1205</v>
      </c>
      <c r="M980" s="67" t="s">
        <v>1520</v>
      </c>
    </row>
    <row r="981" spans="1:13" ht="12" customHeight="1" x14ac:dyDescent="0.2">
      <c r="A981" s="78">
        <v>231739</v>
      </c>
      <c r="B981" s="67" t="s">
        <v>1034</v>
      </c>
      <c r="C981" s="67" t="s">
        <v>1196</v>
      </c>
      <c r="D981" s="67" t="s">
        <v>1204</v>
      </c>
      <c r="E981" s="67" t="s">
        <v>1533</v>
      </c>
      <c r="F981" s="67" t="s">
        <v>1707</v>
      </c>
      <c r="G981" s="67" t="s">
        <v>7</v>
      </c>
      <c r="H981" s="68">
        <v>0.40972222222222227</v>
      </c>
      <c r="I981" s="68">
        <v>0.40972222222222227</v>
      </c>
      <c r="J981" s="68"/>
      <c r="K981" s="67" t="s">
        <v>1720</v>
      </c>
      <c r="L981" s="67" t="s">
        <v>1204</v>
      </c>
      <c r="M981" s="67" t="s">
        <v>1533</v>
      </c>
    </row>
    <row r="982" spans="1:13" ht="12" customHeight="1" x14ac:dyDescent="0.2">
      <c r="A982" s="78">
        <v>236617</v>
      </c>
      <c r="B982" s="67" t="s">
        <v>1035</v>
      </c>
      <c r="C982" s="67" t="s">
        <v>1196</v>
      </c>
      <c r="D982" s="67" t="s">
        <v>1205</v>
      </c>
      <c r="E982" s="67" t="s">
        <v>1521</v>
      </c>
      <c r="F982" s="67" t="s">
        <v>1700</v>
      </c>
      <c r="G982" s="67" t="s">
        <v>7</v>
      </c>
      <c r="H982" s="68">
        <v>11.805555555555555</v>
      </c>
      <c r="I982" s="68">
        <v>11.805555555555555</v>
      </c>
      <c r="J982" s="68"/>
      <c r="K982" s="67" t="s">
        <v>1720</v>
      </c>
      <c r="L982" s="67" t="s">
        <v>1205</v>
      </c>
      <c r="M982" s="67" t="s">
        <v>1521</v>
      </c>
    </row>
    <row r="983" spans="1:13" ht="12" customHeight="1" x14ac:dyDescent="0.2">
      <c r="A983" s="78">
        <v>234608</v>
      </c>
      <c r="B983" s="67" t="s">
        <v>1036</v>
      </c>
      <c r="C983" s="67" t="s">
        <v>1196</v>
      </c>
      <c r="D983" s="67" t="s">
        <v>1204</v>
      </c>
      <c r="E983" s="67" t="s">
        <v>1534</v>
      </c>
      <c r="F983" s="67" t="s">
        <v>1707</v>
      </c>
      <c r="G983" s="67" t="s">
        <v>7</v>
      </c>
      <c r="H983" s="68">
        <v>6.805555555555555E-2</v>
      </c>
      <c r="I983" s="68">
        <v>6.805555555555555E-2</v>
      </c>
      <c r="J983" s="68"/>
      <c r="K983" s="67" t="s">
        <v>1718</v>
      </c>
      <c r="L983" s="67" t="s">
        <v>1204</v>
      </c>
      <c r="M983" s="67" t="s">
        <v>1534</v>
      </c>
    </row>
    <row r="984" spans="1:13" ht="12" customHeight="1" x14ac:dyDescent="0.2">
      <c r="A984" s="78">
        <v>217928</v>
      </c>
      <c r="B984" s="67" t="s">
        <v>1037</v>
      </c>
      <c r="C984" s="67" t="s">
        <v>1196</v>
      </c>
      <c r="D984" s="67" t="s">
        <v>1204</v>
      </c>
      <c r="E984" s="67" t="s">
        <v>1525</v>
      </c>
      <c r="F984" s="67" t="s">
        <v>1703</v>
      </c>
      <c r="G984" s="67" t="s">
        <v>7</v>
      </c>
      <c r="H984" s="68">
        <v>2.4833333333333334</v>
      </c>
      <c r="I984" s="68">
        <v>2.4833333333333334</v>
      </c>
      <c r="J984" s="68"/>
      <c r="K984" s="67" t="s">
        <v>1721</v>
      </c>
      <c r="L984" s="67" t="s">
        <v>1204</v>
      </c>
      <c r="M984" s="67" t="s">
        <v>1525</v>
      </c>
    </row>
    <row r="985" spans="1:13" ht="12" customHeight="1" x14ac:dyDescent="0.2">
      <c r="A985" s="78">
        <v>201004</v>
      </c>
      <c r="B985" s="67" t="s">
        <v>1038</v>
      </c>
      <c r="C985" s="67" t="s">
        <v>1196</v>
      </c>
      <c r="D985" s="67" t="s">
        <v>1205</v>
      </c>
      <c r="E985" s="67" t="s">
        <v>1522</v>
      </c>
      <c r="F985" s="67" t="s">
        <v>1701</v>
      </c>
      <c r="G985" s="67" t="s">
        <v>7</v>
      </c>
      <c r="H985" s="68">
        <v>0.28472222222222221</v>
      </c>
      <c r="I985" s="68">
        <v>0.28472222222222221</v>
      </c>
      <c r="J985" s="68"/>
      <c r="K985" s="67" t="s">
        <v>1721</v>
      </c>
      <c r="L985" s="67" t="s">
        <v>1205</v>
      </c>
      <c r="M985" s="67" t="s">
        <v>1522</v>
      </c>
    </row>
    <row r="986" spans="1:13" ht="12" customHeight="1" x14ac:dyDescent="0.2">
      <c r="A986" s="78">
        <v>234530</v>
      </c>
      <c r="B986" s="67" t="s">
        <v>1039</v>
      </c>
      <c r="C986" s="67" t="s">
        <v>1196</v>
      </c>
      <c r="D986" s="67" t="s">
        <v>1205</v>
      </c>
      <c r="E986" s="67" t="s">
        <v>1529</v>
      </c>
      <c r="F986" s="67" t="s">
        <v>1706</v>
      </c>
      <c r="G986" s="67" t="s">
        <v>7</v>
      </c>
      <c r="H986" s="68">
        <v>0.4152777777777778</v>
      </c>
      <c r="I986" s="68">
        <v>0.4152777777777778</v>
      </c>
      <c r="J986" s="68"/>
      <c r="K986" s="67" t="s">
        <v>1718</v>
      </c>
      <c r="L986" s="67" t="s">
        <v>1205</v>
      </c>
      <c r="M986" s="67" t="s">
        <v>1529</v>
      </c>
    </row>
    <row r="987" spans="1:13" ht="12" customHeight="1" x14ac:dyDescent="0.2">
      <c r="A987" s="78">
        <v>218005</v>
      </c>
      <c r="B987" s="67" t="s">
        <v>1040</v>
      </c>
      <c r="C987" s="67" t="s">
        <v>1196</v>
      </c>
      <c r="D987" s="67" t="s">
        <v>1205</v>
      </c>
      <c r="E987" s="67" t="s">
        <v>1522</v>
      </c>
      <c r="F987" s="67" t="s">
        <v>1701</v>
      </c>
      <c r="G987" s="67" t="s">
        <v>7</v>
      </c>
      <c r="H987" s="68">
        <v>2.3972222222222221</v>
      </c>
      <c r="I987" s="68">
        <v>2.3972222222222221</v>
      </c>
      <c r="J987" s="68"/>
      <c r="K987" s="67" t="s">
        <v>1720</v>
      </c>
      <c r="L987" s="67" t="s">
        <v>1205</v>
      </c>
      <c r="M987" s="67" t="s">
        <v>1522</v>
      </c>
    </row>
    <row r="988" spans="1:13" ht="12" customHeight="1" x14ac:dyDescent="0.2">
      <c r="A988" s="78">
        <v>236042</v>
      </c>
      <c r="B988" s="67" t="s">
        <v>1041</v>
      </c>
      <c r="C988" s="67" t="s">
        <v>1196</v>
      </c>
      <c r="D988" s="67" t="s">
        <v>1205</v>
      </c>
      <c r="E988" s="67" t="s">
        <v>1529</v>
      </c>
      <c r="F988" s="67" t="s">
        <v>1706</v>
      </c>
      <c r="G988" s="67" t="s">
        <v>7</v>
      </c>
      <c r="H988" s="68">
        <v>0.48680555555555555</v>
      </c>
      <c r="I988" s="68">
        <v>0.48680555555555555</v>
      </c>
      <c r="J988" s="68"/>
      <c r="K988" s="67" t="s">
        <v>1718</v>
      </c>
      <c r="L988" s="67" t="s">
        <v>1205</v>
      </c>
      <c r="M988" s="67" t="s">
        <v>1529</v>
      </c>
    </row>
    <row r="989" spans="1:13" ht="12" customHeight="1" x14ac:dyDescent="0.2">
      <c r="A989" s="78">
        <v>219308</v>
      </c>
      <c r="B989" s="67" t="s">
        <v>1042</v>
      </c>
      <c r="C989" s="67" t="s">
        <v>1196</v>
      </c>
      <c r="D989" s="67" t="s">
        <v>1205</v>
      </c>
      <c r="E989" s="67" t="s">
        <v>1524</v>
      </c>
      <c r="F989" s="67" t="s">
        <v>1702</v>
      </c>
      <c r="G989" s="67" t="s">
        <v>7</v>
      </c>
      <c r="H989" s="68">
        <v>6.3888888888888884E-2</v>
      </c>
      <c r="I989" s="68">
        <v>6.3888888888888884E-2</v>
      </c>
      <c r="J989" s="68"/>
      <c r="K989" s="67" t="s">
        <v>1720</v>
      </c>
      <c r="L989" s="67" t="s">
        <v>1205</v>
      </c>
      <c r="M989" s="67" t="s">
        <v>1524</v>
      </c>
    </row>
    <row r="990" spans="1:13" ht="12" customHeight="1" x14ac:dyDescent="0.2">
      <c r="A990" s="78">
        <v>230388</v>
      </c>
      <c r="B990" s="67" t="s">
        <v>1043</v>
      </c>
      <c r="C990" s="67" t="s">
        <v>1196</v>
      </c>
      <c r="D990" s="67" t="s">
        <v>1205</v>
      </c>
      <c r="E990" s="67" t="s">
        <v>1526</v>
      </c>
      <c r="F990" s="67" t="s">
        <v>1701</v>
      </c>
      <c r="G990" s="67" t="s">
        <v>7</v>
      </c>
      <c r="H990" s="68">
        <v>2.4993055555555554</v>
      </c>
      <c r="I990" s="68">
        <v>2.4993055555555554</v>
      </c>
      <c r="J990" s="68"/>
      <c r="K990" s="67" t="s">
        <v>1718</v>
      </c>
      <c r="L990" s="67" t="s">
        <v>1205</v>
      </c>
      <c r="M990" s="67" t="s">
        <v>1526</v>
      </c>
    </row>
    <row r="991" spans="1:13" ht="12" customHeight="1" x14ac:dyDescent="0.2">
      <c r="A991" s="78">
        <v>203583</v>
      </c>
      <c r="B991" s="67" t="s">
        <v>1044</v>
      </c>
      <c r="C991" s="67" t="s">
        <v>1196</v>
      </c>
      <c r="D991" s="67" t="s">
        <v>1205</v>
      </c>
      <c r="E991" s="67" t="s">
        <v>1520</v>
      </c>
      <c r="F991" s="67" t="s">
        <v>1699</v>
      </c>
      <c r="G991" s="67" t="s">
        <v>7</v>
      </c>
      <c r="H991" s="68">
        <v>3.8361111111111112</v>
      </c>
      <c r="I991" s="68">
        <v>3.8361111111111112</v>
      </c>
      <c r="J991" s="68"/>
      <c r="K991" s="67" t="s">
        <v>1718</v>
      </c>
      <c r="L991" s="67" t="s">
        <v>1205</v>
      </c>
      <c r="M991" s="67" t="s">
        <v>1520</v>
      </c>
    </row>
    <row r="992" spans="1:13" ht="12" customHeight="1" x14ac:dyDescent="0.2">
      <c r="A992" s="78">
        <v>220228</v>
      </c>
      <c r="B992" s="67" t="s">
        <v>1045</v>
      </c>
      <c r="C992" s="67" t="s">
        <v>1196</v>
      </c>
      <c r="D992" s="67" t="s">
        <v>1204</v>
      </c>
      <c r="E992" s="67" t="s">
        <v>1535</v>
      </c>
      <c r="F992" s="67" t="s">
        <v>1682</v>
      </c>
      <c r="G992" s="67" t="s">
        <v>7</v>
      </c>
      <c r="H992" s="68">
        <v>4.4618055555555554</v>
      </c>
      <c r="I992" s="68">
        <v>4.4618055555555554</v>
      </c>
      <c r="J992" s="68"/>
      <c r="K992" s="67" t="s">
        <v>1726</v>
      </c>
      <c r="L992" s="67" t="s">
        <v>1204</v>
      </c>
      <c r="M992" s="67" t="s">
        <v>1535</v>
      </c>
    </row>
    <row r="993" spans="1:13" ht="12" customHeight="1" x14ac:dyDescent="0.2">
      <c r="A993" s="78">
        <v>221057</v>
      </c>
      <c r="B993" s="67" t="s">
        <v>1046</v>
      </c>
      <c r="C993" s="67" t="s">
        <v>1196</v>
      </c>
      <c r="D993" s="67" t="s">
        <v>1204</v>
      </c>
      <c r="E993" s="67" t="s">
        <v>1525</v>
      </c>
      <c r="F993" s="67" t="s">
        <v>1703</v>
      </c>
      <c r="G993" s="67" t="s">
        <v>7</v>
      </c>
      <c r="H993" s="68">
        <v>3.5145833333333334</v>
      </c>
      <c r="I993" s="68">
        <v>3.5145833333333334</v>
      </c>
      <c r="J993" s="68"/>
      <c r="K993" s="67" t="s">
        <v>1720</v>
      </c>
      <c r="L993" s="67" t="s">
        <v>1204</v>
      </c>
      <c r="M993" s="67" t="s">
        <v>1525</v>
      </c>
    </row>
    <row r="994" spans="1:13" ht="12" customHeight="1" x14ac:dyDescent="0.2">
      <c r="A994" s="78">
        <v>236411</v>
      </c>
      <c r="B994" s="67" t="s">
        <v>1047</v>
      </c>
      <c r="C994" s="67" t="s">
        <v>1196</v>
      </c>
      <c r="D994" s="67" t="s">
        <v>1204</v>
      </c>
      <c r="E994" s="67" t="s">
        <v>1534</v>
      </c>
      <c r="F994" s="67" t="s">
        <v>1707</v>
      </c>
      <c r="G994" s="67" t="s">
        <v>8</v>
      </c>
      <c r="H994" s="68">
        <v>1.8986111111111112</v>
      </c>
      <c r="I994" s="68"/>
      <c r="J994" s="68">
        <v>1.8986111111111112</v>
      </c>
      <c r="K994" s="67" t="s">
        <v>1718</v>
      </c>
      <c r="L994" s="67" t="s">
        <v>1204</v>
      </c>
      <c r="M994" s="67" t="s">
        <v>1534</v>
      </c>
    </row>
    <row r="995" spans="1:13" ht="12" customHeight="1" x14ac:dyDescent="0.2">
      <c r="A995" s="78">
        <v>237670</v>
      </c>
      <c r="B995" s="67" t="s">
        <v>1048</v>
      </c>
      <c r="C995" s="67" t="s">
        <v>1196</v>
      </c>
      <c r="D995" s="67" t="s">
        <v>1204</v>
      </c>
      <c r="E995" s="67" t="s">
        <v>1534</v>
      </c>
      <c r="F995" s="67" t="s">
        <v>1707</v>
      </c>
      <c r="G995" s="67" t="s">
        <v>8</v>
      </c>
      <c r="H995" s="68">
        <v>1.7152777777777777</v>
      </c>
      <c r="I995" s="68"/>
      <c r="J995" s="68">
        <v>1.7152777777777777</v>
      </c>
      <c r="K995" s="67" t="s">
        <v>1718</v>
      </c>
      <c r="L995" s="67" t="s">
        <v>1204</v>
      </c>
      <c r="M995" s="67" t="s">
        <v>1534</v>
      </c>
    </row>
    <row r="996" spans="1:13" ht="12" customHeight="1" x14ac:dyDescent="0.2">
      <c r="A996" s="78">
        <v>225547</v>
      </c>
      <c r="B996" s="67" t="s">
        <v>1049</v>
      </c>
      <c r="C996" s="67" t="s">
        <v>1196</v>
      </c>
      <c r="D996" s="67" t="s">
        <v>1205</v>
      </c>
      <c r="E996" s="67" t="s">
        <v>1536</v>
      </c>
      <c r="F996" s="67" t="s">
        <v>1702</v>
      </c>
      <c r="G996" s="67" t="s">
        <v>8</v>
      </c>
      <c r="H996" s="68">
        <v>1.6513888888888888</v>
      </c>
      <c r="I996" s="68"/>
      <c r="J996" s="68">
        <v>1.6513888888888888</v>
      </c>
      <c r="K996" s="67" t="s">
        <v>1718</v>
      </c>
      <c r="L996" s="67" t="s">
        <v>1205</v>
      </c>
      <c r="M996" s="67" t="s">
        <v>1536</v>
      </c>
    </row>
    <row r="997" spans="1:13" ht="12" customHeight="1" x14ac:dyDescent="0.2">
      <c r="A997" s="78">
        <v>237666</v>
      </c>
      <c r="B997" s="67" t="s">
        <v>1050</v>
      </c>
      <c r="C997" s="67" t="s">
        <v>1196</v>
      </c>
      <c r="D997" s="67" t="s">
        <v>1204</v>
      </c>
      <c r="E997" s="67" t="s">
        <v>1534</v>
      </c>
      <c r="F997" s="67" t="s">
        <v>1707</v>
      </c>
      <c r="G997" s="67" t="s">
        <v>8</v>
      </c>
      <c r="H997" s="68">
        <v>1.6076388888888891</v>
      </c>
      <c r="I997" s="68"/>
      <c r="J997" s="68">
        <v>1.6076388888888891</v>
      </c>
      <c r="K997" s="67" t="s">
        <v>1718</v>
      </c>
      <c r="L997" s="67" t="s">
        <v>1204</v>
      </c>
      <c r="M997" s="67" t="s">
        <v>1534</v>
      </c>
    </row>
    <row r="998" spans="1:13" ht="12" customHeight="1" x14ac:dyDescent="0.2">
      <c r="A998" s="78">
        <v>203231</v>
      </c>
      <c r="B998" s="67" t="s">
        <v>1051</v>
      </c>
      <c r="C998" s="67" t="s">
        <v>1196</v>
      </c>
      <c r="D998" s="67" t="s">
        <v>1205</v>
      </c>
      <c r="E998" s="67" t="s">
        <v>1536</v>
      </c>
      <c r="F998" s="67" t="s">
        <v>1702</v>
      </c>
      <c r="G998" s="67" t="s">
        <v>8</v>
      </c>
      <c r="H998" s="68">
        <v>1.242361111111111</v>
      </c>
      <c r="I998" s="68"/>
      <c r="J998" s="68">
        <v>1.242361111111111</v>
      </c>
      <c r="K998" s="67" t="s">
        <v>1718</v>
      </c>
      <c r="L998" s="67" t="s">
        <v>1205</v>
      </c>
      <c r="M998" s="67" t="s">
        <v>1536</v>
      </c>
    </row>
    <row r="999" spans="1:13" ht="12" customHeight="1" x14ac:dyDescent="0.2">
      <c r="A999" s="78">
        <v>231271</v>
      </c>
      <c r="B999" s="67" t="s">
        <v>1052</v>
      </c>
      <c r="C999" s="67" t="s">
        <v>1196</v>
      </c>
      <c r="D999" s="67" t="s">
        <v>1204</v>
      </c>
      <c r="E999" s="67" t="s">
        <v>1534</v>
      </c>
      <c r="F999" s="67" t="s">
        <v>1707</v>
      </c>
      <c r="G999" s="67" t="s">
        <v>8</v>
      </c>
      <c r="H999" s="68">
        <v>1.1291666666666667</v>
      </c>
      <c r="I999" s="68"/>
      <c r="J999" s="68">
        <v>1.1291666666666667</v>
      </c>
      <c r="K999" s="67" t="s">
        <v>1718</v>
      </c>
      <c r="L999" s="67" t="s">
        <v>1204</v>
      </c>
      <c r="M999" s="67" t="s">
        <v>1534</v>
      </c>
    </row>
    <row r="1000" spans="1:13" ht="12" customHeight="1" x14ac:dyDescent="0.2">
      <c r="A1000" s="78">
        <v>220205</v>
      </c>
      <c r="B1000" s="67" t="s">
        <v>1053</v>
      </c>
      <c r="C1000" s="67" t="s">
        <v>1196</v>
      </c>
      <c r="D1000" s="67" t="s">
        <v>1204</v>
      </c>
      <c r="E1000" s="67" t="s">
        <v>1537</v>
      </c>
      <c r="F1000" s="67" t="s">
        <v>1682</v>
      </c>
      <c r="G1000" s="67" t="s">
        <v>8</v>
      </c>
      <c r="H1000" s="68">
        <v>1.0763888888888888</v>
      </c>
      <c r="I1000" s="68"/>
      <c r="J1000" s="68">
        <v>1.0763888888888888</v>
      </c>
      <c r="K1000" s="67" t="s">
        <v>1726</v>
      </c>
      <c r="L1000" s="67" t="s">
        <v>1204</v>
      </c>
      <c r="M1000" s="67" t="s">
        <v>1537</v>
      </c>
    </row>
    <row r="1001" spans="1:13" ht="12" customHeight="1" x14ac:dyDescent="0.2">
      <c r="A1001" s="78">
        <v>216570</v>
      </c>
      <c r="B1001" s="67" t="s">
        <v>1054</v>
      </c>
      <c r="C1001" s="67" t="s">
        <v>1196</v>
      </c>
      <c r="D1001" s="67" t="s">
        <v>1205</v>
      </c>
      <c r="E1001" s="67" t="s">
        <v>1538</v>
      </c>
      <c r="F1001" s="67" t="s">
        <v>1704</v>
      </c>
      <c r="G1001" s="67" t="s">
        <v>8</v>
      </c>
      <c r="H1001" s="68">
        <v>1.0131944444444445</v>
      </c>
      <c r="I1001" s="68"/>
      <c r="J1001" s="68">
        <v>1.0131944444444445</v>
      </c>
      <c r="K1001" s="67" t="s">
        <v>1726</v>
      </c>
      <c r="L1001" s="67" t="s">
        <v>1205</v>
      </c>
      <c r="M1001" s="67" t="s">
        <v>1538</v>
      </c>
    </row>
    <row r="1002" spans="1:13" ht="12" customHeight="1" x14ac:dyDescent="0.2">
      <c r="A1002" s="78">
        <v>219156</v>
      </c>
      <c r="B1002" s="67" t="s">
        <v>1055</v>
      </c>
      <c r="C1002" s="67" t="s">
        <v>1196</v>
      </c>
      <c r="D1002" s="67" t="s">
        <v>1204</v>
      </c>
      <c r="E1002" s="67" t="s">
        <v>1533</v>
      </c>
      <c r="F1002" s="67" t="s">
        <v>1707</v>
      </c>
      <c r="G1002" s="67" t="s">
        <v>8</v>
      </c>
      <c r="H1002" s="68">
        <v>0.98888888888888893</v>
      </c>
      <c r="I1002" s="68"/>
      <c r="J1002" s="68">
        <v>0.98888888888888893</v>
      </c>
      <c r="K1002" s="67" t="s">
        <v>1720</v>
      </c>
      <c r="L1002" s="67" t="s">
        <v>1204</v>
      </c>
      <c r="M1002" s="67" t="s">
        <v>1533</v>
      </c>
    </row>
    <row r="1003" spans="1:13" ht="12" customHeight="1" x14ac:dyDescent="0.2">
      <c r="A1003" s="78">
        <v>238053</v>
      </c>
      <c r="B1003" s="67" t="s">
        <v>1056</v>
      </c>
      <c r="C1003" s="67" t="s">
        <v>1196</v>
      </c>
      <c r="D1003" s="67" t="s">
        <v>1205</v>
      </c>
      <c r="E1003" s="67" t="s">
        <v>1532</v>
      </c>
      <c r="F1003" s="67" t="s">
        <v>1705</v>
      </c>
      <c r="G1003" s="67" t="s">
        <v>8</v>
      </c>
      <c r="H1003" s="68">
        <v>0.97361111111111109</v>
      </c>
      <c r="I1003" s="68"/>
      <c r="J1003" s="68">
        <v>0.97361111111111109</v>
      </c>
      <c r="K1003" s="67" t="s">
        <v>1718</v>
      </c>
      <c r="L1003" s="67" t="s">
        <v>1205</v>
      </c>
      <c r="M1003" s="67" t="s">
        <v>1532</v>
      </c>
    </row>
    <row r="1004" spans="1:13" ht="12" customHeight="1" x14ac:dyDescent="0.2">
      <c r="A1004" s="78">
        <v>237937</v>
      </c>
      <c r="B1004" s="67" t="s">
        <v>1057</v>
      </c>
      <c r="C1004" s="67" t="s">
        <v>1196</v>
      </c>
      <c r="D1004" s="67" t="s">
        <v>1205</v>
      </c>
      <c r="E1004" s="67" t="s">
        <v>1539</v>
      </c>
      <c r="F1004" s="67" t="s">
        <v>1698</v>
      </c>
      <c r="G1004" s="67" t="s">
        <v>8</v>
      </c>
      <c r="H1004" s="68">
        <v>0.86249999999999993</v>
      </c>
      <c r="I1004" s="68"/>
      <c r="J1004" s="68">
        <v>0.86249999999999993</v>
      </c>
      <c r="K1004" s="67" t="s">
        <v>1720</v>
      </c>
      <c r="L1004" s="67" t="s">
        <v>1205</v>
      </c>
      <c r="M1004" s="67" t="s">
        <v>1539</v>
      </c>
    </row>
    <row r="1005" spans="1:13" ht="12" customHeight="1" x14ac:dyDescent="0.2">
      <c r="A1005" s="78">
        <v>237901</v>
      </c>
      <c r="B1005" s="67" t="s">
        <v>1058</v>
      </c>
      <c r="C1005" s="67" t="s">
        <v>1196</v>
      </c>
      <c r="D1005" s="67" t="s">
        <v>1204</v>
      </c>
      <c r="E1005" s="67" t="s">
        <v>1540</v>
      </c>
      <c r="F1005" s="67" t="s">
        <v>1708</v>
      </c>
      <c r="G1005" s="67" t="s">
        <v>8</v>
      </c>
      <c r="H1005" s="68">
        <v>0.80833333333333324</v>
      </c>
      <c r="I1005" s="68"/>
      <c r="J1005" s="68">
        <v>0.80833333333333324</v>
      </c>
      <c r="K1005" s="67" t="s">
        <v>1718</v>
      </c>
      <c r="L1005" s="67" t="s">
        <v>1204</v>
      </c>
      <c r="M1005" s="67" t="s">
        <v>1540</v>
      </c>
    </row>
    <row r="1006" spans="1:13" ht="12" customHeight="1" x14ac:dyDescent="0.2">
      <c r="A1006" s="78">
        <v>203638</v>
      </c>
      <c r="B1006" s="67" t="s">
        <v>1059</v>
      </c>
      <c r="C1006" s="67" t="s">
        <v>1196</v>
      </c>
      <c r="D1006" s="67" t="s">
        <v>1205</v>
      </c>
      <c r="E1006" s="67" t="s">
        <v>1523</v>
      </c>
      <c r="F1006" s="67" t="s">
        <v>1700</v>
      </c>
      <c r="G1006" s="67" t="s">
        <v>8</v>
      </c>
      <c r="H1006" s="68">
        <v>0.79791666666666661</v>
      </c>
      <c r="I1006" s="68"/>
      <c r="J1006" s="68">
        <v>0.79791666666666661</v>
      </c>
      <c r="K1006" s="67" t="s">
        <v>1718</v>
      </c>
      <c r="L1006" s="67" t="s">
        <v>1205</v>
      </c>
      <c r="M1006" s="67" t="s">
        <v>1523</v>
      </c>
    </row>
    <row r="1007" spans="1:13" ht="12" customHeight="1" x14ac:dyDescent="0.2">
      <c r="A1007" s="78">
        <v>237715</v>
      </c>
      <c r="B1007" s="67" t="s">
        <v>1060</v>
      </c>
      <c r="C1007" s="67" t="s">
        <v>1196</v>
      </c>
      <c r="D1007" s="67" t="s">
        <v>1204</v>
      </c>
      <c r="E1007" s="67" t="s">
        <v>1534</v>
      </c>
      <c r="F1007" s="67" t="s">
        <v>1707</v>
      </c>
      <c r="G1007" s="67" t="s">
        <v>8</v>
      </c>
      <c r="H1007" s="68">
        <v>0.78194444444444444</v>
      </c>
      <c r="I1007" s="68"/>
      <c r="J1007" s="68">
        <v>0.78194444444444444</v>
      </c>
      <c r="K1007" s="67" t="s">
        <v>1718</v>
      </c>
      <c r="L1007" s="67" t="s">
        <v>1204</v>
      </c>
      <c r="M1007" s="67" t="s">
        <v>1534</v>
      </c>
    </row>
    <row r="1008" spans="1:13" ht="12" customHeight="1" x14ac:dyDescent="0.2">
      <c r="A1008" s="78">
        <v>237754</v>
      </c>
      <c r="B1008" s="67" t="s">
        <v>1061</v>
      </c>
      <c r="C1008" s="67" t="s">
        <v>1196</v>
      </c>
      <c r="D1008" s="67" t="s">
        <v>1204</v>
      </c>
      <c r="E1008" s="67" t="s">
        <v>1540</v>
      </c>
      <c r="F1008" s="67" t="s">
        <v>1708</v>
      </c>
      <c r="G1008" s="67" t="s">
        <v>8</v>
      </c>
      <c r="H1008" s="68">
        <v>0.70000000000000007</v>
      </c>
      <c r="I1008" s="68"/>
      <c r="J1008" s="68">
        <v>0.70000000000000007</v>
      </c>
      <c r="K1008" s="67" t="s">
        <v>1718</v>
      </c>
      <c r="L1008" s="67" t="s">
        <v>1204</v>
      </c>
      <c r="M1008" s="67" t="s">
        <v>1540</v>
      </c>
    </row>
    <row r="1009" spans="1:13" ht="12" customHeight="1" x14ac:dyDescent="0.2">
      <c r="A1009" s="78">
        <v>223959</v>
      </c>
      <c r="B1009" s="67" t="s">
        <v>1062</v>
      </c>
      <c r="C1009" s="67" t="s">
        <v>1196</v>
      </c>
      <c r="D1009" s="67" t="s">
        <v>1205</v>
      </c>
      <c r="E1009" s="67" t="s">
        <v>1526</v>
      </c>
      <c r="F1009" s="67" t="s">
        <v>1701</v>
      </c>
      <c r="G1009" s="67" t="s">
        <v>8</v>
      </c>
      <c r="H1009" s="68">
        <v>0.64722222222222225</v>
      </c>
      <c r="I1009" s="68"/>
      <c r="J1009" s="68">
        <v>0.64722222222222225</v>
      </c>
      <c r="K1009" s="67" t="s">
        <v>1718</v>
      </c>
      <c r="L1009" s="67" t="s">
        <v>1205</v>
      </c>
      <c r="M1009" s="67" t="s">
        <v>1526</v>
      </c>
    </row>
    <row r="1010" spans="1:13" ht="12" customHeight="1" x14ac:dyDescent="0.2">
      <c r="A1010" s="78">
        <v>237900</v>
      </c>
      <c r="B1010" s="67" t="s">
        <v>1063</v>
      </c>
      <c r="C1010" s="67" t="s">
        <v>1196</v>
      </c>
      <c r="D1010" s="67" t="s">
        <v>1204</v>
      </c>
      <c r="E1010" s="67" t="s">
        <v>1540</v>
      </c>
      <c r="F1010" s="67" t="s">
        <v>1708</v>
      </c>
      <c r="G1010" s="67" t="s">
        <v>8</v>
      </c>
      <c r="H1010" s="68">
        <v>0.64166666666666672</v>
      </c>
      <c r="I1010" s="68"/>
      <c r="J1010" s="68">
        <v>0.64166666666666672</v>
      </c>
      <c r="K1010" s="67" t="s">
        <v>1718</v>
      </c>
      <c r="L1010" s="67" t="s">
        <v>1204</v>
      </c>
      <c r="M1010" s="67" t="s">
        <v>1540</v>
      </c>
    </row>
    <row r="1011" spans="1:13" ht="12" customHeight="1" x14ac:dyDescent="0.2">
      <c r="A1011" s="78">
        <v>232004</v>
      </c>
      <c r="B1011" s="67" t="s">
        <v>1064</v>
      </c>
      <c r="C1011" s="67" t="s">
        <v>1196</v>
      </c>
      <c r="D1011" s="67" t="s">
        <v>1204</v>
      </c>
      <c r="E1011" s="67" t="s">
        <v>1530</v>
      </c>
      <c r="F1011" s="67" t="s">
        <v>1703</v>
      </c>
      <c r="G1011" s="67" t="s">
        <v>8</v>
      </c>
      <c r="H1011" s="68">
        <v>0.6381944444444444</v>
      </c>
      <c r="I1011" s="68"/>
      <c r="J1011" s="68">
        <v>0.6381944444444444</v>
      </c>
      <c r="K1011" s="67" t="s">
        <v>1718</v>
      </c>
      <c r="L1011" s="67" t="s">
        <v>1204</v>
      </c>
      <c r="M1011" s="67" t="s">
        <v>1530</v>
      </c>
    </row>
    <row r="1012" spans="1:13" ht="12" customHeight="1" x14ac:dyDescent="0.2">
      <c r="A1012" s="78">
        <v>235178</v>
      </c>
      <c r="B1012" s="67" t="s">
        <v>1065</v>
      </c>
      <c r="C1012" s="67" t="s">
        <v>1196</v>
      </c>
      <c r="D1012" s="67" t="s">
        <v>1205</v>
      </c>
      <c r="E1012" s="67" t="s">
        <v>1536</v>
      </c>
      <c r="F1012" s="67" t="s">
        <v>1702</v>
      </c>
      <c r="G1012" s="67" t="s">
        <v>8</v>
      </c>
      <c r="H1012" s="68">
        <v>0.57152777777777775</v>
      </c>
      <c r="I1012" s="68"/>
      <c r="J1012" s="68">
        <v>0.57152777777777775</v>
      </c>
      <c r="K1012" s="67" t="s">
        <v>1718</v>
      </c>
      <c r="L1012" s="67" t="s">
        <v>1205</v>
      </c>
      <c r="M1012" s="67" t="s">
        <v>1536</v>
      </c>
    </row>
    <row r="1013" spans="1:13" ht="12" customHeight="1" x14ac:dyDescent="0.2">
      <c r="A1013" s="78">
        <v>225892</v>
      </c>
      <c r="B1013" s="67" t="s">
        <v>1066</v>
      </c>
      <c r="C1013" s="67" t="s">
        <v>1196</v>
      </c>
      <c r="D1013" s="67" t="s">
        <v>1205</v>
      </c>
      <c r="E1013" s="67" t="s">
        <v>1541</v>
      </c>
      <c r="F1013" s="67" t="s">
        <v>1699</v>
      </c>
      <c r="G1013" s="67" t="s">
        <v>8</v>
      </c>
      <c r="H1013" s="68">
        <v>0.55208333333333337</v>
      </c>
      <c r="I1013" s="68"/>
      <c r="J1013" s="68">
        <v>0.55208333333333337</v>
      </c>
      <c r="K1013" s="67" t="s">
        <v>1720</v>
      </c>
      <c r="L1013" s="67" t="s">
        <v>1205</v>
      </c>
      <c r="M1013" s="67" t="s">
        <v>1541</v>
      </c>
    </row>
    <row r="1014" spans="1:13" ht="12" customHeight="1" x14ac:dyDescent="0.2">
      <c r="A1014" s="78">
        <v>203488</v>
      </c>
      <c r="B1014" s="67" t="s">
        <v>1067</v>
      </c>
      <c r="C1014" s="67" t="s">
        <v>1196</v>
      </c>
      <c r="D1014" s="67" t="s">
        <v>1205</v>
      </c>
      <c r="E1014" s="67" t="s">
        <v>1523</v>
      </c>
      <c r="F1014" s="67" t="s">
        <v>1700</v>
      </c>
      <c r="G1014" s="67" t="s">
        <v>8</v>
      </c>
      <c r="H1014" s="68">
        <v>0.51666666666666672</v>
      </c>
      <c r="I1014" s="68"/>
      <c r="J1014" s="68">
        <v>0.51666666666666672</v>
      </c>
      <c r="K1014" s="67" t="s">
        <v>1718</v>
      </c>
      <c r="L1014" s="67" t="s">
        <v>1205</v>
      </c>
      <c r="M1014" s="67" t="s">
        <v>1523</v>
      </c>
    </row>
    <row r="1015" spans="1:13" ht="12" customHeight="1" x14ac:dyDescent="0.2">
      <c r="A1015" s="78">
        <v>229919</v>
      </c>
      <c r="B1015" s="67" t="s">
        <v>1068</v>
      </c>
      <c r="C1015" s="67" t="s">
        <v>1196</v>
      </c>
      <c r="D1015" s="67" t="s">
        <v>1205</v>
      </c>
      <c r="E1015" s="67" t="s">
        <v>1529</v>
      </c>
      <c r="F1015" s="67" t="s">
        <v>1706</v>
      </c>
      <c r="G1015" s="67" t="s">
        <v>8</v>
      </c>
      <c r="H1015" s="68">
        <v>0.46597222222222223</v>
      </c>
      <c r="I1015" s="68"/>
      <c r="J1015" s="68">
        <v>0.46597222222222223</v>
      </c>
      <c r="K1015" s="67" t="s">
        <v>1718</v>
      </c>
      <c r="L1015" s="67" t="s">
        <v>1205</v>
      </c>
      <c r="M1015" s="67" t="s">
        <v>1529</v>
      </c>
    </row>
    <row r="1016" spans="1:13" ht="12" customHeight="1" x14ac:dyDescent="0.2">
      <c r="A1016" s="78">
        <v>203407</v>
      </c>
      <c r="B1016" s="67" t="s">
        <v>1069</v>
      </c>
      <c r="C1016" s="67" t="s">
        <v>1196</v>
      </c>
      <c r="D1016" s="67" t="s">
        <v>1204</v>
      </c>
      <c r="E1016" s="67" t="s">
        <v>1530</v>
      </c>
      <c r="F1016" s="67" t="s">
        <v>1703</v>
      </c>
      <c r="G1016" s="67" t="s">
        <v>8</v>
      </c>
      <c r="H1016" s="68">
        <v>0.46180555555555558</v>
      </c>
      <c r="I1016" s="68"/>
      <c r="J1016" s="68">
        <v>0.46180555555555558</v>
      </c>
      <c r="K1016" s="67" t="s">
        <v>1718</v>
      </c>
      <c r="L1016" s="67" t="s">
        <v>1204</v>
      </c>
      <c r="M1016" s="67" t="s">
        <v>1530</v>
      </c>
    </row>
    <row r="1017" spans="1:13" ht="12" customHeight="1" x14ac:dyDescent="0.2">
      <c r="A1017" s="78">
        <v>237157</v>
      </c>
      <c r="B1017" s="67" t="s">
        <v>1070</v>
      </c>
      <c r="C1017" s="67" t="s">
        <v>1196</v>
      </c>
      <c r="D1017" s="67" t="s">
        <v>1205</v>
      </c>
      <c r="E1017" s="67" t="s">
        <v>1541</v>
      </c>
      <c r="F1017" s="67" t="s">
        <v>1699</v>
      </c>
      <c r="G1017" s="67" t="s">
        <v>8</v>
      </c>
      <c r="H1017" s="68">
        <v>0.44861111111111113</v>
      </c>
      <c r="I1017" s="68"/>
      <c r="J1017" s="68">
        <v>0.44861111111111113</v>
      </c>
      <c r="K1017" s="67" t="s">
        <v>1720</v>
      </c>
      <c r="L1017" s="67" t="s">
        <v>1205</v>
      </c>
      <c r="M1017" s="67" t="s">
        <v>1541</v>
      </c>
    </row>
    <row r="1018" spans="1:13" ht="12" customHeight="1" x14ac:dyDescent="0.2">
      <c r="A1018" s="78">
        <v>238046</v>
      </c>
      <c r="B1018" s="67" t="s">
        <v>1071</v>
      </c>
      <c r="C1018" s="67" t="s">
        <v>1196</v>
      </c>
      <c r="D1018" s="67" t="s">
        <v>1205</v>
      </c>
      <c r="E1018" s="67" t="s">
        <v>1532</v>
      </c>
      <c r="F1018" s="67" t="s">
        <v>1705</v>
      </c>
      <c r="G1018" s="67" t="s">
        <v>8</v>
      </c>
      <c r="H1018" s="68">
        <v>0.44722222222222219</v>
      </c>
      <c r="I1018" s="68"/>
      <c r="J1018" s="68">
        <v>0.44722222222222219</v>
      </c>
      <c r="K1018" s="67" t="s">
        <v>1718</v>
      </c>
      <c r="L1018" s="67" t="s">
        <v>1205</v>
      </c>
      <c r="M1018" s="67" t="s">
        <v>1532</v>
      </c>
    </row>
    <row r="1019" spans="1:13" ht="12" customHeight="1" x14ac:dyDescent="0.2">
      <c r="A1019" s="78">
        <v>232279</v>
      </c>
      <c r="B1019" s="67" t="s">
        <v>1072</v>
      </c>
      <c r="C1019" s="67" t="s">
        <v>1196</v>
      </c>
      <c r="D1019" s="67" t="s">
        <v>1205</v>
      </c>
      <c r="E1019" s="67" t="s">
        <v>1542</v>
      </c>
      <c r="F1019" s="67" t="s">
        <v>1704</v>
      </c>
      <c r="G1019" s="67" t="s">
        <v>8</v>
      </c>
      <c r="H1019" s="68">
        <v>0.41666666666666669</v>
      </c>
      <c r="I1019" s="68"/>
      <c r="J1019" s="68">
        <v>0.41666666666666669</v>
      </c>
      <c r="K1019" s="67" t="s">
        <v>1719</v>
      </c>
      <c r="L1019" s="67" t="s">
        <v>1205</v>
      </c>
      <c r="M1019" s="67" t="s">
        <v>1542</v>
      </c>
    </row>
    <row r="1020" spans="1:13" ht="12" customHeight="1" x14ac:dyDescent="0.2">
      <c r="A1020" s="78">
        <v>230461</v>
      </c>
      <c r="B1020" s="67" t="s">
        <v>1073</v>
      </c>
      <c r="C1020" s="67" t="s">
        <v>1196</v>
      </c>
      <c r="D1020" s="67" t="s">
        <v>1204</v>
      </c>
      <c r="E1020" s="67" t="s">
        <v>1530</v>
      </c>
      <c r="F1020" s="67" t="s">
        <v>1703</v>
      </c>
      <c r="G1020" s="67" t="s">
        <v>8</v>
      </c>
      <c r="H1020" s="68">
        <v>0.33611111111111108</v>
      </c>
      <c r="I1020" s="68"/>
      <c r="J1020" s="68">
        <v>0.33611111111111108</v>
      </c>
      <c r="K1020" s="67" t="s">
        <v>1718</v>
      </c>
      <c r="L1020" s="67" t="s">
        <v>1204</v>
      </c>
      <c r="M1020" s="67" t="s">
        <v>1530</v>
      </c>
    </row>
    <row r="1021" spans="1:13" ht="12" customHeight="1" x14ac:dyDescent="0.2">
      <c r="A1021" s="78">
        <v>229410</v>
      </c>
      <c r="B1021" s="67" t="s">
        <v>1074</v>
      </c>
      <c r="C1021" s="67" t="s">
        <v>1196</v>
      </c>
      <c r="D1021" s="67" t="s">
        <v>1204</v>
      </c>
      <c r="E1021" s="67" t="s">
        <v>1530</v>
      </c>
      <c r="F1021" s="67" t="s">
        <v>1703</v>
      </c>
      <c r="G1021" s="67" t="s">
        <v>8</v>
      </c>
      <c r="H1021" s="68">
        <v>0.27986111111111112</v>
      </c>
      <c r="I1021" s="68"/>
      <c r="J1021" s="68">
        <v>0.27986111111111112</v>
      </c>
      <c r="K1021" s="67" t="s">
        <v>1718</v>
      </c>
      <c r="L1021" s="67" t="s">
        <v>1204</v>
      </c>
      <c r="M1021" s="67" t="s">
        <v>1530</v>
      </c>
    </row>
    <row r="1022" spans="1:13" ht="12" customHeight="1" x14ac:dyDescent="0.2">
      <c r="A1022" s="78">
        <v>237161</v>
      </c>
      <c r="B1022" s="67" t="s">
        <v>1075</v>
      </c>
      <c r="C1022" s="67" t="s">
        <v>1196</v>
      </c>
      <c r="D1022" s="67" t="s">
        <v>1205</v>
      </c>
      <c r="E1022" s="67" t="s">
        <v>1541</v>
      </c>
      <c r="F1022" s="67" t="s">
        <v>1699</v>
      </c>
      <c r="G1022" s="67" t="s">
        <v>8</v>
      </c>
      <c r="H1022" s="68">
        <v>0.27013888888888887</v>
      </c>
      <c r="I1022" s="68"/>
      <c r="J1022" s="68">
        <v>0.27013888888888887</v>
      </c>
      <c r="K1022" s="67" t="s">
        <v>1721</v>
      </c>
      <c r="L1022" s="67" t="s">
        <v>1205</v>
      </c>
      <c r="M1022" s="67" t="s">
        <v>1541</v>
      </c>
    </row>
    <row r="1023" spans="1:13" ht="12" customHeight="1" x14ac:dyDescent="0.2">
      <c r="A1023" s="78">
        <v>236378</v>
      </c>
      <c r="B1023" s="67" t="s">
        <v>1076</v>
      </c>
      <c r="C1023" s="67" t="s">
        <v>1196</v>
      </c>
      <c r="D1023" s="67" t="s">
        <v>1205</v>
      </c>
      <c r="E1023" s="67" t="s">
        <v>1543</v>
      </c>
      <c r="F1023" s="67" t="s">
        <v>1704</v>
      </c>
      <c r="G1023" s="67" t="s">
        <v>8</v>
      </c>
      <c r="H1023" s="68">
        <v>0.24236111111111111</v>
      </c>
      <c r="I1023" s="68"/>
      <c r="J1023" s="68">
        <v>0.24236111111111111</v>
      </c>
      <c r="K1023" s="67" t="s">
        <v>1719</v>
      </c>
      <c r="L1023" s="67" t="s">
        <v>1205</v>
      </c>
      <c r="M1023" s="67" t="s">
        <v>1543</v>
      </c>
    </row>
    <row r="1024" spans="1:13" ht="12" customHeight="1" x14ac:dyDescent="0.2">
      <c r="A1024" s="78">
        <v>202825</v>
      </c>
      <c r="B1024" s="67" t="s">
        <v>1077</v>
      </c>
      <c r="C1024" s="67" t="s">
        <v>1196</v>
      </c>
      <c r="D1024" s="67" t="s">
        <v>1204</v>
      </c>
      <c r="E1024" s="67" t="s">
        <v>1533</v>
      </c>
      <c r="F1024" s="67" t="s">
        <v>1707</v>
      </c>
      <c r="G1024" s="67" t="s">
        <v>8</v>
      </c>
      <c r="H1024" s="68">
        <v>0.22361111111111109</v>
      </c>
      <c r="I1024" s="68"/>
      <c r="J1024" s="68">
        <v>0.22361111111111109</v>
      </c>
      <c r="K1024" s="67" t="s">
        <v>1721</v>
      </c>
      <c r="L1024" s="67" t="s">
        <v>1204</v>
      </c>
      <c r="M1024" s="67" t="s">
        <v>1533</v>
      </c>
    </row>
    <row r="1025" spans="1:13" ht="12" customHeight="1" x14ac:dyDescent="0.2">
      <c r="A1025" s="78">
        <v>220933</v>
      </c>
      <c r="B1025" s="67" t="s">
        <v>1078</v>
      </c>
      <c r="C1025" s="67" t="s">
        <v>1196</v>
      </c>
      <c r="D1025" s="67" t="s">
        <v>1205</v>
      </c>
      <c r="E1025" s="67" t="s">
        <v>1544</v>
      </c>
      <c r="F1025" s="67" t="s">
        <v>1704</v>
      </c>
      <c r="G1025" s="67" t="s">
        <v>8</v>
      </c>
      <c r="H1025" s="68">
        <v>0.21805555555555556</v>
      </c>
      <c r="I1025" s="68"/>
      <c r="J1025" s="68">
        <v>0.21805555555555556</v>
      </c>
      <c r="K1025" s="67" t="s">
        <v>1719</v>
      </c>
      <c r="L1025" s="67" t="s">
        <v>1205</v>
      </c>
      <c r="M1025" s="67" t="s">
        <v>1544</v>
      </c>
    </row>
    <row r="1026" spans="1:13" ht="12" customHeight="1" x14ac:dyDescent="0.2">
      <c r="A1026" s="78">
        <v>221161</v>
      </c>
      <c r="B1026" s="67" t="s">
        <v>1079</v>
      </c>
      <c r="C1026" s="67" t="s">
        <v>1196</v>
      </c>
      <c r="D1026" s="67" t="s">
        <v>1205</v>
      </c>
      <c r="E1026" s="67" t="s">
        <v>1545</v>
      </c>
      <c r="F1026" s="67" t="s">
        <v>1704</v>
      </c>
      <c r="G1026" s="67" t="s">
        <v>8</v>
      </c>
      <c r="H1026" s="68">
        <v>0.18124999999999999</v>
      </c>
      <c r="I1026" s="68"/>
      <c r="J1026" s="68">
        <v>0.18124999999999999</v>
      </c>
      <c r="K1026" s="67" t="s">
        <v>1724</v>
      </c>
      <c r="L1026" s="67" t="s">
        <v>1205</v>
      </c>
      <c r="M1026" s="67" t="s">
        <v>1545</v>
      </c>
    </row>
    <row r="1027" spans="1:13" ht="12" customHeight="1" x14ac:dyDescent="0.2">
      <c r="A1027" s="78">
        <v>225196</v>
      </c>
      <c r="B1027" s="67" t="s">
        <v>1080</v>
      </c>
      <c r="C1027" s="67" t="s">
        <v>1196</v>
      </c>
      <c r="D1027" s="67" t="s">
        <v>1205</v>
      </c>
      <c r="E1027" s="67" t="s">
        <v>1523</v>
      </c>
      <c r="F1027" s="67" t="s">
        <v>1700</v>
      </c>
      <c r="G1027" s="67" t="s">
        <v>8</v>
      </c>
      <c r="H1027" s="68">
        <v>0.17083333333333331</v>
      </c>
      <c r="I1027" s="68"/>
      <c r="J1027" s="68">
        <v>0.17083333333333331</v>
      </c>
      <c r="K1027" s="67" t="s">
        <v>1718</v>
      </c>
      <c r="L1027" s="67" t="s">
        <v>1205</v>
      </c>
      <c r="M1027" s="67" t="s">
        <v>1523</v>
      </c>
    </row>
    <row r="1028" spans="1:13" ht="12" customHeight="1" x14ac:dyDescent="0.2">
      <c r="A1028" s="78">
        <v>237635</v>
      </c>
      <c r="B1028" s="67" t="s">
        <v>1081</v>
      </c>
      <c r="C1028" s="67" t="s">
        <v>1196</v>
      </c>
      <c r="D1028" s="67" t="s">
        <v>1205</v>
      </c>
      <c r="E1028" s="67" t="s">
        <v>1519</v>
      </c>
      <c r="F1028" s="67" t="s">
        <v>1698</v>
      </c>
      <c r="G1028" s="67" t="s">
        <v>8</v>
      </c>
      <c r="H1028" s="68">
        <v>0.12916666666666668</v>
      </c>
      <c r="I1028" s="68"/>
      <c r="J1028" s="68">
        <v>0.12916666666666668</v>
      </c>
      <c r="K1028" s="67" t="s">
        <v>1718</v>
      </c>
      <c r="L1028" s="67" t="s">
        <v>1205</v>
      </c>
      <c r="M1028" s="67" t="s">
        <v>1519</v>
      </c>
    </row>
    <row r="1029" spans="1:13" ht="12" customHeight="1" x14ac:dyDescent="0.2">
      <c r="A1029" s="78">
        <v>237730</v>
      </c>
      <c r="B1029" s="67" t="s">
        <v>1082</v>
      </c>
      <c r="C1029" s="67" t="s">
        <v>1196</v>
      </c>
      <c r="D1029" s="67" t="s">
        <v>1204</v>
      </c>
      <c r="E1029" s="67" t="s">
        <v>1530</v>
      </c>
      <c r="F1029" s="67" t="s">
        <v>1703</v>
      </c>
      <c r="G1029" s="67" t="s">
        <v>8</v>
      </c>
      <c r="H1029" s="68">
        <v>0.12916666666666668</v>
      </c>
      <c r="I1029" s="68"/>
      <c r="J1029" s="68">
        <v>0.12916666666666668</v>
      </c>
      <c r="K1029" s="67" t="s">
        <v>1718</v>
      </c>
      <c r="L1029" s="67" t="s">
        <v>1204</v>
      </c>
      <c r="M1029" s="67" t="s">
        <v>1530</v>
      </c>
    </row>
    <row r="1030" spans="1:13" ht="12" customHeight="1" x14ac:dyDescent="0.2">
      <c r="A1030" s="78">
        <v>225764</v>
      </c>
      <c r="B1030" s="67" t="s">
        <v>1083</v>
      </c>
      <c r="C1030" s="67" t="s">
        <v>1196</v>
      </c>
      <c r="D1030" s="67" t="s">
        <v>1205</v>
      </c>
      <c r="E1030" s="67" t="s">
        <v>1529</v>
      </c>
      <c r="F1030" s="67" t="s">
        <v>1706</v>
      </c>
      <c r="G1030" s="67" t="s">
        <v>8</v>
      </c>
      <c r="H1030" s="68">
        <v>0.10833333333333334</v>
      </c>
      <c r="I1030" s="68"/>
      <c r="J1030" s="68">
        <v>0.10833333333333334</v>
      </c>
      <c r="K1030" s="67" t="s">
        <v>1718</v>
      </c>
      <c r="L1030" s="67" t="s">
        <v>1205</v>
      </c>
      <c r="M1030" s="67" t="s">
        <v>1529</v>
      </c>
    </row>
    <row r="1031" spans="1:13" ht="12" customHeight="1" x14ac:dyDescent="0.2">
      <c r="A1031" s="78">
        <v>237629</v>
      </c>
      <c r="B1031" s="67" t="s">
        <v>1084</v>
      </c>
      <c r="C1031" s="67" t="s">
        <v>1196</v>
      </c>
      <c r="D1031" s="67" t="s">
        <v>1205</v>
      </c>
      <c r="E1031" s="67" t="s">
        <v>1539</v>
      </c>
      <c r="F1031" s="67" t="s">
        <v>1698</v>
      </c>
      <c r="G1031" s="67" t="s">
        <v>8</v>
      </c>
      <c r="H1031" s="68">
        <v>7.013888888888889E-2</v>
      </c>
      <c r="I1031" s="68"/>
      <c r="J1031" s="68">
        <v>7.013888888888889E-2</v>
      </c>
      <c r="K1031" s="67" t="s">
        <v>1720</v>
      </c>
      <c r="L1031" s="67" t="s">
        <v>1205</v>
      </c>
      <c r="M1031" s="67" t="s">
        <v>1539</v>
      </c>
    </row>
    <row r="1032" spans="1:13" ht="12" customHeight="1" x14ac:dyDescent="0.2">
      <c r="A1032" s="78">
        <v>237899</v>
      </c>
      <c r="B1032" s="67" t="s">
        <v>1085</v>
      </c>
      <c r="C1032" s="67" t="s">
        <v>1196</v>
      </c>
      <c r="D1032" s="67" t="s">
        <v>1204</v>
      </c>
      <c r="E1032" s="67" t="s">
        <v>1546</v>
      </c>
      <c r="F1032" s="67" t="s">
        <v>1708</v>
      </c>
      <c r="G1032" s="67" t="s">
        <v>8</v>
      </c>
      <c r="H1032" s="68">
        <v>6.6666666666666666E-2</v>
      </c>
      <c r="I1032" s="68"/>
      <c r="J1032" s="68">
        <v>6.6666666666666666E-2</v>
      </c>
      <c r="K1032" s="67" t="s">
        <v>1720</v>
      </c>
      <c r="L1032" s="67" t="s">
        <v>1204</v>
      </c>
      <c r="M1032" s="67" t="s">
        <v>1546</v>
      </c>
    </row>
    <row r="1033" spans="1:13" ht="12" customHeight="1" x14ac:dyDescent="0.2">
      <c r="A1033" s="78">
        <v>237897</v>
      </c>
      <c r="B1033" s="67" t="s">
        <v>1086</v>
      </c>
      <c r="C1033" s="67" t="s">
        <v>1196</v>
      </c>
      <c r="D1033" s="67" t="s">
        <v>1204</v>
      </c>
      <c r="E1033" s="67" t="s">
        <v>1546</v>
      </c>
      <c r="F1033" s="67" t="s">
        <v>1708</v>
      </c>
      <c r="G1033" s="67" t="s">
        <v>8</v>
      </c>
      <c r="H1033" s="68">
        <v>5.8333333333333327E-2</v>
      </c>
      <c r="I1033" s="68"/>
      <c r="J1033" s="68">
        <v>5.8333333333333327E-2</v>
      </c>
      <c r="K1033" s="67" t="s">
        <v>1721</v>
      </c>
      <c r="L1033" s="67" t="s">
        <v>1204</v>
      </c>
      <c r="M1033" s="67" t="s">
        <v>1546</v>
      </c>
    </row>
    <row r="1034" spans="1:13" ht="12" customHeight="1" x14ac:dyDescent="0.2">
      <c r="A1034" s="78">
        <v>232036</v>
      </c>
      <c r="B1034" s="67" t="s">
        <v>1087</v>
      </c>
      <c r="C1034" s="67" t="s">
        <v>1196</v>
      </c>
      <c r="D1034" s="67" t="s">
        <v>1205</v>
      </c>
      <c r="E1034" s="67" t="s">
        <v>1531</v>
      </c>
      <c r="F1034" s="67" t="s">
        <v>1706</v>
      </c>
      <c r="G1034" s="67" t="s">
        <v>8</v>
      </c>
      <c r="H1034" s="68">
        <v>3.6805555555555557E-2</v>
      </c>
      <c r="I1034" s="68"/>
      <c r="J1034" s="68">
        <v>3.6805555555555557E-2</v>
      </c>
      <c r="K1034" s="67" t="s">
        <v>1721</v>
      </c>
      <c r="L1034" s="67" t="s">
        <v>1205</v>
      </c>
      <c r="M1034" s="67" t="s">
        <v>1531</v>
      </c>
    </row>
    <row r="1035" spans="1:13" ht="12" customHeight="1" x14ac:dyDescent="0.2">
      <c r="A1035" s="78">
        <v>237330</v>
      </c>
      <c r="B1035" s="67" t="s">
        <v>1088</v>
      </c>
      <c r="C1035" s="67" t="s">
        <v>1196</v>
      </c>
      <c r="D1035" s="67" t="s">
        <v>1205</v>
      </c>
      <c r="E1035" s="67" t="s">
        <v>1547</v>
      </c>
      <c r="F1035" s="67" t="s">
        <v>1704</v>
      </c>
      <c r="G1035" s="67" t="s">
        <v>8</v>
      </c>
      <c r="H1035" s="68">
        <v>1.7361111111111112E-2</v>
      </c>
      <c r="I1035" s="68"/>
      <c r="J1035" s="68">
        <v>1.7361111111111112E-2</v>
      </c>
      <c r="K1035" s="67" t="s">
        <v>1719</v>
      </c>
      <c r="L1035" s="67" t="s">
        <v>1205</v>
      </c>
      <c r="M1035" s="67" t="s">
        <v>1547</v>
      </c>
    </row>
    <row r="1036" spans="1:13" ht="12" customHeight="1" x14ac:dyDescent="0.2">
      <c r="A1036" s="78">
        <v>237329</v>
      </c>
      <c r="B1036" s="67" t="s">
        <v>1089</v>
      </c>
      <c r="C1036" s="67" t="s">
        <v>1196</v>
      </c>
      <c r="D1036" s="67" t="s">
        <v>1205</v>
      </c>
      <c r="E1036" s="67" t="s">
        <v>1539</v>
      </c>
      <c r="F1036" s="67" t="s">
        <v>1698</v>
      </c>
      <c r="G1036" s="67" t="s">
        <v>8</v>
      </c>
      <c r="H1036" s="68">
        <v>2.0833333333333333E-3</v>
      </c>
      <c r="I1036" s="68"/>
      <c r="J1036" s="68">
        <v>2.0833333333333333E-3</v>
      </c>
      <c r="K1036" s="67" t="s">
        <v>1721</v>
      </c>
      <c r="L1036" s="67" t="s">
        <v>1205</v>
      </c>
      <c r="M1036" s="67" t="s">
        <v>1539</v>
      </c>
    </row>
    <row r="1037" spans="1:13" ht="12" customHeight="1" x14ac:dyDescent="0.2">
      <c r="A1037" s="78">
        <v>236974</v>
      </c>
      <c r="B1037" s="67" t="s">
        <v>1090</v>
      </c>
      <c r="C1037" s="67" t="s">
        <v>1196</v>
      </c>
      <c r="D1037" s="67" t="s">
        <v>1205</v>
      </c>
      <c r="E1037" s="67" t="s">
        <v>1548</v>
      </c>
      <c r="F1037" s="67" t="s">
        <v>1705</v>
      </c>
      <c r="G1037" s="67" t="s">
        <v>7</v>
      </c>
      <c r="H1037" s="68">
        <v>0.89861111111111114</v>
      </c>
      <c r="I1037" s="68">
        <v>0.89861111111111114</v>
      </c>
      <c r="J1037" s="68"/>
      <c r="K1037" s="67" t="s">
        <v>1718</v>
      </c>
      <c r="L1037" s="67" t="s">
        <v>1205</v>
      </c>
      <c r="M1037" s="67" t="s">
        <v>1548</v>
      </c>
    </row>
    <row r="1038" spans="1:13" ht="12" customHeight="1" x14ac:dyDescent="0.2">
      <c r="A1038" s="78">
        <v>233635</v>
      </c>
      <c r="B1038" s="67" t="s">
        <v>1091</v>
      </c>
      <c r="C1038" s="67" t="s">
        <v>1196</v>
      </c>
      <c r="D1038" s="67" t="s">
        <v>1205</v>
      </c>
      <c r="E1038" s="67" t="s">
        <v>1549</v>
      </c>
      <c r="F1038" s="67" t="s">
        <v>1709</v>
      </c>
      <c r="G1038" s="67" t="s">
        <v>7</v>
      </c>
      <c r="H1038" s="68">
        <v>0.26666666666666666</v>
      </c>
      <c r="I1038" s="68">
        <v>0.26666666666666666</v>
      </c>
      <c r="J1038" s="68"/>
      <c r="K1038" s="67" t="s">
        <v>1718</v>
      </c>
      <c r="L1038" s="67" t="s">
        <v>1205</v>
      </c>
      <c r="M1038" s="67" t="s">
        <v>1549</v>
      </c>
    </row>
    <row r="1039" spans="1:13" ht="12" customHeight="1" x14ac:dyDescent="0.2">
      <c r="A1039" s="78">
        <v>231649</v>
      </c>
      <c r="B1039" s="67" t="s">
        <v>1092</v>
      </c>
      <c r="C1039" s="67" t="s">
        <v>1196</v>
      </c>
      <c r="D1039" s="67" t="s">
        <v>1205</v>
      </c>
      <c r="E1039" s="67" t="s">
        <v>1550</v>
      </c>
      <c r="F1039" s="67" t="s">
        <v>1710</v>
      </c>
      <c r="G1039" s="67" t="s">
        <v>7</v>
      </c>
      <c r="H1039" s="68">
        <v>4.5833333333333337E-2</v>
      </c>
      <c r="I1039" s="68">
        <v>4.5833333333333337E-2</v>
      </c>
      <c r="J1039" s="68"/>
      <c r="K1039" s="67" t="s">
        <v>1721</v>
      </c>
      <c r="L1039" s="67" t="s">
        <v>1205</v>
      </c>
      <c r="M1039" s="67" t="s">
        <v>1550</v>
      </c>
    </row>
    <row r="1040" spans="1:13" ht="12" customHeight="1" x14ac:dyDescent="0.2">
      <c r="A1040" s="78">
        <v>237566</v>
      </c>
      <c r="B1040" s="67" t="s">
        <v>1093</v>
      </c>
      <c r="C1040" s="67" t="s">
        <v>1196</v>
      </c>
      <c r="D1040" s="67" t="s">
        <v>1205</v>
      </c>
      <c r="E1040" s="67" t="s">
        <v>1551</v>
      </c>
      <c r="F1040" s="67" t="s">
        <v>1698</v>
      </c>
      <c r="G1040" s="67" t="s">
        <v>7</v>
      </c>
      <c r="H1040" s="68">
        <v>1.4444444444444444</v>
      </c>
      <c r="I1040" s="68">
        <v>1.4444444444444444</v>
      </c>
      <c r="J1040" s="68"/>
      <c r="K1040" s="67" t="s">
        <v>1718</v>
      </c>
      <c r="L1040" s="67" t="s">
        <v>1205</v>
      </c>
      <c r="M1040" s="67" t="s">
        <v>1551</v>
      </c>
    </row>
    <row r="1041" spans="1:13" ht="12" customHeight="1" x14ac:dyDescent="0.2">
      <c r="A1041" s="78">
        <v>229924</v>
      </c>
      <c r="B1041" s="67" t="s">
        <v>1094</v>
      </c>
      <c r="C1041" s="67" t="s">
        <v>1196</v>
      </c>
      <c r="D1041" s="67" t="s">
        <v>1205</v>
      </c>
      <c r="E1041" s="67" t="s">
        <v>1552</v>
      </c>
      <c r="F1041" s="67" t="s">
        <v>1711</v>
      </c>
      <c r="G1041" s="67" t="s">
        <v>7</v>
      </c>
      <c r="H1041" s="68">
        <v>0.52500000000000002</v>
      </c>
      <c r="I1041" s="68">
        <v>0.52500000000000002</v>
      </c>
      <c r="J1041" s="68"/>
      <c r="K1041" s="67" t="s">
        <v>1721</v>
      </c>
      <c r="L1041" s="67" t="s">
        <v>1205</v>
      </c>
      <c r="M1041" s="67" t="s">
        <v>1552</v>
      </c>
    </row>
    <row r="1042" spans="1:13" ht="12" customHeight="1" x14ac:dyDescent="0.2">
      <c r="A1042" s="78">
        <v>231877</v>
      </c>
      <c r="B1042" s="67" t="s">
        <v>1095</v>
      </c>
      <c r="C1042" s="67" t="s">
        <v>1196</v>
      </c>
      <c r="D1042" s="67" t="s">
        <v>1205</v>
      </c>
      <c r="E1042" s="67" t="s">
        <v>1553</v>
      </c>
      <c r="F1042" s="67" t="s">
        <v>1704</v>
      </c>
      <c r="G1042" s="67" t="s">
        <v>7</v>
      </c>
      <c r="H1042" s="68">
        <v>0.13541666666666666</v>
      </c>
      <c r="I1042" s="68">
        <v>0.13541666666666666</v>
      </c>
      <c r="J1042" s="68"/>
      <c r="K1042" s="67" t="s">
        <v>1719</v>
      </c>
      <c r="L1042" s="67" t="s">
        <v>1205</v>
      </c>
      <c r="M1042" s="67" t="s">
        <v>1553</v>
      </c>
    </row>
    <row r="1043" spans="1:13" ht="12" customHeight="1" x14ac:dyDescent="0.2">
      <c r="A1043" s="78">
        <v>237011</v>
      </c>
      <c r="B1043" s="67" t="s">
        <v>1096</v>
      </c>
      <c r="C1043" s="67" t="s">
        <v>1196</v>
      </c>
      <c r="D1043" s="67" t="s">
        <v>1205</v>
      </c>
      <c r="E1043" s="67" t="s">
        <v>1548</v>
      </c>
      <c r="F1043" s="67" t="s">
        <v>1705</v>
      </c>
      <c r="G1043" s="67" t="s">
        <v>7</v>
      </c>
      <c r="H1043" s="68">
        <v>8.6840277777777786</v>
      </c>
      <c r="I1043" s="68">
        <v>8.6840277777777786</v>
      </c>
      <c r="J1043" s="68"/>
      <c r="K1043" s="67" t="s">
        <v>1718</v>
      </c>
      <c r="L1043" s="67" t="s">
        <v>1205</v>
      </c>
      <c r="M1043" s="67" t="s">
        <v>1548</v>
      </c>
    </row>
    <row r="1044" spans="1:13" ht="12" customHeight="1" x14ac:dyDescent="0.2">
      <c r="A1044" s="78">
        <v>229745</v>
      </c>
      <c r="B1044" s="67" t="s">
        <v>1097</v>
      </c>
      <c r="C1044" s="67" t="s">
        <v>1196</v>
      </c>
      <c r="D1044" s="67" t="s">
        <v>1205</v>
      </c>
      <c r="E1044" s="67" t="s">
        <v>1554</v>
      </c>
      <c r="F1044" s="67" t="s">
        <v>1711</v>
      </c>
      <c r="G1044" s="67" t="s">
        <v>7</v>
      </c>
      <c r="H1044" s="68">
        <v>8.3333333333333332E-3</v>
      </c>
      <c r="I1044" s="68">
        <v>8.3333333333333332E-3</v>
      </c>
      <c r="J1044" s="68"/>
      <c r="K1044" s="67" t="s">
        <v>1718</v>
      </c>
      <c r="L1044" s="67" t="s">
        <v>1205</v>
      </c>
      <c r="M1044" s="67" t="s">
        <v>1554</v>
      </c>
    </row>
    <row r="1045" spans="1:13" ht="12" customHeight="1" x14ac:dyDescent="0.2">
      <c r="A1045" s="78">
        <v>230386</v>
      </c>
      <c r="B1045" s="67" t="s">
        <v>1098</v>
      </c>
      <c r="C1045" s="67" t="s">
        <v>1196</v>
      </c>
      <c r="D1045" s="67" t="s">
        <v>1205</v>
      </c>
      <c r="E1045" s="67" t="s">
        <v>1555</v>
      </c>
      <c r="F1045" s="67" t="s">
        <v>1712</v>
      </c>
      <c r="G1045" s="67" t="s">
        <v>7</v>
      </c>
      <c r="H1045" s="68">
        <v>5.8208333333333329</v>
      </c>
      <c r="I1045" s="68">
        <v>5.8208333333333329</v>
      </c>
      <c r="J1045" s="68"/>
      <c r="K1045" s="67" t="s">
        <v>1718</v>
      </c>
      <c r="L1045" s="67" t="s">
        <v>1205</v>
      </c>
      <c r="M1045" s="67" t="s">
        <v>1555</v>
      </c>
    </row>
    <row r="1046" spans="1:13" ht="12" customHeight="1" x14ac:dyDescent="0.2">
      <c r="A1046" s="78">
        <v>225270</v>
      </c>
      <c r="B1046" s="67" t="s">
        <v>1099</v>
      </c>
      <c r="C1046" s="67" t="s">
        <v>1196</v>
      </c>
      <c r="D1046" s="67" t="s">
        <v>1205</v>
      </c>
      <c r="E1046" s="67" t="s">
        <v>1556</v>
      </c>
      <c r="F1046" s="67" t="s">
        <v>1713</v>
      </c>
      <c r="G1046" s="67" t="s">
        <v>7</v>
      </c>
      <c r="H1046" s="68">
        <v>0.17500000000000002</v>
      </c>
      <c r="I1046" s="68">
        <v>0.17500000000000002</v>
      </c>
      <c r="J1046" s="68"/>
      <c r="K1046" s="67" t="s">
        <v>1721</v>
      </c>
      <c r="L1046" s="67" t="s">
        <v>1205</v>
      </c>
      <c r="M1046" s="67" t="s">
        <v>1556</v>
      </c>
    </row>
    <row r="1047" spans="1:13" ht="12" customHeight="1" x14ac:dyDescent="0.2">
      <c r="A1047" s="78">
        <v>224085</v>
      </c>
      <c r="B1047" s="67" t="s">
        <v>1100</v>
      </c>
      <c r="C1047" s="67" t="s">
        <v>1196</v>
      </c>
      <c r="D1047" s="67" t="s">
        <v>1205</v>
      </c>
      <c r="E1047" s="67" t="s">
        <v>1557</v>
      </c>
      <c r="F1047" s="67" t="s">
        <v>1709</v>
      </c>
      <c r="G1047" s="67" t="s">
        <v>7</v>
      </c>
      <c r="H1047" s="68">
        <v>2.0333333333333332</v>
      </c>
      <c r="I1047" s="68">
        <v>2.0333333333333332</v>
      </c>
      <c r="J1047" s="68"/>
      <c r="K1047" s="67" t="s">
        <v>1721</v>
      </c>
      <c r="L1047" s="67" t="s">
        <v>1205</v>
      </c>
      <c r="M1047" s="67" t="s">
        <v>1557</v>
      </c>
    </row>
    <row r="1048" spans="1:13" ht="12" customHeight="1" x14ac:dyDescent="0.2">
      <c r="A1048" s="78">
        <v>235552</v>
      </c>
      <c r="B1048" s="67" t="s">
        <v>1101</v>
      </c>
      <c r="C1048" s="67" t="s">
        <v>1196</v>
      </c>
      <c r="D1048" s="67" t="s">
        <v>1205</v>
      </c>
      <c r="E1048" s="67" t="s">
        <v>1558</v>
      </c>
      <c r="F1048" s="67" t="s">
        <v>1714</v>
      </c>
      <c r="G1048" s="67" t="s">
        <v>7</v>
      </c>
      <c r="H1048" s="68">
        <v>2.0562499999999999</v>
      </c>
      <c r="I1048" s="68">
        <v>2.0562499999999999</v>
      </c>
      <c r="J1048" s="68"/>
      <c r="K1048" s="67" t="s">
        <v>1720</v>
      </c>
      <c r="L1048" s="67" t="s">
        <v>1205</v>
      </c>
      <c r="M1048" s="67" t="s">
        <v>1558</v>
      </c>
    </row>
    <row r="1049" spans="1:13" ht="12" customHeight="1" x14ac:dyDescent="0.2">
      <c r="A1049" s="78">
        <v>236881</v>
      </c>
      <c r="B1049" s="67" t="s">
        <v>1102</v>
      </c>
      <c r="C1049" s="67" t="s">
        <v>1196</v>
      </c>
      <c r="D1049" s="67" t="s">
        <v>1205</v>
      </c>
      <c r="E1049" s="67" t="s">
        <v>1557</v>
      </c>
      <c r="F1049" s="67" t="s">
        <v>1709</v>
      </c>
      <c r="G1049" s="67" t="s">
        <v>7</v>
      </c>
      <c r="H1049" s="68">
        <v>0.3520833333333333</v>
      </c>
      <c r="I1049" s="68">
        <v>0.3520833333333333</v>
      </c>
      <c r="J1049" s="68"/>
      <c r="K1049" s="67" t="s">
        <v>1720</v>
      </c>
      <c r="L1049" s="67" t="s">
        <v>1205</v>
      </c>
      <c r="M1049" s="67" t="s">
        <v>1557</v>
      </c>
    </row>
    <row r="1050" spans="1:13" ht="12" customHeight="1" x14ac:dyDescent="0.2">
      <c r="A1050" s="78">
        <v>222289</v>
      </c>
      <c r="B1050" s="67" t="s">
        <v>1103</v>
      </c>
      <c r="C1050" s="67" t="s">
        <v>1196</v>
      </c>
      <c r="D1050" s="67" t="s">
        <v>1205</v>
      </c>
      <c r="E1050" s="67" t="s">
        <v>1559</v>
      </c>
      <c r="F1050" s="67" t="s">
        <v>1715</v>
      </c>
      <c r="G1050" s="67" t="s">
        <v>7</v>
      </c>
      <c r="H1050" s="68">
        <v>12.44513888888889</v>
      </c>
      <c r="I1050" s="68">
        <v>12.44513888888889</v>
      </c>
      <c r="J1050" s="68"/>
      <c r="K1050" s="67" t="s">
        <v>1720</v>
      </c>
      <c r="L1050" s="67" t="s">
        <v>1205</v>
      </c>
      <c r="M1050" s="67" t="s">
        <v>1559</v>
      </c>
    </row>
    <row r="1051" spans="1:13" ht="12" customHeight="1" x14ac:dyDescent="0.2">
      <c r="A1051" s="78">
        <v>229864</v>
      </c>
      <c r="B1051" s="67" t="s">
        <v>1104</v>
      </c>
      <c r="C1051" s="67" t="s">
        <v>1196</v>
      </c>
      <c r="D1051" s="67" t="s">
        <v>1205</v>
      </c>
      <c r="E1051" s="67" t="s">
        <v>1555</v>
      </c>
      <c r="F1051" s="67" t="s">
        <v>1712</v>
      </c>
      <c r="G1051" s="67" t="s">
        <v>7</v>
      </c>
      <c r="H1051" s="68">
        <v>0.7715277777777777</v>
      </c>
      <c r="I1051" s="68">
        <v>0.7715277777777777</v>
      </c>
      <c r="J1051" s="68"/>
      <c r="K1051" s="67" t="s">
        <v>1718</v>
      </c>
      <c r="L1051" s="67" t="s">
        <v>1205</v>
      </c>
      <c r="M1051" s="67" t="s">
        <v>1555</v>
      </c>
    </row>
    <row r="1052" spans="1:13" ht="12" customHeight="1" x14ac:dyDescent="0.2">
      <c r="A1052" s="78">
        <v>234743</v>
      </c>
      <c r="B1052" s="67" t="s">
        <v>1105</v>
      </c>
      <c r="C1052" s="67" t="s">
        <v>1196</v>
      </c>
      <c r="D1052" s="67" t="s">
        <v>1205</v>
      </c>
      <c r="E1052" s="67" t="s">
        <v>1560</v>
      </c>
      <c r="F1052" s="67" t="s">
        <v>1705</v>
      </c>
      <c r="G1052" s="67" t="s">
        <v>7</v>
      </c>
      <c r="H1052" s="68">
        <v>0.79999999999999993</v>
      </c>
      <c r="I1052" s="68">
        <v>0.79999999999999993</v>
      </c>
      <c r="J1052" s="68"/>
      <c r="K1052" s="67" t="s">
        <v>1718</v>
      </c>
      <c r="L1052" s="67" t="s">
        <v>1205</v>
      </c>
      <c r="M1052" s="67" t="s">
        <v>1560</v>
      </c>
    </row>
    <row r="1053" spans="1:13" ht="12" customHeight="1" x14ac:dyDescent="0.2">
      <c r="A1053" s="78">
        <v>225122</v>
      </c>
      <c r="B1053" s="67" t="s">
        <v>1106</v>
      </c>
      <c r="C1053" s="67" t="s">
        <v>1196</v>
      </c>
      <c r="D1053" s="67" t="s">
        <v>1205</v>
      </c>
      <c r="E1053" s="67" t="s">
        <v>1561</v>
      </c>
      <c r="F1053" s="67" t="s">
        <v>1716</v>
      </c>
      <c r="G1053" s="67" t="s">
        <v>7</v>
      </c>
      <c r="H1053" s="68">
        <v>16.197222222222223</v>
      </c>
      <c r="I1053" s="68">
        <v>16.197222222222223</v>
      </c>
      <c r="J1053" s="68"/>
      <c r="K1053" s="67" t="s">
        <v>1728</v>
      </c>
      <c r="L1053" s="67" t="s">
        <v>1205</v>
      </c>
      <c r="M1053" s="67" t="s">
        <v>1561</v>
      </c>
    </row>
    <row r="1054" spans="1:13" ht="12" customHeight="1" x14ac:dyDescent="0.2">
      <c r="A1054" s="78">
        <v>232479</v>
      </c>
      <c r="B1054" s="67" t="s">
        <v>1107</v>
      </c>
      <c r="C1054" s="67" t="s">
        <v>1196</v>
      </c>
      <c r="D1054" s="67" t="s">
        <v>1205</v>
      </c>
      <c r="E1054" s="67" t="s">
        <v>1562</v>
      </c>
      <c r="F1054" s="67" t="s">
        <v>1717</v>
      </c>
      <c r="G1054" s="67" t="s">
        <v>7</v>
      </c>
      <c r="H1054" s="68">
        <v>9.7333333333333343</v>
      </c>
      <c r="I1054" s="68">
        <v>9.7333333333333343</v>
      </c>
      <c r="J1054" s="68"/>
      <c r="K1054" s="67" t="s">
        <v>1721</v>
      </c>
      <c r="L1054" s="67" t="s">
        <v>1205</v>
      </c>
      <c r="M1054" s="67" t="s">
        <v>1562</v>
      </c>
    </row>
    <row r="1055" spans="1:13" ht="12" customHeight="1" x14ac:dyDescent="0.2">
      <c r="A1055" s="78">
        <v>236253</v>
      </c>
      <c r="B1055" s="67" t="s">
        <v>1108</v>
      </c>
      <c r="C1055" s="67" t="s">
        <v>1196</v>
      </c>
      <c r="D1055" s="67" t="s">
        <v>1205</v>
      </c>
      <c r="E1055" s="67" t="s">
        <v>1563</v>
      </c>
      <c r="F1055" s="67" t="s">
        <v>1698</v>
      </c>
      <c r="G1055" s="67" t="s">
        <v>7</v>
      </c>
      <c r="H1055" s="68">
        <v>0.52777777777777779</v>
      </c>
      <c r="I1055" s="68">
        <v>0.52777777777777779</v>
      </c>
      <c r="J1055" s="68"/>
      <c r="K1055" s="67" t="s">
        <v>1720</v>
      </c>
      <c r="L1055" s="67" t="s">
        <v>1205</v>
      </c>
      <c r="M1055" s="67" t="s">
        <v>1563</v>
      </c>
    </row>
    <row r="1056" spans="1:13" ht="12" customHeight="1" x14ac:dyDescent="0.2">
      <c r="A1056" s="78">
        <v>229844</v>
      </c>
      <c r="B1056" s="67" t="s">
        <v>1109</v>
      </c>
      <c r="C1056" s="67" t="s">
        <v>1196</v>
      </c>
      <c r="D1056" s="67" t="s">
        <v>1205</v>
      </c>
      <c r="E1056" s="67" t="s">
        <v>1564</v>
      </c>
      <c r="F1056" s="67" t="s">
        <v>1705</v>
      </c>
      <c r="G1056" s="67" t="s">
        <v>7</v>
      </c>
      <c r="H1056" s="68">
        <v>0.28541666666666665</v>
      </c>
      <c r="I1056" s="68">
        <v>0.28541666666666665</v>
      </c>
      <c r="J1056" s="68"/>
      <c r="K1056" s="67" t="s">
        <v>1721</v>
      </c>
      <c r="L1056" s="67" t="s">
        <v>1205</v>
      </c>
      <c r="M1056" s="67" t="s">
        <v>1564</v>
      </c>
    </row>
    <row r="1057" spans="1:13" ht="12" customHeight="1" x14ac:dyDescent="0.2">
      <c r="A1057" s="78">
        <v>223219</v>
      </c>
      <c r="B1057" s="67" t="s">
        <v>1110</v>
      </c>
      <c r="C1057" s="67" t="s">
        <v>1196</v>
      </c>
      <c r="D1057" s="67" t="s">
        <v>1205</v>
      </c>
      <c r="E1057" s="67" t="s">
        <v>1565</v>
      </c>
      <c r="F1057" s="67" t="s">
        <v>1717</v>
      </c>
      <c r="G1057" s="67" t="s">
        <v>7</v>
      </c>
      <c r="H1057" s="68">
        <v>12.997916666666667</v>
      </c>
      <c r="I1057" s="68">
        <v>12.997916666666667</v>
      </c>
      <c r="J1057" s="68"/>
      <c r="K1057" s="67" t="s">
        <v>1718</v>
      </c>
      <c r="L1057" s="67" t="s">
        <v>1205</v>
      </c>
      <c r="M1057" s="67" t="s">
        <v>1565</v>
      </c>
    </row>
    <row r="1058" spans="1:13" ht="12" customHeight="1" x14ac:dyDescent="0.2">
      <c r="A1058" s="78">
        <v>201292</v>
      </c>
      <c r="B1058" s="67" t="s">
        <v>1111</v>
      </c>
      <c r="C1058" s="67" t="s">
        <v>1196</v>
      </c>
      <c r="D1058" s="67" t="s">
        <v>1205</v>
      </c>
      <c r="E1058" s="67" t="s">
        <v>1566</v>
      </c>
      <c r="F1058" s="67" t="s">
        <v>1713</v>
      </c>
      <c r="G1058" s="67" t="s">
        <v>7</v>
      </c>
      <c r="H1058" s="68">
        <v>0.27708333333333335</v>
      </c>
      <c r="I1058" s="68">
        <v>0.27708333333333335</v>
      </c>
      <c r="J1058" s="68"/>
      <c r="K1058" s="67" t="s">
        <v>1718</v>
      </c>
      <c r="L1058" s="67" t="s">
        <v>1205</v>
      </c>
      <c r="M1058" s="67" t="s">
        <v>1566</v>
      </c>
    </row>
    <row r="1059" spans="1:13" ht="12" customHeight="1" x14ac:dyDescent="0.2">
      <c r="A1059" s="78">
        <v>230848</v>
      </c>
      <c r="B1059" s="67" t="s">
        <v>1112</v>
      </c>
      <c r="C1059" s="67" t="s">
        <v>1196</v>
      </c>
      <c r="D1059" s="67" t="s">
        <v>1205</v>
      </c>
      <c r="E1059" s="67" t="s">
        <v>1567</v>
      </c>
      <c r="F1059" s="67" t="s">
        <v>1715</v>
      </c>
      <c r="G1059" s="67" t="s">
        <v>7</v>
      </c>
      <c r="H1059" s="68">
        <v>0.2076388888888889</v>
      </c>
      <c r="I1059" s="68">
        <v>0.2076388888888889</v>
      </c>
      <c r="J1059" s="68"/>
      <c r="K1059" s="67" t="s">
        <v>1718</v>
      </c>
      <c r="L1059" s="67" t="s">
        <v>1205</v>
      </c>
      <c r="M1059" s="67" t="s">
        <v>1567</v>
      </c>
    </row>
    <row r="1060" spans="1:13" ht="12" customHeight="1" x14ac:dyDescent="0.2">
      <c r="A1060" s="78">
        <v>201416</v>
      </c>
      <c r="B1060" s="67" t="s">
        <v>1113</v>
      </c>
      <c r="C1060" s="67" t="s">
        <v>1196</v>
      </c>
      <c r="D1060" s="67" t="s">
        <v>1205</v>
      </c>
      <c r="E1060" s="67" t="s">
        <v>1559</v>
      </c>
      <c r="F1060" s="67" t="s">
        <v>1715</v>
      </c>
      <c r="G1060" s="67" t="s">
        <v>7</v>
      </c>
      <c r="H1060" s="68">
        <v>4.03125</v>
      </c>
      <c r="I1060" s="68">
        <v>4.03125</v>
      </c>
      <c r="J1060" s="68"/>
      <c r="K1060" s="67" t="s">
        <v>1721</v>
      </c>
      <c r="L1060" s="67" t="s">
        <v>1205</v>
      </c>
      <c r="M1060" s="67" t="s">
        <v>1559</v>
      </c>
    </row>
    <row r="1061" spans="1:13" ht="12" customHeight="1" x14ac:dyDescent="0.2">
      <c r="A1061" s="78">
        <v>224469</v>
      </c>
      <c r="B1061" s="67" t="s">
        <v>1114</v>
      </c>
      <c r="C1061" s="67" t="s">
        <v>1196</v>
      </c>
      <c r="D1061" s="67" t="s">
        <v>1205</v>
      </c>
      <c r="E1061" s="67" t="s">
        <v>1568</v>
      </c>
      <c r="F1061" s="67" t="s">
        <v>1704</v>
      </c>
      <c r="G1061" s="67" t="s">
        <v>7</v>
      </c>
      <c r="H1061" s="68">
        <v>1.3881944444444445</v>
      </c>
      <c r="I1061" s="68">
        <v>1.3881944444444445</v>
      </c>
      <c r="J1061" s="68"/>
      <c r="K1061" s="67" t="s">
        <v>1726</v>
      </c>
      <c r="L1061" s="67" t="s">
        <v>1205</v>
      </c>
      <c r="M1061" s="67" t="s">
        <v>1568</v>
      </c>
    </row>
    <row r="1062" spans="1:13" ht="12" customHeight="1" x14ac:dyDescent="0.2">
      <c r="A1062" s="78">
        <v>237008</v>
      </c>
      <c r="B1062" s="67" t="s">
        <v>1115</v>
      </c>
      <c r="C1062" s="67" t="s">
        <v>1196</v>
      </c>
      <c r="D1062" s="67" t="s">
        <v>1205</v>
      </c>
      <c r="E1062" s="67" t="s">
        <v>1548</v>
      </c>
      <c r="F1062" s="67" t="s">
        <v>1705</v>
      </c>
      <c r="G1062" s="67" t="s">
        <v>7</v>
      </c>
      <c r="H1062" s="68">
        <v>7.3611111111111113E-2</v>
      </c>
      <c r="I1062" s="68">
        <v>7.3611111111111113E-2</v>
      </c>
      <c r="J1062" s="68"/>
      <c r="K1062" s="67" t="s">
        <v>1718</v>
      </c>
      <c r="L1062" s="67" t="s">
        <v>1205</v>
      </c>
      <c r="M1062" s="67" t="s">
        <v>1548</v>
      </c>
    </row>
    <row r="1063" spans="1:13" ht="12" customHeight="1" x14ac:dyDescent="0.2">
      <c r="A1063" s="78">
        <v>237138</v>
      </c>
      <c r="B1063" s="67" t="s">
        <v>1116</v>
      </c>
      <c r="C1063" s="67" t="s">
        <v>1196</v>
      </c>
      <c r="D1063" s="67" t="s">
        <v>1205</v>
      </c>
      <c r="E1063" s="67" t="s">
        <v>1569</v>
      </c>
      <c r="F1063" s="67" t="s">
        <v>1705</v>
      </c>
      <c r="G1063" s="67" t="s">
        <v>7</v>
      </c>
      <c r="H1063" s="68">
        <v>4.8611111111111112E-2</v>
      </c>
      <c r="I1063" s="68">
        <v>4.8611111111111112E-2</v>
      </c>
      <c r="J1063" s="68"/>
      <c r="K1063" s="67" t="s">
        <v>1720</v>
      </c>
      <c r="L1063" s="67" t="s">
        <v>1205</v>
      </c>
      <c r="M1063" s="67" t="s">
        <v>1569</v>
      </c>
    </row>
    <row r="1064" spans="1:13" ht="12" customHeight="1" x14ac:dyDescent="0.2">
      <c r="A1064" s="78">
        <v>232028</v>
      </c>
      <c r="B1064" s="67" t="s">
        <v>1117</v>
      </c>
      <c r="C1064" s="67" t="s">
        <v>1196</v>
      </c>
      <c r="D1064" s="67" t="s">
        <v>1205</v>
      </c>
      <c r="E1064" s="67" t="s">
        <v>1550</v>
      </c>
      <c r="F1064" s="67" t="s">
        <v>1710</v>
      </c>
      <c r="G1064" s="67" t="s">
        <v>7</v>
      </c>
      <c r="H1064" s="68">
        <v>1.4201388888888888</v>
      </c>
      <c r="I1064" s="68">
        <v>1.4201388888888888</v>
      </c>
      <c r="J1064" s="68"/>
      <c r="K1064" s="67" t="s">
        <v>1720</v>
      </c>
      <c r="L1064" s="67" t="s">
        <v>1205</v>
      </c>
      <c r="M1064" s="67" t="s">
        <v>1550</v>
      </c>
    </row>
    <row r="1065" spans="1:13" ht="12" customHeight="1" x14ac:dyDescent="0.2">
      <c r="A1065" s="78">
        <v>236239</v>
      </c>
      <c r="B1065" s="67" t="s">
        <v>1118</v>
      </c>
      <c r="C1065" s="67" t="s">
        <v>1196</v>
      </c>
      <c r="D1065" s="67" t="s">
        <v>1205</v>
      </c>
      <c r="E1065" s="67" t="s">
        <v>1558</v>
      </c>
      <c r="F1065" s="67" t="s">
        <v>1714</v>
      </c>
      <c r="G1065" s="67" t="s">
        <v>7</v>
      </c>
      <c r="H1065" s="68">
        <v>16.421527777777779</v>
      </c>
      <c r="I1065" s="68">
        <v>16.421527777777779</v>
      </c>
      <c r="J1065" s="68"/>
      <c r="K1065" s="67" t="s">
        <v>1728</v>
      </c>
      <c r="L1065" s="67" t="s">
        <v>1205</v>
      </c>
      <c r="M1065" s="67" t="s">
        <v>1558</v>
      </c>
    </row>
    <row r="1066" spans="1:13" ht="12" customHeight="1" x14ac:dyDescent="0.2">
      <c r="A1066" s="78">
        <v>238038</v>
      </c>
      <c r="B1066" s="67" t="s">
        <v>1119</v>
      </c>
      <c r="C1066" s="67" t="s">
        <v>1196</v>
      </c>
      <c r="D1066" s="67" t="s">
        <v>1205</v>
      </c>
      <c r="E1066" s="67" t="s">
        <v>1560</v>
      </c>
      <c r="F1066" s="67" t="s">
        <v>1705</v>
      </c>
      <c r="G1066" s="67" t="s">
        <v>7</v>
      </c>
      <c r="H1066" s="68">
        <v>0.18194444444444444</v>
      </c>
      <c r="I1066" s="68">
        <v>0.18194444444444444</v>
      </c>
      <c r="J1066" s="68"/>
      <c r="K1066" s="67" t="s">
        <v>1718</v>
      </c>
      <c r="L1066" s="67" t="s">
        <v>1205</v>
      </c>
      <c r="M1066" s="67" t="s">
        <v>1560</v>
      </c>
    </row>
    <row r="1067" spans="1:13" ht="12" customHeight="1" x14ac:dyDescent="0.2">
      <c r="A1067" s="78">
        <v>230648</v>
      </c>
      <c r="B1067" s="67" t="s">
        <v>1120</v>
      </c>
      <c r="C1067" s="67" t="s">
        <v>1196</v>
      </c>
      <c r="D1067" s="67" t="s">
        <v>1205</v>
      </c>
      <c r="E1067" s="67" t="s">
        <v>1570</v>
      </c>
      <c r="F1067" s="67" t="s">
        <v>1705</v>
      </c>
      <c r="G1067" s="67" t="s">
        <v>7</v>
      </c>
      <c r="H1067" s="68">
        <v>0.78888888888888886</v>
      </c>
      <c r="I1067" s="68">
        <v>0.78888888888888886</v>
      </c>
      <c r="J1067" s="68"/>
      <c r="K1067" s="67" t="s">
        <v>1720</v>
      </c>
      <c r="L1067" s="67" t="s">
        <v>1205</v>
      </c>
      <c r="M1067" s="67" t="s">
        <v>1570</v>
      </c>
    </row>
    <row r="1068" spans="1:13" ht="12" customHeight="1" x14ac:dyDescent="0.2">
      <c r="A1068" s="78">
        <v>223356</v>
      </c>
      <c r="B1068" s="67" t="s">
        <v>1121</v>
      </c>
      <c r="C1068" s="67" t="s">
        <v>1196</v>
      </c>
      <c r="D1068" s="67" t="s">
        <v>1205</v>
      </c>
      <c r="E1068" s="67" t="s">
        <v>1567</v>
      </c>
      <c r="F1068" s="67" t="s">
        <v>1715</v>
      </c>
      <c r="G1068" s="67" t="s">
        <v>7</v>
      </c>
      <c r="H1068" s="68">
        <v>1.175</v>
      </c>
      <c r="I1068" s="68">
        <v>1.175</v>
      </c>
      <c r="J1068" s="68"/>
      <c r="K1068" s="67" t="s">
        <v>1718</v>
      </c>
      <c r="L1068" s="67" t="s">
        <v>1205</v>
      </c>
      <c r="M1068" s="67" t="s">
        <v>1567</v>
      </c>
    </row>
    <row r="1069" spans="1:13" ht="12" customHeight="1" x14ac:dyDescent="0.2">
      <c r="A1069" s="78">
        <v>232547</v>
      </c>
      <c r="B1069" s="67" t="s">
        <v>1122</v>
      </c>
      <c r="C1069" s="67" t="s">
        <v>1196</v>
      </c>
      <c r="D1069" s="67" t="s">
        <v>1205</v>
      </c>
      <c r="E1069" s="67" t="s">
        <v>1571</v>
      </c>
      <c r="F1069" s="67" t="s">
        <v>1704</v>
      </c>
      <c r="G1069" s="67" t="s">
        <v>7</v>
      </c>
      <c r="H1069" s="68">
        <v>0.46249999999999997</v>
      </c>
      <c r="I1069" s="68">
        <v>0.46249999999999997</v>
      </c>
      <c r="J1069" s="68"/>
      <c r="K1069" s="67" t="s">
        <v>1719</v>
      </c>
      <c r="L1069" s="67" t="s">
        <v>1205</v>
      </c>
      <c r="M1069" s="67" t="s">
        <v>1571</v>
      </c>
    </row>
    <row r="1070" spans="1:13" ht="12" customHeight="1" x14ac:dyDescent="0.2">
      <c r="A1070" s="78">
        <v>231093</v>
      </c>
      <c r="B1070" s="67" t="s">
        <v>1123</v>
      </c>
      <c r="C1070" s="67" t="s">
        <v>1196</v>
      </c>
      <c r="D1070" s="67" t="s">
        <v>1205</v>
      </c>
      <c r="E1070" s="67" t="s">
        <v>1572</v>
      </c>
      <c r="F1070" s="67" t="s">
        <v>1705</v>
      </c>
      <c r="G1070" s="67" t="s">
        <v>7</v>
      </c>
      <c r="H1070" s="68">
        <v>0.8965277777777777</v>
      </c>
      <c r="I1070" s="68">
        <v>0.8965277777777777</v>
      </c>
      <c r="J1070" s="68"/>
      <c r="K1070" s="67" t="s">
        <v>1718</v>
      </c>
      <c r="L1070" s="67" t="s">
        <v>1205</v>
      </c>
      <c r="M1070" s="67" t="s">
        <v>1572</v>
      </c>
    </row>
    <row r="1071" spans="1:13" ht="12" customHeight="1" x14ac:dyDescent="0.2">
      <c r="A1071" s="78">
        <v>222991</v>
      </c>
      <c r="B1071" s="67" t="s">
        <v>1124</v>
      </c>
      <c r="C1071" s="67" t="s">
        <v>1196</v>
      </c>
      <c r="D1071" s="67" t="s">
        <v>1205</v>
      </c>
      <c r="E1071" s="67" t="s">
        <v>1559</v>
      </c>
      <c r="F1071" s="67" t="s">
        <v>1715</v>
      </c>
      <c r="G1071" s="67" t="s">
        <v>7</v>
      </c>
      <c r="H1071" s="68">
        <v>5.4069444444444441</v>
      </c>
      <c r="I1071" s="68">
        <v>5.4069444444444441</v>
      </c>
      <c r="J1071" s="68"/>
      <c r="K1071" s="67" t="s">
        <v>1720</v>
      </c>
      <c r="L1071" s="67" t="s">
        <v>1205</v>
      </c>
      <c r="M1071" s="67" t="s">
        <v>1559</v>
      </c>
    </row>
    <row r="1072" spans="1:13" ht="12" customHeight="1" x14ac:dyDescent="0.2">
      <c r="A1072" s="78">
        <v>220368</v>
      </c>
      <c r="B1072" s="67" t="s">
        <v>1125</v>
      </c>
      <c r="C1072" s="67" t="s">
        <v>1196</v>
      </c>
      <c r="D1072" s="67" t="s">
        <v>1205</v>
      </c>
      <c r="E1072" s="67" t="s">
        <v>1550</v>
      </c>
      <c r="F1072" s="67" t="s">
        <v>1710</v>
      </c>
      <c r="G1072" s="67" t="s">
        <v>7</v>
      </c>
      <c r="H1072" s="68">
        <v>0.32222222222222224</v>
      </c>
      <c r="I1072" s="68">
        <v>0.32222222222222224</v>
      </c>
      <c r="J1072" s="68"/>
      <c r="K1072" s="67" t="s">
        <v>1720</v>
      </c>
      <c r="L1072" s="67" t="s">
        <v>1205</v>
      </c>
      <c r="M1072" s="67" t="s">
        <v>1550</v>
      </c>
    </row>
    <row r="1073" spans="1:13" ht="12" customHeight="1" x14ac:dyDescent="0.2">
      <c r="A1073" s="78">
        <v>225266</v>
      </c>
      <c r="B1073" s="67" t="s">
        <v>1126</v>
      </c>
      <c r="C1073" s="67" t="s">
        <v>1196</v>
      </c>
      <c r="D1073" s="67" t="s">
        <v>1205</v>
      </c>
      <c r="E1073" s="67" t="s">
        <v>1556</v>
      </c>
      <c r="F1073" s="67" t="s">
        <v>1713</v>
      </c>
      <c r="G1073" s="67" t="s">
        <v>7</v>
      </c>
      <c r="H1073" s="68">
        <v>0.23472222222222219</v>
      </c>
      <c r="I1073" s="68">
        <v>0.23472222222222219</v>
      </c>
      <c r="J1073" s="68"/>
      <c r="K1073" s="67" t="s">
        <v>1720</v>
      </c>
      <c r="L1073" s="67" t="s">
        <v>1205</v>
      </c>
      <c r="M1073" s="67" t="s">
        <v>1556</v>
      </c>
    </row>
    <row r="1074" spans="1:13" ht="12" customHeight="1" x14ac:dyDescent="0.2">
      <c r="A1074" s="78">
        <v>232411</v>
      </c>
      <c r="B1074" s="67" t="s">
        <v>1127</v>
      </c>
      <c r="C1074" s="67" t="s">
        <v>1196</v>
      </c>
      <c r="D1074" s="67" t="s">
        <v>1205</v>
      </c>
      <c r="E1074" s="67" t="s">
        <v>1565</v>
      </c>
      <c r="F1074" s="67" t="s">
        <v>1717</v>
      </c>
      <c r="G1074" s="67" t="s">
        <v>7</v>
      </c>
      <c r="H1074" s="68">
        <v>12.3375</v>
      </c>
      <c r="I1074" s="68">
        <v>12.3375</v>
      </c>
      <c r="J1074" s="68"/>
      <c r="K1074" s="67" t="s">
        <v>1718</v>
      </c>
      <c r="L1074" s="67" t="s">
        <v>1205</v>
      </c>
      <c r="M1074" s="67" t="s">
        <v>1565</v>
      </c>
    </row>
    <row r="1075" spans="1:13" ht="12" customHeight="1" x14ac:dyDescent="0.2">
      <c r="A1075" s="78">
        <v>233355</v>
      </c>
      <c r="B1075" s="67" t="s">
        <v>1128</v>
      </c>
      <c r="C1075" s="67" t="s">
        <v>1196</v>
      </c>
      <c r="D1075" s="67" t="s">
        <v>1205</v>
      </c>
      <c r="E1075" s="67" t="s">
        <v>1573</v>
      </c>
      <c r="F1075" s="67" t="s">
        <v>1716</v>
      </c>
      <c r="G1075" s="67" t="s">
        <v>7</v>
      </c>
      <c r="H1075" s="68">
        <v>1.20625</v>
      </c>
      <c r="I1075" s="68">
        <v>1.20625</v>
      </c>
      <c r="J1075" s="68"/>
      <c r="K1075" s="67" t="s">
        <v>1718</v>
      </c>
      <c r="L1075" s="67" t="s">
        <v>1205</v>
      </c>
      <c r="M1075" s="67" t="s">
        <v>1573</v>
      </c>
    </row>
    <row r="1076" spans="1:13" ht="12" customHeight="1" x14ac:dyDescent="0.2">
      <c r="A1076" s="78">
        <v>224556</v>
      </c>
      <c r="B1076" s="67" t="s">
        <v>1129</v>
      </c>
      <c r="C1076" s="67" t="s">
        <v>1196</v>
      </c>
      <c r="D1076" s="67" t="s">
        <v>1205</v>
      </c>
      <c r="E1076" s="67" t="s">
        <v>1567</v>
      </c>
      <c r="F1076" s="67" t="s">
        <v>1715</v>
      </c>
      <c r="G1076" s="67" t="s">
        <v>7</v>
      </c>
      <c r="H1076" s="68">
        <v>0.29791666666666666</v>
      </c>
      <c r="I1076" s="68">
        <v>0.29791666666666666</v>
      </c>
      <c r="J1076" s="68"/>
      <c r="K1076" s="67" t="s">
        <v>1718</v>
      </c>
      <c r="L1076" s="67" t="s">
        <v>1205</v>
      </c>
      <c r="M1076" s="67" t="s">
        <v>1567</v>
      </c>
    </row>
    <row r="1077" spans="1:13" ht="12" customHeight="1" x14ac:dyDescent="0.2">
      <c r="A1077" s="78">
        <v>236352</v>
      </c>
      <c r="B1077" s="67" t="s">
        <v>1130</v>
      </c>
      <c r="C1077" s="67" t="s">
        <v>1196</v>
      </c>
      <c r="D1077" s="67" t="s">
        <v>1205</v>
      </c>
      <c r="E1077" s="67" t="s">
        <v>1573</v>
      </c>
      <c r="F1077" s="67" t="s">
        <v>1716</v>
      </c>
      <c r="G1077" s="67" t="s">
        <v>7</v>
      </c>
      <c r="H1077" s="68">
        <v>0.54513888888888895</v>
      </c>
      <c r="I1077" s="68">
        <v>0.54513888888888895</v>
      </c>
      <c r="J1077" s="68"/>
      <c r="K1077" s="67" t="s">
        <v>1718</v>
      </c>
      <c r="L1077" s="67" t="s">
        <v>1205</v>
      </c>
      <c r="M1077" s="67" t="s">
        <v>1573</v>
      </c>
    </row>
    <row r="1078" spans="1:13" ht="12" customHeight="1" x14ac:dyDescent="0.2">
      <c r="A1078" s="78">
        <v>236246</v>
      </c>
      <c r="B1078" s="67" t="s">
        <v>1131</v>
      </c>
      <c r="C1078" s="67" t="s">
        <v>1196</v>
      </c>
      <c r="D1078" s="67" t="s">
        <v>1205</v>
      </c>
      <c r="E1078" s="67" t="s">
        <v>1555</v>
      </c>
      <c r="F1078" s="67" t="s">
        <v>1712</v>
      </c>
      <c r="G1078" s="67" t="s">
        <v>8</v>
      </c>
      <c r="H1078" s="68">
        <v>2.8666666666666667</v>
      </c>
      <c r="I1078" s="68"/>
      <c r="J1078" s="68">
        <v>2.8666666666666667</v>
      </c>
      <c r="K1078" s="67" t="s">
        <v>1718</v>
      </c>
      <c r="L1078" s="67" t="s">
        <v>1205</v>
      </c>
      <c r="M1078" s="67" t="s">
        <v>1555</v>
      </c>
    </row>
    <row r="1079" spans="1:13" ht="12" customHeight="1" x14ac:dyDescent="0.2">
      <c r="A1079" s="78">
        <v>236512</v>
      </c>
      <c r="B1079" s="67" t="s">
        <v>1132</v>
      </c>
      <c r="C1079" s="67" t="s">
        <v>1196</v>
      </c>
      <c r="D1079" s="67" t="s">
        <v>1205</v>
      </c>
      <c r="E1079" s="67" t="s">
        <v>1555</v>
      </c>
      <c r="F1079" s="67" t="s">
        <v>1712</v>
      </c>
      <c r="G1079" s="67" t="s">
        <v>8</v>
      </c>
      <c r="H1079" s="68">
        <v>2.5006944444444446</v>
      </c>
      <c r="I1079" s="68"/>
      <c r="J1079" s="68">
        <v>2.5006944444444446</v>
      </c>
      <c r="K1079" s="67" t="s">
        <v>1718</v>
      </c>
      <c r="L1079" s="67" t="s">
        <v>1205</v>
      </c>
      <c r="M1079" s="67" t="s">
        <v>1555</v>
      </c>
    </row>
    <row r="1080" spans="1:13" ht="12" customHeight="1" x14ac:dyDescent="0.2">
      <c r="A1080" s="78">
        <v>236158</v>
      </c>
      <c r="B1080" s="67" t="s">
        <v>1133</v>
      </c>
      <c r="C1080" s="67" t="s">
        <v>1196</v>
      </c>
      <c r="D1080" s="67" t="s">
        <v>1205</v>
      </c>
      <c r="E1080" s="67" t="s">
        <v>1568</v>
      </c>
      <c r="F1080" s="67" t="s">
        <v>1704</v>
      </c>
      <c r="G1080" s="67" t="s">
        <v>8</v>
      </c>
      <c r="H1080" s="68">
        <v>2.0722222222222224</v>
      </c>
      <c r="I1080" s="68"/>
      <c r="J1080" s="68">
        <v>2.0722222222222224</v>
      </c>
      <c r="K1080" s="67" t="s">
        <v>1726</v>
      </c>
      <c r="L1080" s="67" t="s">
        <v>1205</v>
      </c>
      <c r="M1080" s="67" t="s">
        <v>1568</v>
      </c>
    </row>
    <row r="1081" spans="1:13" ht="12" customHeight="1" x14ac:dyDescent="0.2">
      <c r="A1081" s="78">
        <v>236518</v>
      </c>
      <c r="B1081" s="67" t="s">
        <v>1134</v>
      </c>
      <c r="C1081" s="67" t="s">
        <v>1196</v>
      </c>
      <c r="D1081" s="67" t="s">
        <v>1205</v>
      </c>
      <c r="E1081" s="67" t="s">
        <v>1555</v>
      </c>
      <c r="F1081" s="67" t="s">
        <v>1712</v>
      </c>
      <c r="G1081" s="67" t="s">
        <v>8</v>
      </c>
      <c r="H1081" s="68">
        <v>1.4826388888888891</v>
      </c>
      <c r="I1081" s="68"/>
      <c r="J1081" s="68">
        <v>1.4826388888888891</v>
      </c>
      <c r="K1081" s="67" t="s">
        <v>1718</v>
      </c>
      <c r="L1081" s="67" t="s">
        <v>1205</v>
      </c>
      <c r="M1081" s="67" t="s">
        <v>1555</v>
      </c>
    </row>
    <row r="1082" spans="1:13" ht="12" customHeight="1" x14ac:dyDescent="0.2">
      <c r="A1082" s="78">
        <v>223207</v>
      </c>
      <c r="B1082" s="67" t="s">
        <v>1135</v>
      </c>
      <c r="C1082" s="67" t="s">
        <v>1196</v>
      </c>
      <c r="D1082" s="67" t="s">
        <v>1205</v>
      </c>
      <c r="E1082" s="67" t="s">
        <v>1565</v>
      </c>
      <c r="F1082" s="67" t="s">
        <v>1717</v>
      </c>
      <c r="G1082" s="67" t="s">
        <v>8</v>
      </c>
      <c r="H1082" s="68">
        <v>1.3930555555555555</v>
      </c>
      <c r="I1082" s="68"/>
      <c r="J1082" s="68">
        <v>1.3930555555555555</v>
      </c>
      <c r="K1082" s="67" t="s">
        <v>1718</v>
      </c>
      <c r="L1082" s="67" t="s">
        <v>1205</v>
      </c>
      <c r="M1082" s="67" t="s">
        <v>1565</v>
      </c>
    </row>
    <row r="1083" spans="1:13" ht="12" customHeight="1" x14ac:dyDescent="0.2">
      <c r="A1083" s="78">
        <v>235747</v>
      </c>
      <c r="B1083" s="67" t="s">
        <v>1136</v>
      </c>
      <c r="C1083" s="67" t="s">
        <v>1196</v>
      </c>
      <c r="D1083" s="67" t="s">
        <v>1205</v>
      </c>
      <c r="E1083" s="67" t="s">
        <v>1567</v>
      </c>
      <c r="F1083" s="67" t="s">
        <v>1715</v>
      </c>
      <c r="G1083" s="67" t="s">
        <v>8</v>
      </c>
      <c r="H1083" s="68">
        <v>1.3527777777777779</v>
      </c>
      <c r="I1083" s="68"/>
      <c r="J1083" s="68">
        <v>1.3527777777777779</v>
      </c>
      <c r="K1083" s="67" t="s">
        <v>1718</v>
      </c>
      <c r="L1083" s="67" t="s">
        <v>1205</v>
      </c>
      <c r="M1083" s="67" t="s">
        <v>1567</v>
      </c>
    </row>
    <row r="1084" spans="1:13" ht="12" customHeight="1" x14ac:dyDescent="0.2">
      <c r="A1084" s="78">
        <v>235367</v>
      </c>
      <c r="B1084" s="67" t="s">
        <v>1137</v>
      </c>
      <c r="C1084" s="67" t="s">
        <v>1196</v>
      </c>
      <c r="D1084" s="67" t="s">
        <v>1205</v>
      </c>
      <c r="E1084" s="67" t="s">
        <v>1574</v>
      </c>
      <c r="F1084" s="67" t="s">
        <v>1714</v>
      </c>
      <c r="G1084" s="67" t="s">
        <v>8</v>
      </c>
      <c r="H1084" s="68">
        <v>1.2583333333333333</v>
      </c>
      <c r="I1084" s="68"/>
      <c r="J1084" s="68">
        <v>1.2583333333333333</v>
      </c>
      <c r="K1084" s="67" t="s">
        <v>1718</v>
      </c>
      <c r="L1084" s="67" t="s">
        <v>1205</v>
      </c>
      <c r="M1084" s="67" t="s">
        <v>1574</v>
      </c>
    </row>
    <row r="1085" spans="1:13" ht="12" customHeight="1" x14ac:dyDescent="0.2">
      <c r="A1085" s="78">
        <v>235490</v>
      </c>
      <c r="B1085" s="67" t="s">
        <v>1138</v>
      </c>
      <c r="C1085" s="67" t="s">
        <v>1196</v>
      </c>
      <c r="D1085" s="67" t="s">
        <v>1205</v>
      </c>
      <c r="E1085" s="67" t="s">
        <v>1555</v>
      </c>
      <c r="F1085" s="67" t="s">
        <v>1712</v>
      </c>
      <c r="G1085" s="67" t="s">
        <v>8</v>
      </c>
      <c r="H1085" s="68">
        <v>1.1548611111111111</v>
      </c>
      <c r="I1085" s="68"/>
      <c r="J1085" s="68">
        <v>1.1548611111111111</v>
      </c>
      <c r="K1085" s="67" t="s">
        <v>1718</v>
      </c>
      <c r="L1085" s="67" t="s">
        <v>1205</v>
      </c>
      <c r="M1085" s="67" t="s">
        <v>1555</v>
      </c>
    </row>
    <row r="1086" spans="1:13" ht="12" customHeight="1" x14ac:dyDescent="0.2">
      <c r="A1086" s="78">
        <v>235366</v>
      </c>
      <c r="B1086" s="67" t="s">
        <v>1139</v>
      </c>
      <c r="C1086" s="67" t="s">
        <v>1196</v>
      </c>
      <c r="D1086" s="67" t="s">
        <v>1205</v>
      </c>
      <c r="E1086" s="67" t="s">
        <v>1575</v>
      </c>
      <c r="F1086" s="67" t="s">
        <v>1710</v>
      </c>
      <c r="G1086" s="67" t="s">
        <v>8</v>
      </c>
      <c r="H1086" s="68">
        <v>0.99236111111111114</v>
      </c>
      <c r="I1086" s="68"/>
      <c r="J1086" s="68">
        <v>0.99236111111111114</v>
      </c>
      <c r="K1086" s="67" t="s">
        <v>1718</v>
      </c>
      <c r="L1086" s="67" t="s">
        <v>1205</v>
      </c>
      <c r="M1086" s="67" t="s">
        <v>1575</v>
      </c>
    </row>
    <row r="1087" spans="1:13" ht="12" customHeight="1" x14ac:dyDescent="0.2">
      <c r="A1087" s="78">
        <v>231420</v>
      </c>
      <c r="B1087" s="67" t="s">
        <v>1140</v>
      </c>
      <c r="C1087" s="67" t="s">
        <v>1196</v>
      </c>
      <c r="D1087" s="67" t="s">
        <v>1205</v>
      </c>
      <c r="E1087" s="67" t="s">
        <v>1575</v>
      </c>
      <c r="F1087" s="67" t="s">
        <v>1710</v>
      </c>
      <c r="G1087" s="67" t="s">
        <v>8</v>
      </c>
      <c r="H1087" s="68">
        <v>0.9159722222222223</v>
      </c>
      <c r="I1087" s="68"/>
      <c r="J1087" s="68">
        <v>0.9159722222222223</v>
      </c>
      <c r="K1087" s="67" t="s">
        <v>1718</v>
      </c>
      <c r="L1087" s="67" t="s">
        <v>1205</v>
      </c>
      <c r="M1087" s="67" t="s">
        <v>1575</v>
      </c>
    </row>
    <row r="1088" spans="1:13" ht="12" customHeight="1" x14ac:dyDescent="0.2">
      <c r="A1088" s="78">
        <v>224602</v>
      </c>
      <c r="B1088" s="67" t="s">
        <v>1141</v>
      </c>
      <c r="C1088" s="67" t="s">
        <v>1196</v>
      </c>
      <c r="D1088" s="67" t="s">
        <v>1205</v>
      </c>
      <c r="E1088" s="67" t="s">
        <v>1555</v>
      </c>
      <c r="F1088" s="67" t="s">
        <v>1712</v>
      </c>
      <c r="G1088" s="67" t="s">
        <v>8</v>
      </c>
      <c r="H1088" s="68">
        <v>0.89027777777777783</v>
      </c>
      <c r="I1088" s="68"/>
      <c r="J1088" s="68">
        <v>0.89027777777777783</v>
      </c>
      <c r="K1088" s="67" t="s">
        <v>1718</v>
      </c>
      <c r="L1088" s="67" t="s">
        <v>1205</v>
      </c>
      <c r="M1088" s="67" t="s">
        <v>1555</v>
      </c>
    </row>
    <row r="1089" spans="1:13" ht="12" customHeight="1" x14ac:dyDescent="0.2">
      <c r="A1089" s="78">
        <v>232184</v>
      </c>
      <c r="B1089" s="67" t="s">
        <v>1142</v>
      </c>
      <c r="C1089" s="67" t="s">
        <v>1196</v>
      </c>
      <c r="D1089" s="67" t="s">
        <v>1205</v>
      </c>
      <c r="E1089" s="67" t="s">
        <v>1573</v>
      </c>
      <c r="F1089" s="67" t="s">
        <v>1716</v>
      </c>
      <c r="G1089" s="67" t="s">
        <v>8</v>
      </c>
      <c r="H1089" s="68">
        <v>0.87569444444444444</v>
      </c>
      <c r="I1089" s="68"/>
      <c r="J1089" s="68">
        <v>0.87569444444444444</v>
      </c>
      <c r="K1089" s="67" t="s">
        <v>1718</v>
      </c>
      <c r="L1089" s="67" t="s">
        <v>1205</v>
      </c>
      <c r="M1089" s="67" t="s">
        <v>1573</v>
      </c>
    </row>
    <row r="1090" spans="1:13" ht="12" customHeight="1" x14ac:dyDescent="0.2">
      <c r="A1090" s="78">
        <v>224321</v>
      </c>
      <c r="B1090" s="67" t="s">
        <v>1143</v>
      </c>
      <c r="C1090" s="67" t="s">
        <v>1196</v>
      </c>
      <c r="D1090" s="67" t="s">
        <v>1205</v>
      </c>
      <c r="E1090" s="67" t="s">
        <v>1552</v>
      </c>
      <c r="F1090" s="67" t="s">
        <v>1711</v>
      </c>
      <c r="G1090" s="67" t="s">
        <v>8</v>
      </c>
      <c r="H1090" s="68">
        <v>0.87013888888888891</v>
      </c>
      <c r="I1090" s="68"/>
      <c r="J1090" s="68">
        <v>0.87013888888888891</v>
      </c>
      <c r="K1090" s="67" t="s">
        <v>1720</v>
      </c>
      <c r="L1090" s="67" t="s">
        <v>1205</v>
      </c>
      <c r="M1090" s="67" t="s">
        <v>1552</v>
      </c>
    </row>
    <row r="1091" spans="1:13" ht="12" customHeight="1" x14ac:dyDescent="0.2">
      <c r="A1091" s="78">
        <v>200763</v>
      </c>
      <c r="B1091" s="67" t="s">
        <v>1144</v>
      </c>
      <c r="C1091" s="67" t="s">
        <v>1196</v>
      </c>
      <c r="D1091" s="67" t="s">
        <v>1205</v>
      </c>
      <c r="E1091" s="67" t="s">
        <v>1576</v>
      </c>
      <c r="F1091" s="67" t="s">
        <v>1704</v>
      </c>
      <c r="G1091" s="67" t="s">
        <v>8</v>
      </c>
      <c r="H1091" s="68">
        <v>0.82291666666666663</v>
      </c>
      <c r="I1091" s="68"/>
      <c r="J1091" s="68">
        <v>0.82291666666666663</v>
      </c>
      <c r="K1091" s="67" t="s">
        <v>1724</v>
      </c>
      <c r="L1091" s="67" t="s">
        <v>1205</v>
      </c>
      <c r="M1091" s="67" t="s">
        <v>1576</v>
      </c>
    </row>
    <row r="1092" spans="1:13" ht="12" customHeight="1" x14ac:dyDescent="0.2">
      <c r="A1092" s="78">
        <v>235697</v>
      </c>
      <c r="B1092" s="67" t="s">
        <v>1145</v>
      </c>
      <c r="C1092" s="67" t="s">
        <v>1196</v>
      </c>
      <c r="D1092" s="67" t="s">
        <v>1205</v>
      </c>
      <c r="E1092" s="67" t="s">
        <v>1577</v>
      </c>
      <c r="F1092" s="67" t="s">
        <v>1704</v>
      </c>
      <c r="G1092" s="67" t="s">
        <v>8</v>
      </c>
      <c r="H1092" s="68">
        <v>0.80347222222222225</v>
      </c>
      <c r="I1092" s="68"/>
      <c r="J1092" s="68">
        <v>0.80347222222222225</v>
      </c>
      <c r="K1092" s="67" t="s">
        <v>1719</v>
      </c>
      <c r="L1092" s="67" t="s">
        <v>1205</v>
      </c>
      <c r="M1092" s="67" t="s">
        <v>1577</v>
      </c>
    </row>
    <row r="1093" spans="1:13" ht="12" customHeight="1" x14ac:dyDescent="0.2">
      <c r="A1093" s="78">
        <v>236484</v>
      </c>
      <c r="B1093" s="67" t="s">
        <v>1146</v>
      </c>
      <c r="C1093" s="67" t="s">
        <v>1196</v>
      </c>
      <c r="D1093" s="67" t="s">
        <v>1205</v>
      </c>
      <c r="E1093" s="67" t="s">
        <v>1560</v>
      </c>
      <c r="F1093" s="67" t="s">
        <v>1705</v>
      </c>
      <c r="G1093" s="67" t="s">
        <v>8</v>
      </c>
      <c r="H1093" s="68">
        <v>0.80138888888888893</v>
      </c>
      <c r="I1093" s="68"/>
      <c r="J1093" s="68">
        <v>0.80138888888888893</v>
      </c>
      <c r="K1093" s="67" t="s">
        <v>1718</v>
      </c>
      <c r="L1093" s="67" t="s">
        <v>1205</v>
      </c>
      <c r="M1093" s="67" t="s">
        <v>1560</v>
      </c>
    </row>
    <row r="1094" spans="1:13" ht="12" customHeight="1" x14ac:dyDescent="0.2">
      <c r="A1094" s="78">
        <v>235528</v>
      </c>
      <c r="B1094" s="67" t="s">
        <v>1147</v>
      </c>
      <c r="C1094" s="67" t="s">
        <v>1196</v>
      </c>
      <c r="D1094" s="67" t="s">
        <v>1205</v>
      </c>
      <c r="E1094" s="67" t="s">
        <v>1566</v>
      </c>
      <c r="F1094" s="67" t="s">
        <v>1713</v>
      </c>
      <c r="G1094" s="67" t="s">
        <v>8</v>
      </c>
      <c r="H1094" s="68">
        <v>0.73263888888888884</v>
      </c>
      <c r="I1094" s="68"/>
      <c r="J1094" s="68">
        <v>0.73263888888888884</v>
      </c>
      <c r="K1094" s="67" t="s">
        <v>1718</v>
      </c>
      <c r="L1094" s="67" t="s">
        <v>1205</v>
      </c>
      <c r="M1094" s="67" t="s">
        <v>1566</v>
      </c>
    </row>
    <row r="1095" spans="1:13" ht="12" customHeight="1" x14ac:dyDescent="0.2">
      <c r="A1095" s="78">
        <v>201809</v>
      </c>
      <c r="B1095" s="67" t="s">
        <v>1148</v>
      </c>
      <c r="C1095" s="67" t="s">
        <v>1196</v>
      </c>
      <c r="D1095" s="67" t="s">
        <v>1205</v>
      </c>
      <c r="E1095" s="67" t="s">
        <v>1554</v>
      </c>
      <c r="F1095" s="67" t="s">
        <v>1711</v>
      </c>
      <c r="G1095" s="67" t="s">
        <v>8</v>
      </c>
      <c r="H1095" s="68">
        <v>0.72361111111111109</v>
      </c>
      <c r="I1095" s="68"/>
      <c r="J1095" s="68">
        <v>0.72361111111111109</v>
      </c>
      <c r="K1095" s="67" t="s">
        <v>1718</v>
      </c>
      <c r="L1095" s="67" t="s">
        <v>1205</v>
      </c>
      <c r="M1095" s="67" t="s">
        <v>1554</v>
      </c>
    </row>
    <row r="1096" spans="1:13" ht="12" customHeight="1" x14ac:dyDescent="0.2">
      <c r="A1096" s="78">
        <v>235529</v>
      </c>
      <c r="B1096" s="67" t="s">
        <v>1149</v>
      </c>
      <c r="C1096" s="67" t="s">
        <v>1196</v>
      </c>
      <c r="D1096" s="67" t="s">
        <v>1205</v>
      </c>
      <c r="E1096" s="67" t="s">
        <v>1574</v>
      </c>
      <c r="F1096" s="67" t="s">
        <v>1714</v>
      </c>
      <c r="G1096" s="67" t="s">
        <v>8</v>
      </c>
      <c r="H1096" s="68">
        <v>0.71180555555555547</v>
      </c>
      <c r="I1096" s="68"/>
      <c r="J1096" s="68">
        <v>0.71180555555555547</v>
      </c>
      <c r="K1096" s="67" t="s">
        <v>1718</v>
      </c>
      <c r="L1096" s="67" t="s">
        <v>1205</v>
      </c>
      <c r="M1096" s="67" t="s">
        <v>1574</v>
      </c>
    </row>
    <row r="1097" spans="1:13" ht="12" customHeight="1" x14ac:dyDescent="0.2">
      <c r="A1097" s="78">
        <v>233584</v>
      </c>
      <c r="B1097" s="67" t="s">
        <v>1150</v>
      </c>
      <c r="C1097" s="67" t="s">
        <v>1196</v>
      </c>
      <c r="D1097" s="67" t="s">
        <v>1205</v>
      </c>
      <c r="E1097" s="67" t="s">
        <v>1566</v>
      </c>
      <c r="F1097" s="67" t="s">
        <v>1713</v>
      </c>
      <c r="G1097" s="67" t="s">
        <v>8</v>
      </c>
      <c r="H1097" s="68">
        <v>0.69652777777777775</v>
      </c>
      <c r="I1097" s="68"/>
      <c r="J1097" s="68">
        <v>0.69652777777777775</v>
      </c>
      <c r="K1097" s="67" t="s">
        <v>1718</v>
      </c>
      <c r="L1097" s="67" t="s">
        <v>1205</v>
      </c>
      <c r="M1097" s="67" t="s">
        <v>1566</v>
      </c>
    </row>
    <row r="1098" spans="1:13" ht="12" customHeight="1" x14ac:dyDescent="0.2">
      <c r="A1098" s="78">
        <v>238051</v>
      </c>
      <c r="B1098" s="67" t="s">
        <v>1151</v>
      </c>
      <c r="C1098" s="67" t="s">
        <v>1196</v>
      </c>
      <c r="D1098" s="67" t="s">
        <v>1205</v>
      </c>
      <c r="E1098" s="67" t="s">
        <v>1572</v>
      </c>
      <c r="F1098" s="67" t="s">
        <v>1705</v>
      </c>
      <c r="G1098" s="67" t="s">
        <v>8</v>
      </c>
      <c r="H1098" s="68">
        <v>0.68125000000000002</v>
      </c>
      <c r="I1098" s="68"/>
      <c r="J1098" s="68">
        <v>0.68125000000000002</v>
      </c>
      <c r="K1098" s="67" t="s">
        <v>1718</v>
      </c>
      <c r="L1098" s="67" t="s">
        <v>1205</v>
      </c>
      <c r="M1098" s="67" t="s">
        <v>1572</v>
      </c>
    </row>
    <row r="1099" spans="1:13" ht="12" customHeight="1" x14ac:dyDescent="0.2">
      <c r="A1099" s="78">
        <v>233799</v>
      </c>
      <c r="B1099" s="67" t="s">
        <v>1152</v>
      </c>
      <c r="C1099" s="67" t="s">
        <v>1196</v>
      </c>
      <c r="D1099" s="67" t="s">
        <v>1205</v>
      </c>
      <c r="E1099" s="67" t="s">
        <v>1578</v>
      </c>
      <c r="F1099" s="67" t="s">
        <v>1704</v>
      </c>
      <c r="G1099" s="67" t="s">
        <v>8</v>
      </c>
      <c r="H1099" s="68">
        <v>0.66249999999999998</v>
      </c>
      <c r="I1099" s="68"/>
      <c r="J1099" s="68">
        <v>0.66249999999999998</v>
      </c>
      <c r="K1099" s="67" t="s">
        <v>1719</v>
      </c>
      <c r="L1099" s="67" t="s">
        <v>1205</v>
      </c>
      <c r="M1099" s="67" t="s">
        <v>1578</v>
      </c>
    </row>
    <row r="1100" spans="1:13" ht="12" customHeight="1" x14ac:dyDescent="0.2">
      <c r="A1100" s="78">
        <v>233600</v>
      </c>
      <c r="B1100" s="67" t="s">
        <v>1153</v>
      </c>
      <c r="C1100" s="67" t="s">
        <v>1196</v>
      </c>
      <c r="D1100" s="67" t="s">
        <v>1205</v>
      </c>
      <c r="E1100" s="67" t="s">
        <v>1557</v>
      </c>
      <c r="F1100" s="67" t="s">
        <v>1709</v>
      </c>
      <c r="G1100" s="67" t="s">
        <v>8</v>
      </c>
      <c r="H1100" s="68">
        <v>0.61805555555555558</v>
      </c>
      <c r="I1100" s="68"/>
      <c r="J1100" s="68">
        <v>0.61805555555555558</v>
      </c>
      <c r="K1100" s="67" t="s">
        <v>1720</v>
      </c>
      <c r="L1100" s="67" t="s">
        <v>1205</v>
      </c>
      <c r="M1100" s="67" t="s">
        <v>1557</v>
      </c>
    </row>
    <row r="1101" spans="1:13" ht="12" customHeight="1" x14ac:dyDescent="0.2">
      <c r="A1101" s="78">
        <v>235471</v>
      </c>
      <c r="B1101" s="67" t="s">
        <v>1154</v>
      </c>
      <c r="C1101" s="67" t="s">
        <v>1196</v>
      </c>
      <c r="D1101" s="67" t="s">
        <v>1205</v>
      </c>
      <c r="E1101" s="67" t="s">
        <v>1563</v>
      </c>
      <c r="F1101" s="67" t="s">
        <v>1698</v>
      </c>
      <c r="G1101" s="67" t="s">
        <v>8</v>
      </c>
      <c r="H1101" s="68">
        <v>0.57361111111111118</v>
      </c>
      <c r="I1101" s="68"/>
      <c r="J1101" s="68">
        <v>0.57361111111111118</v>
      </c>
      <c r="K1101" s="67" t="s">
        <v>1721</v>
      </c>
      <c r="L1101" s="67" t="s">
        <v>1205</v>
      </c>
      <c r="M1101" s="67" t="s">
        <v>1563</v>
      </c>
    </row>
    <row r="1102" spans="1:13" ht="12" customHeight="1" x14ac:dyDescent="0.2">
      <c r="A1102" s="78">
        <v>225154</v>
      </c>
      <c r="B1102" s="67" t="s">
        <v>1155</v>
      </c>
      <c r="C1102" s="67" t="s">
        <v>1196</v>
      </c>
      <c r="D1102" s="67" t="s">
        <v>1205</v>
      </c>
      <c r="E1102" s="67" t="s">
        <v>1566</v>
      </c>
      <c r="F1102" s="67" t="s">
        <v>1713</v>
      </c>
      <c r="G1102" s="67" t="s">
        <v>8</v>
      </c>
      <c r="H1102" s="68">
        <v>0.55138888888888882</v>
      </c>
      <c r="I1102" s="68"/>
      <c r="J1102" s="68">
        <v>0.55138888888888882</v>
      </c>
      <c r="K1102" s="67" t="s">
        <v>1718</v>
      </c>
      <c r="L1102" s="67" t="s">
        <v>1205</v>
      </c>
      <c r="M1102" s="67" t="s">
        <v>1566</v>
      </c>
    </row>
    <row r="1103" spans="1:13" ht="12" customHeight="1" x14ac:dyDescent="0.2">
      <c r="A1103" s="78">
        <v>218087</v>
      </c>
      <c r="B1103" s="67" t="s">
        <v>1156</v>
      </c>
      <c r="C1103" s="67" t="s">
        <v>1196</v>
      </c>
      <c r="D1103" s="67" t="s">
        <v>1205</v>
      </c>
      <c r="E1103" s="67" t="s">
        <v>1579</v>
      </c>
      <c r="F1103" s="67" t="s">
        <v>1704</v>
      </c>
      <c r="G1103" s="67" t="s">
        <v>8</v>
      </c>
      <c r="H1103" s="68">
        <v>0.51666666666666672</v>
      </c>
      <c r="I1103" s="68"/>
      <c r="J1103" s="68">
        <v>0.51666666666666672</v>
      </c>
      <c r="K1103" s="67" t="s">
        <v>1724</v>
      </c>
      <c r="L1103" s="67" t="s">
        <v>1205</v>
      </c>
      <c r="M1103" s="67" t="s">
        <v>1579</v>
      </c>
    </row>
    <row r="1104" spans="1:13" ht="12" customHeight="1" x14ac:dyDescent="0.2">
      <c r="A1104" s="78">
        <v>229850</v>
      </c>
      <c r="B1104" s="67" t="s">
        <v>1157</v>
      </c>
      <c r="C1104" s="67" t="s">
        <v>1196</v>
      </c>
      <c r="D1104" s="67" t="s">
        <v>1205</v>
      </c>
      <c r="E1104" s="67" t="s">
        <v>1580</v>
      </c>
      <c r="F1104" s="67" t="s">
        <v>1704</v>
      </c>
      <c r="G1104" s="67" t="s">
        <v>8</v>
      </c>
      <c r="H1104" s="68">
        <v>0.5083333333333333</v>
      </c>
      <c r="I1104" s="68"/>
      <c r="J1104" s="68">
        <v>0.5083333333333333</v>
      </c>
      <c r="K1104" s="67" t="s">
        <v>1719</v>
      </c>
      <c r="L1104" s="67" t="s">
        <v>1205</v>
      </c>
      <c r="M1104" s="67" t="s">
        <v>1580</v>
      </c>
    </row>
    <row r="1105" spans="1:13" ht="12" customHeight="1" x14ac:dyDescent="0.2">
      <c r="A1105" s="78">
        <v>224461</v>
      </c>
      <c r="B1105" s="67" t="s">
        <v>1158</v>
      </c>
      <c r="C1105" s="67" t="s">
        <v>1196</v>
      </c>
      <c r="D1105" s="67" t="s">
        <v>1205</v>
      </c>
      <c r="E1105" s="67" t="s">
        <v>1581</v>
      </c>
      <c r="F1105" s="67" t="s">
        <v>1704</v>
      </c>
      <c r="G1105" s="67" t="s">
        <v>8</v>
      </c>
      <c r="H1105" s="68">
        <v>0.50138888888888888</v>
      </c>
      <c r="I1105" s="68"/>
      <c r="J1105" s="68">
        <v>0.50138888888888888</v>
      </c>
      <c r="K1105" s="67" t="s">
        <v>1726</v>
      </c>
      <c r="L1105" s="67" t="s">
        <v>1205</v>
      </c>
      <c r="M1105" s="67" t="s">
        <v>1581</v>
      </c>
    </row>
    <row r="1106" spans="1:13" ht="12" customHeight="1" x14ac:dyDescent="0.2">
      <c r="A1106" s="78">
        <v>233199</v>
      </c>
      <c r="B1106" s="67" t="s">
        <v>1159</v>
      </c>
      <c r="C1106" s="67" t="s">
        <v>1196</v>
      </c>
      <c r="D1106" s="67" t="s">
        <v>1205</v>
      </c>
      <c r="E1106" s="67" t="s">
        <v>1551</v>
      </c>
      <c r="F1106" s="67" t="s">
        <v>1698</v>
      </c>
      <c r="G1106" s="67" t="s">
        <v>8</v>
      </c>
      <c r="H1106" s="68">
        <v>0.48749999999999999</v>
      </c>
      <c r="I1106" s="68"/>
      <c r="J1106" s="68">
        <v>0.48749999999999999</v>
      </c>
      <c r="K1106" s="67" t="s">
        <v>1718</v>
      </c>
      <c r="L1106" s="67" t="s">
        <v>1205</v>
      </c>
      <c r="M1106" s="67" t="s">
        <v>1551</v>
      </c>
    </row>
    <row r="1107" spans="1:13" ht="12" customHeight="1" x14ac:dyDescent="0.2">
      <c r="A1107" s="78">
        <v>235651</v>
      </c>
      <c r="B1107" s="67" t="s">
        <v>1160</v>
      </c>
      <c r="C1107" s="67" t="s">
        <v>1196</v>
      </c>
      <c r="D1107" s="67" t="s">
        <v>1205</v>
      </c>
      <c r="E1107" s="67" t="s">
        <v>1566</v>
      </c>
      <c r="F1107" s="67" t="s">
        <v>1713</v>
      </c>
      <c r="G1107" s="67" t="s">
        <v>8</v>
      </c>
      <c r="H1107" s="68">
        <v>0.45416666666666666</v>
      </c>
      <c r="I1107" s="68"/>
      <c r="J1107" s="68">
        <v>0.45416666666666666</v>
      </c>
      <c r="K1107" s="67" t="s">
        <v>1718</v>
      </c>
      <c r="L1107" s="67" t="s">
        <v>1205</v>
      </c>
      <c r="M1107" s="67" t="s">
        <v>1566</v>
      </c>
    </row>
    <row r="1108" spans="1:13" ht="12" customHeight="1" x14ac:dyDescent="0.2">
      <c r="A1108" s="78">
        <v>236003</v>
      </c>
      <c r="B1108" s="67" t="s">
        <v>1161</v>
      </c>
      <c r="C1108" s="67" t="s">
        <v>1196</v>
      </c>
      <c r="D1108" s="67" t="s">
        <v>1205</v>
      </c>
      <c r="E1108" s="67" t="s">
        <v>1582</v>
      </c>
      <c r="F1108" s="67" t="s">
        <v>1704</v>
      </c>
      <c r="G1108" s="67" t="s">
        <v>8</v>
      </c>
      <c r="H1108" s="68">
        <v>0.45277777777777778</v>
      </c>
      <c r="I1108" s="68"/>
      <c r="J1108" s="68">
        <v>0.45277777777777778</v>
      </c>
      <c r="K1108" s="67" t="s">
        <v>1719</v>
      </c>
      <c r="L1108" s="67" t="s">
        <v>1205</v>
      </c>
      <c r="M1108" s="67" t="s">
        <v>1582</v>
      </c>
    </row>
    <row r="1109" spans="1:13" ht="12" customHeight="1" x14ac:dyDescent="0.2">
      <c r="A1109" s="78">
        <v>235491</v>
      </c>
      <c r="B1109" s="67" t="s">
        <v>1162</v>
      </c>
      <c r="C1109" s="67" t="s">
        <v>1196</v>
      </c>
      <c r="D1109" s="67" t="s">
        <v>1205</v>
      </c>
      <c r="E1109" s="67" t="s">
        <v>1551</v>
      </c>
      <c r="F1109" s="67" t="s">
        <v>1698</v>
      </c>
      <c r="G1109" s="67" t="s">
        <v>8</v>
      </c>
      <c r="H1109" s="68">
        <v>0.43402777777777773</v>
      </c>
      <c r="I1109" s="68"/>
      <c r="J1109" s="68">
        <v>0.43402777777777773</v>
      </c>
      <c r="K1109" s="67" t="s">
        <v>1718</v>
      </c>
      <c r="L1109" s="67" t="s">
        <v>1205</v>
      </c>
      <c r="M1109" s="67" t="s">
        <v>1551</v>
      </c>
    </row>
    <row r="1110" spans="1:13" ht="12" customHeight="1" x14ac:dyDescent="0.2">
      <c r="A1110" s="78">
        <v>234591</v>
      </c>
      <c r="B1110" s="67" t="s">
        <v>1163</v>
      </c>
      <c r="C1110" s="67" t="s">
        <v>1196</v>
      </c>
      <c r="D1110" s="67" t="s">
        <v>1205</v>
      </c>
      <c r="E1110" s="67" t="s">
        <v>1572</v>
      </c>
      <c r="F1110" s="67" t="s">
        <v>1705</v>
      </c>
      <c r="G1110" s="67" t="s">
        <v>8</v>
      </c>
      <c r="H1110" s="68">
        <v>0.40625</v>
      </c>
      <c r="I1110" s="68"/>
      <c r="J1110" s="68">
        <v>0.40625</v>
      </c>
      <c r="K1110" s="67" t="s">
        <v>1718</v>
      </c>
      <c r="L1110" s="67" t="s">
        <v>1205</v>
      </c>
      <c r="M1110" s="67" t="s">
        <v>1572</v>
      </c>
    </row>
    <row r="1111" spans="1:13" ht="12" customHeight="1" x14ac:dyDescent="0.2">
      <c r="A1111" s="78">
        <v>230636</v>
      </c>
      <c r="B1111" s="67" t="s">
        <v>1164</v>
      </c>
      <c r="C1111" s="67" t="s">
        <v>1196</v>
      </c>
      <c r="D1111" s="67" t="s">
        <v>1205</v>
      </c>
      <c r="E1111" s="67" t="s">
        <v>1572</v>
      </c>
      <c r="F1111" s="67" t="s">
        <v>1705</v>
      </c>
      <c r="G1111" s="67" t="s">
        <v>8</v>
      </c>
      <c r="H1111" s="68">
        <v>0.40069444444444446</v>
      </c>
      <c r="I1111" s="68"/>
      <c r="J1111" s="68">
        <v>0.40069444444444446</v>
      </c>
      <c r="K1111" s="67" t="s">
        <v>1718</v>
      </c>
      <c r="L1111" s="67" t="s">
        <v>1205</v>
      </c>
      <c r="M1111" s="67" t="s">
        <v>1572</v>
      </c>
    </row>
    <row r="1112" spans="1:13" ht="12" customHeight="1" x14ac:dyDescent="0.2">
      <c r="A1112" s="78">
        <v>234270</v>
      </c>
      <c r="B1112" s="67" t="s">
        <v>1165</v>
      </c>
      <c r="C1112" s="67" t="s">
        <v>1196</v>
      </c>
      <c r="D1112" s="67" t="s">
        <v>1205</v>
      </c>
      <c r="E1112" s="67" t="s">
        <v>1570</v>
      </c>
      <c r="F1112" s="67" t="s">
        <v>1705</v>
      </c>
      <c r="G1112" s="67" t="s">
        <v>8</v>
      </c>
      <c r="H1112" s="68">
        <v>0.3833333333333333</v>
      </c>
      <c r="I1112" s="68"/>
      <c r="J1112" s="68">
        <v>0.3833333333333333</v>
      </c>
      <c r="K1112" s="67" t="s">
        <v>1721</v>
      </c>
      <c r="L1112" s="67" t="s">
        <v>1205</v>
      </c>
      <c r="M1112" s="67" t="s">
        <v>1570</v>
      </c>
    </row>
    <row r="1113" spans="1:13" ht="12" customHeight="1" x14ac:dyDescent="0.2">
      <c r="A1113" s="78">
        <v>236248</v>
      </c>
      <c r="B1113" s="67" t="s">
        <v>1166</v>
      </c>
      <c r="C1113" s="67" t="s">
        <v>1196</v>
      </c>
      <c r="D1113" s="67" t="s">
        <v>1205</v>
      </c>
      <c r="E1113" s="67" t="s">
        <v>1574</v>
      </c>
      <c r="F1113" s="67" t="s">
        <v>1714</v>
      </c>
      <c r="G1113" s="67" t="s">
        <v>8</v>
      </c>
      <c r="H1113" s="68">
        <v>0.37847222222222227</v>
      </c>
      <c r="I1113" s="68"/>
      <c r="J1113" s="68">
        <v>0.37847222222222227</v>
      </c>
      <c r="K1113" s="67" t="s">
        <v>1718</v>
      </c>
      <c r="L1113" s="67" t="s">
        <v>1205</v>
      </c>
      <c r="M1113" s="67" t="s">
        <v>1574</v>
      </c>
    </row>
    <row r="1114" spans="1:13" ht="12" customHeight="1" x14ac:dyDescent="0.2">
      <c r="A1114" s="78">
        <v>234328</v>
      </c>
      <c r="B1114" s="67" t="s">
        <v>1167</v>
      </c>
      <c r="C1114" s="67" t="s">
        <v>1196</v>
      </c>
      <c r="D1114" s="67" t="s">
        <v>1205</v>
      </c>
      <c r="E1114" s="67" t="s">
        <v>1549</v>
      </c>
      <c r="F1114" s="67" t="s">
        <v>1709</v>
      </c>
      <c r="G1114" s="67" t="s">
        <v>8</v>
      </c>
      <c r="H1114" s="68">
        <v>0.37361111111111112</v>
      </c>
      <c r="I1114" s="68"/>
      <c r="J1114" s="68">
        <v>0.37361111111111112</v>
      </c>
      <c r="K1114" s="67" t="s">
        <v>1718</v>
      </c>
      <c r="L1114" s="67" t="s">
        <v>1205</v>
      </c>
      <c r="M1114" s="67" t="s">
        <v>1549</v>
      </c>
    </row>
    <row r="1115" spans="1:13" ht="12" customHeight="1" x14ac:dyDescent="0.2">
      <c r="A1115" s="78">
        <v>237191</v>
      </c>
      <c r="B1115" s="67" t="s">
        <v>1168</v>
      </c>
      <c r="C1115" s="67" t="s">
        <v>1196</v>
      </c>
      <c r="D1115" s="67" t="s">
        <v>1205</v>
      </c>
      <c r="E1115" s="67" t="s">
        <v>1569</v>
      </c>
      <c r="F1115" s="67" t="s">
        <v>1705</v>
      </c>
      <c r="G1115" s="67" t="s">
        <v>8</v>
      </c>
      <c r="H1115" s="68">
        <v>0.37083333333333335</v>
      </c>
      <c r="I1115" s="68"/>
      <c r="J1115" s="68">
        <v>0.37083333333333335</v>
      </c>
      <c r="K1115" s="67" t="s">
        <v>1721</v>
      </c>
      <c r="L1115" s="67" t="s">
        <v>1205</v>
      </c>
      <c r="M1115" s="67" t="s">
        <v>1569</v>
      </c>
    </row>
    <row r="1116" spans="1:13" ht="12" customHeight="1" x14ac:dyDescent="0.2">
      <c r="A1116" s="78">
        <v>236207</v>
      </c>
      <c r="B1116" s="67" t="s">
        <v>1169</v>
      </c>
      <c r="C1116" s="67" t="s">
        <v>1196</v>
      </c>
      <c r="D1116" s="67" t="s">
        <v>1205</v>
      </c>
      <c r="E1116" s="67" t="s">
        <v>1565</v>
      </c>
      <c r="F1116" s="67" t="s">
        <v>1717</v>
      </c>
      <c r="G1116" s="67" t="s">
        <v>8</v>
      </c>
      <c r="H1116" s="68">
        <v>0.35138888888888892</v>
      </c>
      <c r="I1116" s="68"/>
      <c r="J1116" s="68">
        <v>0.35138888888888892</v>
      </c>
      <c r="K1116" s="67" t="s">
        <v>1718</v>
      </c>
      <c r="L1116" s="67" t="s">
        <v>1205</v>
      </c>
      <c r="M1116" s="67" t="s">
        <v>1565</v>
      </c>
    </row>
    <row r="1117" spans="1:13" ht="12" customHeight="1" x14ac:dyDescent="0.2">
      <c r="A1117" s="78">
        <v>235474</v>
      </c>
      <c r="B1117" s="67" t="s">
        <v>1170</v>
      </c>
      <c r="C1117" s="67" t="s">
        <v>1196</v>
      </c>
      <c r="D1117" s="67" t="s">
        <v>1205</v>
      </c>
      <c r="E1117" s="67" t="s">
        <v>1554</v>
      </c>
      <c r="F1117" s="67" t="s">
        <v>1711</v>
      </c>
      <c r="G1117" s="67" t="s">
        <v>8</v>
      </c>
      <c r="H1117" s="68">
        <v>0.35069444444444442</v>
      </c>
      <c r="I1117" s="68"/>
      <c r="J1117" s="68">
        <v>0.35069444444444442</v>
      </c>
      <c r="K1117" s="67" t="s">
        <v>1718</v>
      </c>
      <c r="L1117" s="67" t="s">
        <v>1205</v>
      </c>
      <c r="M1117" s="67" t="s">
        <v>1554</v>
      </c>
    </row>
    <row r="1118" spans="1:13" ht="12" customHeight="1" x14ac:dyDescent="0.2">
      <c r="A1118" s="78">
        <v>234860</v>
      </c>
      <c r="B1118" s="67" t="s">
        <v>1171</v>
      </c>
      <c r="C1118" s="67" t="s">
        <v>1196</v>
      </c>
      <c r="D1118" s="67" t="s">
        <v>1205</v>
      </c>
      <c r="E1118" s="67" t="s">
        <v>1554</v>
      </c>
      <c r="F1118" s="67" t="s">
        <v>1711</v>
      </c>
      <c r="G1118" s="67" t="s">
        <v>8</v>
      </c>
      <c r="H1118" s="68">
        <v>0.33333333333333331</v>
      </c>
      <c r="I1118" s="68"/>
      <c r="J1118" s="68">
        <v>0.33333333333333331</v>
      </c>
      <c r="K1118" s="67" t="s">
        <v>1718</v>
      </c>
      <c r="L1118" s="67" t="s">
        <v>1205</v>
      </c>
      <c r="M1118" s="67" t="s">
        <v>1554</v>
      </c>
    </row>
    <row r="1119" spans="1:13" ht="12" customHeight="1" x14ac:dyDescent="0.2">
      <c r="A1119" s="78">
        <v>237381</v>
      </c>
      <c r="B1119" s="67" t="s">
        <v>1172</v>
      </c>
      <c r="C1119" s="67" t="s">
        <v>1196</v>
      </c>
      <c r="D1119" s="67" t="s">
        <v>1205</v>
      </c>
      <c r="E1119" s="67" t="s">
        <v>1583</v>
      </c>
      <c r="F1119" s="67" t="s">
        <v>1704</v>
      </c>
      <c r="G1119" s="67" t="s">
        <v>8</v>
      </c>
      <c r="H1119" s="68">
        <v>0.3263888888888889</v>
      </c>
      <c r="I1119" s="68"/>
      <c r="J1119" s="68">
        <v>0.3263888888888889</v>
      </c>
      <c r="K1119" s="67" t="s">
        <v>1719</v>
      </c>
      <c r="L1119" s="67" t="s">
        <v>1205</v>
      </c>
      <c r="M1119" s="67" t="s">
        <v>1583</v>
      </c>
    </row>
    <row r="1120" spans="1:13" ht="12" customHeight="1" x14ac:dyDescent="0.2">
      <c r="A1120" s="78">
        <v>225791</v>
      </c>
      <c r="B1120" s="67" t="s">
        <v>1173</v>
      </c>
      <c r="C1120" s="67" t="s">
        <v>1196</v>
      </c>
      <c r="D1120" s="67" t="s">
        <v>1205</v>
      </c>
      <c r="E1120" s="67" t="s">
        <v>1584</v>
      </c>
      <c r="F1120" s="67" t="s">
        <v>1712</v>
      </c>
      <c r="G1120" s="67" t="s">
        <v>8</v>
      </c>
      <c r="H1120" s="68">
        <v>0.3034722222222222</v>
      </c>
      <c r="I1120" s="68"/>
      <c r="J1120" s="68">
        <v>0.3034722222222222</v>
      </c>
      <c r="K1120" s="67" t="s">
        <v>1720</v>
      </c>
      <c r="L1120" s="67" t="s">
        <v>1205</v>
      </c>
      <c r="M1120" s="67" t="s">
        <v>1584</v>
      </c>
    </row>
    <row r="1121" spans="1:13" ht="12" customHeight="1" x14ac:dyDescent="0.2">
      <c r="A1121" s="78">
        <v>231888</v>
      </c>
      <c r="B1121" s="67" t="s">
        <v>1174</v>
      </c>
      <c r="C1121" s="67" t="s">
        <v>1196</v>
      </c>
      <c r="D1121" s="67" t="s">
        <v>1205</v>
      </c>
      <c r="E1121" s="67" t="s">
        <v>1549</v>
      </c>
      <c r="F1121" s="67" t="s">
        <v>1709</v>
      </c>
      <c r="G1121" s="67" t="s">
        <v>8</v>
      </c>
      <c r="H1121" s="68">
        <v>0.28402777777777777</v>
      </c>
      <c r="I1121" s="68"/>
      <c r="J1121" s="68">
        <v>0.28402777777777777</v>
      </c>
      <c r="K1121" s="67" t="s">
        <v>1718</v>
      </c>
      <c r="L1121" s="67" t="s">
        <v>1205</v>
      </c>
      <c r="M1121" s="67" t="s">
        <v>1549</v>
      </c>
    </row>
    <row r="1122" spans="1:13" ht="12" customHeight="1" x14ac:dyDescent="0.2">
      <c r="A1122" s="78">
        <v>231545</v>
      </c>
      <c r="B1122" s="67" t="s">
        <v>1175</v>
      </c>
      <c r="C1122" s="67" t="s">
        <v>1196</v>
      </c>
      <c r="D1122" s="67" t="s">
        <v>1205</v>
      </c>
      <c r="E1122" s="67" t="s">
        <v>1564</v>
      </c>
      <c r="F1122" s="67" t="s">
        <v>1705</v>
      </c>
      <c r="G1122" s="67" t="s">
        <v>8</v>
      </c>
      <c r="H1122" s="68">
        <v>0.23194444444444443</v>
      </c>
      <c r="I1122" s="68"/>
      <c r="J1122" s="68">
        <v>0.23194444444444443</v>
      </c>
      <c r="K1122" s="67" t="s">
        <v>1720</v>
      </c>
      <c r="L1122" s="67" t="s">
        <v>1205</v>
      </c>
      <c r="M1122" s="67" t="s">
        <v>1564</v>
      </c>
    </row>
    <row r="1123" spans="1:13" ht="12" customHeight="1" x14ac:dyDescent="0.2">
      <c r="A1123" s="78">
        <v>237163</v>
      </c>
      <c r="B1123" s="67" t="s">
        <v>1176</v>
      </c>
      <c r="C1123" s="67" t="s">
        <v>1196</v>
      </c>
      <c r="D1123" s="67" t="s">
        <v>1205</v>
      </c>
      <c r="E1123" s="67" t="s">
        <v>1561</v>
      </c>
      <c r="F1123" s="67" t="s">
        <v>1716</v>
      </c>
      <c r="G1123" s="67" t="s">
        <v>8</v>
      </c>
      <c r="H1123" s="68">
        <v>0.21944444444444444</v>
      </c>
      <c r="I1123" s="68"/>
      <c r="J1123" s="68">
        <v>0.21944444444444444</v>
      </c>
      <c r="K1123" s="67" t="s">
        <v>1720</v>
      </c>
      <c r="L1123" s="67" t="s">
        <v>1205</v>
      </c>
      <c r="M1123" s="67" t="s">
        <v>1561</v>
      </c>
    </row>
    <row r="1124" spans="1:13" ht="12" customHeight="1" x14ac:dyDescent="0.2">
      <c r="A1124" s="78">
        <v>223364</v>
      </c>
      <c r="B1124" s="67" t="s">
        <v>1177</v>
      </c>
      <c r="C1124" s="67" t="s">
        <v>1196</v>
      </c>
      <c r="D1124" s="67" t="s">
        <v>1205</v>
      </c>
      <c r="E1124" s="67" t="s">
        <v>1562</v>
      </c>
      <c r="F1124" s="67" t="s">
        <v>1717</v>
      </c>
      <c r="G1124" s="67" t="s">
        <v>8</v>
      </c>
      <c r="H1124" s="68">
        <v>0.21180555555555555</v>
      </c>
      <c r="I1124" s="68"/>
      <c r="J1124" s="68">
        <v>0.21180555555555555</v>
      </c>
      <c r="K1124" s="67" t="s">
        <v>1720</v>
      </c>
      <c r="L1124" s="67" t="s">
        <v>1205</v>
      </c>
      <c r="M1124" s="67" t="s">
        <v>1562</v>
      </c>
    </row>
    <row r="1125" spans="1:13" ht="12" customHeight="1" x14ac:dyDescent="0.2">
      <c r="A1125" s="78">
        <v>231797</v>
      </c>
      <c r="B1125" s="67" t="s">
        <v>1178</v>
      </c>
      <c r="C1125" s="67" t="s">
        <v>1196</v>
      </c>
      <c r="D1125" s="67" t="s">
        <v>1205</v>
      </c>
      <c r="E1125" s="67" t="s">
        <v>1560</v>
      </c>
      <c r="F1125" s="67" t="s">
        <v>1705</v>
      </c>
      <c r="G1125" s="67" t="s">
        <v>8</v>
      </c>
      <c r="H1125" s="68">
        <v>0.21041666666666667</v>
      </c>
      <c r="I1125" s="68"/>
      <c r="J1125" s="68">
        <v>0.21041666666666667</v>
      </c>
      <c r="K1125" s="67" t="s">
        <v>1718</v>
      </c>
      <c r="L1125" s="67" t="s">
        <v>1205</v>
      </c>
      <c r="M1125" s="67" t="s">
        <v>1560</v>
      </c>
    </row>
    <row r="1126" spans="1:13" ht="12" customHeight="1" x14ac:dyDescent="0.2">
      <c r="A1126" s="78">
        <v>236316</v>
      </c>
      <c r="B1126" s="67" t="s">
        <v>1179</v>
      </c>
      <c r="C1126" s="67" t="s">
        <v>1196</v>
      </c>
      <c r="D1126" s="67" t="s">
        <v>1205</v>
      </c>
      <c r="E1126" s="67" t="s">
        <v>1572</v>
      </c>
      <c r="F1126" s="67" t="s">
        <v>1705</v>
      </c>
      <c r="G1126" s="67" t="s">
        <v>8</v>
      </c>
      <c r="H1126" s="68">
        <v>0.20833333333333334</v>
      </c>
      <c r="I1126" s="68"/>
      <c r="J1126" s="68">
        <v>0.20833333333333334</v>
      </c>
      <c r="K1126" s="67" t="s">
        <v>1718</v>
      </c>
      <c r="L1126" s="67" t="s">
        <v>1205</v>
      </c>
      <c r="M1126" s="67" t="s">
        <v>1572</v>
      </c>
    </row>
    <row r="1127" spans="1:13" ht="12" customHeight="1" x14ac:dyDescent="0.2">
      <c r="A1127" s="78">
        <v>233306</v>
      </c>
      <c r="B1127" s="67" t="s">
        <v>1180</v>
      </c>
      <c r="C1127" s="67" t="s">
        <v>1196</v>
      </c>
      <c r="D1127" s="67" t="s">
        <v>1205</v>
      </c>
      <c r="E1127" s="67" t="s">
        <v>1554</v>
      </c>
      <c r="F1127" s="67" t="s">
        <v>1711</v>
      </c>
      <c r="G1127" s="67" t="s">
        <v>8</v>
      </c>
      <c r="H1127" s="68">
        <v>0.20625000000000002</v>
      </c>
      <c r="I1127" s="68"/>
      <c r="J1127" s="68">
        <v>0.20625000000000002</v>
      </c>
      <c r="K1127" s="67" t="s">
        <v>1718</v>
      </c>
      <c r="L1127" s="67" t="s">
        <v>1205</v>
      </c>
      <c r="M1127" s="67" t="s">
        <v>1554</v>
      </c>
    </row>
    <row r="1128" spans="1:13" ht="12" customHeight="1" x14ac:dyDescent="0.2">
      <c r="A1128" s="78">
        <v>225852</v>
      </c>
      <c r="B1128" s="67" t="s">
        <v>1181</v>
      </c>
      <c r="C1128" s="67" t="s">
        <v>1196</v>
      </c>
      <c r="D1128" s="67" t="s">
        <v>1205</v>
      </c>
      <c r="E1128" s="67" t="s">
        <v>1575</v>
      </c>
      <c r="F1128" s="67" t="s">
        <v>1710</v>
      </c>
      <c r="G1128" s="67" t="s">
        <v>8</v>
      </c>
      <c r="H1128" s="68">
        <v>0.15902777777777777</v>
      </c>
      <c r="I1128" s="68"/>
      <c r="J1128" s="68">
        <v>0.15902777777777777</v>
      </c>
      <c r="K1128" s="67" t="s">
        <v>1718</v>
      </c>
      <c r="L1128" s="67" t="s">
        <v>1205</v>
      </c>
      <c r="M1128" s="67" t="s">
        <v>1575</v>
      </c>
    </row>
    <row r="1129" spans="1:13" ht="12" customHeight="1" x14ac:dyDescent="0.2">
      <c r="A1129" s="78">
        <v>231591</v>
      </c>
      <c r="B1129" s="67" t="s">
        <v>1182</v>
      </c>
      <c r="C1129" s="67" t="s">
        <v>1196</v>
      </c>
      <c r="D1129" s="67" t="s">
        <v>1205</v>
      </c>
      <c r="E1129" s="67" t="s">
        <v>1554</v>
      </c>
      <c r="F1129" s="67" t="s">
        <v>1711</v>
      </c>
      <c r="G1129" s="67" t="s">
        <v>8</v>
      </c>
      <c r="H1129" s="68">
        <v>0.1388888888888889</v>
      </c>
      <c r="I1129" s="68"/>
      <c r="J1129" s="68">
        <v>0.1388888888888889</v>
      </c>
      <c r="K1129" s="67" t="s">
        <v>1718</v>
      </c>
      <c r="L1129" s="67" t="s">
        <v>1205</v>
      </c>
      <c r="M1129" s="67" t="s">
        <v>1554</v>
      </c>
    </row>
    <row r="1130" spans="1:13" ht="12" customHeight="1" x14ac:dyDescent="0.2">
      <c r="A1130" s="78">
        <v>221647</v>
      </c>
      <c r="B1130" s="67" t="s">
        <v>1183</v>
      </c>
      <c r="C1130" s="67" t="s">
        <v>1196</v>
      </c>
      <c r="D1130" s="67" t="s">
        <v>1205</v>
      </c>
      <c r="E1130" s="67" t="s">
        <v>1584</v>
      </c>
      <c r="F1130" s="67" t="s">
        <v>1712</v>
      </c>
      <c r="G1130" s="67" t="s">
        <v>8</v>
      </c>
      <c r="H1130" s="68">
        <v>0.13749999999999998</v>
      </c>
      <c r="I1130" s="68"/>
      <c r="J1130" s="68">
        <v>0.13749999999999998</v>
      </c>
      <c r="K1130" s="67" t="s">
        <v>1721</v>
      </c>
      <c r="L1130" s="67" t="s">
        <v>1205</v>
      </c>
      <c r="M1130" s="67" t="s">
        <v>1584</v>
      </c>
    </row>
    <row r="1131" spans="1:13" ht="12" customHeight="1" x14ac:dyDescent="0.2">
      <c r="A1131" s="78">
        <v>233436</v>
      </c>
      <c r="B1131" s="67" t="s">
        <v>1184</v>
      </c>
      <c r="C1131" s="67" t="s">
        <v>1196</v>
      </c>
      <c r="D1131" s="67" t="s">
        <v>1205</v>
      </c>
      <c r="E1131" s="67" t="s">
        <v>1565</v>
      </c>
      <c r="F1131" s="67" t="s">
        <v>1717</v>
      </c>
      <c r="G1131" s="67" t="s">
        <v>8</v>
      </c>
      <c r="H1131" s="68">
        <v>0.1277777777777778</v>
      </c>
      <c r="I1131" s="68"/>
      <c r="J1131" s="68">
        <v>0.1277777777777778</v>
      </c>
      <c r="K1131" s="67" t="s">
        <v>1718</v>
      </c>
      <c r="L1131" s="67" t="s">
        <v>1205</v>
      </c>
      <c r="M1131" s="67" t="s">
        <v>1565</v>
      </c>
    </row>
    <row r="1132" spans="1:13" ht="12" customHeight="1" x14ac:dyDescent="0.2">
      <c r="A1132" s="78">
        <v>200805</v>
      </c>
      <c r="B1132" s="67" t="s">
        <v>1185</v>
      </c>
      <c r="C1132" s="67" t="s">
        <v>1196</v>
      </c>
      <c r="D1132" s="67" t="s">
        <v>1205</v>
      </c>
      <c r="E1132" s="67" t="s">
        <v>1584</v>
      </c>
      <c r="F1132" s="67" t="s">
        <v>1712</v>
      </c>
      <c r="G1132" s="67" t="s">
        <v>8</v>
      </c>
      <c r="H1132" s="68">
        <v>0.12569444444444444</v>
      </c>
      <c r="I1132" s="68"/>
      <c r="J1132" s="68">
        <v>0.12569444444444444</v>
      </c>
      <c r="K1132" s="67" t="s">
        <v>1720</v>
      </c>
      <c r="L1132" s="67" t="s">
        <v>1205</v>
      </c>
      <c r="M1132" s="67" t="s">
        <v>1584</v>
      </c>
    </row>
    <row r="1133" spans="1:13" ht="12" customHeight="1" x14ac:dyDescent="0.2">
      <c r="A1133" s="78">
        <v>234208</v>
      </c>
      <c r="B1133" s="67" t="s">
        <v>1186</v>
      </c>
      <c r="C1133" s="67" t="s">
        <v>1196</v>
      </c>
      <c r="D1133" s="67" t="s">
        <v>1205</v>
      </c>
      <c r="E1133" s="67" t="s">
        <v>1566</v>
      </c>
      <c r="F1133" s="67" t="s">
        <v>1713</v>
      </c>
      <c r="G1133" s="67" t="s">
        <v>8</v>
      </c>
      <c r="H1133" s="68">
        <v>0.10625</v>
      </c>
      <c r="I1133" s="68"/>
      <c r="J1133" s="68">
        <v>0.10625</v>
      </c>
      <c r="K1133" s="67" t="s">
        <v>1718</v>
      </c>
      <c r="L1133" s="67" t="s">
        <v>1205</v>
      </c>
      <c r="M1133" s="67" t="s">
        <v>1566</v>
      </c>
    </row>
    <row r="1134" spans="1:13" ht="12" customHeight="1" x14ac:dyDescent="0.2">
      <c r="A1134" s="78">
        <v>233956</v>
      </c>
      <c r="B1134" s="67" t="s">
        <v>1187</v>
      </c>
      <c r="C1134" s="67" t="s">
        <v>1196</v>
      </c>
      <c r="D1134" s="67" t="s">
        <v>1205</v>
      </c>
      <c r="E1134" s="67" t="s">
        <v>1567</v>
      </c>
      <c r="F1134" s="67" t="s">
        <v>1715</v>
      </c>
      <c r="G1134" s="67" t="s">
        <v>8</v>
      </c>
      <c r="H1134" s="68">
        <v>0.10347222222222223</v>
      </c>
      <c r="I1134" s="68"/>
      <c r="J1134" s="68">
        <v>0.10347222222222223</v>
      </c>
      <c r="K1134" s="67" t="s">
        <v>1718</v>
      </c>
      <c r="L1134" s="67" t="s">
        <v>1205</v>
      </c>
      <c r="M1134" s="67" t="s">
        <v>1567</v>
      </c>
    </row>
    <row r="1135" spans="1:13" ht="12" customHeight="1" x14ac:dyDescent="0.2">
      <c r="A1135" s="78">
        <v>238241</v>
      </c>
      <c r="B1135" s="67" t="s">
        <v>1188</v>
      </c>
      <c r="C1135" s="67" t="s">
        <v>1196</v>
      </c>
      <c r="D1135" s="67" t="s">
        <v>1205</v>
      </c>
      <c r="E1135" s="67" t="s">
        <v>1548</v>
      </c>
      <c r="F1135" s="67" t="s">
        <v>1705</v>
      </c>
      <c r="G1135" s="67" t="s">
        <v>8</v>
      </c>
      <c r="H1135" s="68">
        <v>0.10069444444444443</v>
      </c>
      <c r="I1135" s="68"/>
      <c r="J1135" s="68">
        <v>0.10069444444444443</v>
      </c>
      <c r="K1135" s="67" t="s">
        <v>1718</v>
      </c>
      <c r="L1135" s="67" t="s">
        <v>1205</v>
      </c>
      <c r="M1135" s="67" t="s">
        <v>1548</v>
      </c>
    </row>
    <row r="1136" spans="1:13" ht="12" customHeight="1" x14ac:dyDescent="0.2">
      <c r="A1136" s="78">
        <v>233576</v>
      </c>
      <c r="B1136" s="67" t="s">
        <v>1189</v>
      </c>
      <c r="C1136" s="67" t="s">
        <v>1196</v>
      </c>
      <c r="D1136" s="67" t="s">
        <v>1205</v>
      </c>
      <c r="E1136" s="67" t="s">
        <v>1556</v>
      </c>
      <c r="F1136" s="67" t="s">
        <v>1713</v>
      </c>
      <c r="G1136" s="67" t="s">
        <v>8</v>
      </c>
      <c r="H1136" s="68">
        <v>8.1250000000000003E-2</v>
      </c>
      <c r="I1136" s="68"/>
      <c r="J1136" s="68">
        <v>8.1250000000000003E-2</v>
      </c>
      <c r="K1136" s="67" t="s">
        <v>1720</v>
      </c>
      <c r="L1136" s="67" t="s">
        <v>1205</v>
      </c>
      <c r="M1136" s="67" t="s">
        <v>1556</v>
      </c>
    </row>
    <row r="1137" spans="1:13" ht="12" customHeight="1" x14ac:dyDescent="0.2">
      <c r="A1137" s="78">
        <v>224226</v>
      </c>
      <c r="B1137" s="67" t="s">
        <v>1190</v>
      </c>
      <c r="C1137" s="67" t="s">
        <v>1196</v>
      </c>
      <c r="D1137" s="67" t="s">
        <v>1205</v>
      </c>
      <c r="E1137" s="67" t="s">
        <v>1757</v>
      </c>
      <c r="F1137" s="67" t="s">
        <v>1704</v>
      </c>
      <c r="G1137" s="67" t="s">
        <v>8</v>
      </c>
      <c r="H1137" s="68">
        <v>7.2222222222222229E-2</v>
      </c>
      <c r="I1137" s="68"/>
      <c r="J1137" s="68">
        <v>7.2222222222222229E-2</v>
      </c>
      <c r="K1137" s="67" t="s">
        <v>1719</v>
      </c>
      <c r="L1137" s="67" t="s">
        <v>1205</v>
      </c>
      <c r="M1137" s="67" t="s">
        <v>1757</v>
      </c>
    </row>
    <row r="1138" spans="1:13" ht="12" customHeight="1" x14ac:dyDescent="0.2">
      <c r="A1138" s="78">
        <v>233698</v>
      </c>
      <c r="B1138" s="67" t="s">
        <v>1191</v>
      </c>
      <c r="C1138" s="67" t="s">
        <v>1196</v>
      </c>
      <c r="D1138" s="67" t="s">
        <v>1205</v>
      </c>
      <c r="E1138" s="67" t="s">
        <v>1549</v>
      </c>
      <c r="F1138" s="67" t="s">
        <v>1709</v>
      </c>
      <c r="G1138" s="67" t="s">
        <v>8</v>
      </c>
      <c r="H1138" s="68">
        <v>5.6250000000000001E-2</v>
      </c>
      <c r="I1138" s="68"/>
      <c r="J1138" s="68">
        <v>5.6250000000000001E-2</v>
      </c>
      <c r="K1138" s="67" t="s">
        <v>1718</v>
      </c>
      <c r="L1138" s="67" t="s">
        <v>1205</v>
      </c>
      <c r="M1138" s="67" t="s">
        <v>1549</v>
      </c>
    </row>
    <row r="1139" spans="1:13" ht="12" customHeight="1" x14ac:dyDescent="0.2">
      <c r="A1139" s="78">
        <v>232718</v>
      </c>
      <c r="B1139" s="67" t="s">
        <v>1192</v>
      </c>
      <c r="C1139" s="67" t="s">
        <v>1196</v>
      </c>
      <c r="D1139" s="67" t="s">
        <v>1205</v>
      </c>
      <c r="E1139" s="67" t="s">
        <v>1549</v>
      </c>
      <c r="F1139" s="67" t="s">
        <v>1709</v>
      </c>
      <c r="G1139" s="67" t="s">
        <v>8</v>
      </c>
      <c r="H1139" s="68">
        <v>2.2916666666666669E-2</v>
      </c>
      <c r="I1139" s="68"/>
      <c r="J1139" s="68">
        <v>2.2916666666666669E-2</v>
      </c>
      <c r="K1139" s="67" t="s">
        <v>1718</v>
      </c>
      <c r="L1139" s="67" t="s">
        <v>1205</v>
      </c>
      <c r="M1139" s="67" t="s">
        <v>1549</v>
      </c>
    </row>
    <row r="1140" spans="1:13" ht="12" customHeight="1" x14ac:dyDescent="0.2">
      <c r="A1140" s="78">
        <v>223688</v>
      </c>
      <c r="B1140" s="67" t="s">
        <v>1193</v>
      </c>
      <c r="C1140" s="67" t="s">
        <v>1196</v>
      </c>
      <c r="D1140" s="67" t="s">
        <v>1205</v>
      </c>
      <c r="E1140" s="67" t="s">
        <v>1554</v>
      </c>
      <c r="F1140" s="67" t="s">
        <v>1711</v>
      </c>
      <c r="G1140" s="67" t="s">
        <v>8</v>
      </c>
      <c r="H1140" s="68">
        <v>2.1527777777777781E-2</v>
      </c>
      <c r="I1140" s="68"/>
      <c r="J1140" s="68">
        <v>2.1527777777777781E-2</v>
      </c>
      <c r="K1140" s="67" t="s">
        <v>1718</v>
      </c>
      <c r="L1140" s="67" t="s">
        <v>1205</v>
      </c>
      <c r="M1140" s="67" t="s">
        <v>1554</v>
      </c>
    </row>
    <row r="1141" spans="1:13" ht="12" customHeight="1" x14ac:dyDescent="0.2">
      <c r="A1141" s="78">
        <v>237031</v>
      </c>
      <c r="B1141" s="67" t="s">
        <v>1194</v>
      </c>
      <c r="C1141" s="67" t="s">
        <v>1196</v>
      </c>
      <c r="D1141" s="67" t="s">
        <v>1205</v>
      </c>
      <c r="E1141" s="67" t="s">
        <v>1564</v>
      </c>
      <c r="F1141" s="67" t="s">
        <v>1705</v>
      </c>
      <c r="G1141" s="67" t="s">
        <v>8</v>
      </c>
      <c r="H1141" s="68">
        <v>1.2499999999999999E-2</v>
      </c>
      <c r="I1141" s="68"/>
      <c r="J1141" s="68">
        <v>1.2499999999999999E-2</v>
      </c>
      <c r="K1141" s="67" t="s">
        <v>1721</v>
      </c>
      <c r="L1141" s="67" t="s">
        <v>1205</v>
      </c>
      <c r="M1141" s="67" t="s">
        <v>1564</v>
      </c>
    </row>
    <row r="1142" spans="1:13" ht="12" customHeight="1" x14ac:dyDescent="0.2">
      <c r="A1142" s="78">
        <v>225494</v>
      </c>
      <c r="B1142" s="67" t="s">
        <v>1195</v>
      </c>
      <c r="C1142" s="67" t="s">
        <v>1196</v>
      </c>
      <c r="D1142" s="67" t="s">
        <v>1205</v>
      </c>
      <c r="E1142" s="67" t="s">
        <v>1567</v>
      </c>
      <c r="F1142" s="67" t="s">
        <v>1715</v>
      </c>
      <c r="G1142" s="67" t="s">
        <v>8</v>
      </c>
      <c r="H1142" s="68">
        <v>4.1666666666666666E-3</v>
      </c>
      <c r="I1142" s="68"/>
      <c r="J1142" s="68">
        <v>4.1666666666666666E-3</v>
      </c>
      <c r="K1142" s="67" t="s">
        <v>1718</v>
      </c>
      <c r="L1142" s="67" t="s">
        <v>1205</v>
      </c>
      <c r="M1142" s="67" t="s">
        <v>1567</v>
      </c>
    </row>
    <row r="1143" spans="1:13" ht="12" customHeight="1" x14ac:dyDescent="0.2">
      <c r="A1143" s="78">
        <v>233302</v>
      </c>
      <c r="B1143" s="67" t="s">
        <v>1729</v>
      </c>
      <c r="C1143" s="67" t="s">
        <v>1196</v>
      </c>
      <c r="D1143" s="67" t="s">
        <v>1205</v>
      </c>
      <c r="E1143" s="67" t="s">
        <v>1552</v>
      </c>
      <c r="F1143" s="67" t="s">
        <v>1711</v>
      </c>
      <c r="G1143" s="67" t="s">
        <v>8</v>
      </c>
      <c r="H1143" s="68">
        <v>2.7777777777777779E-3</v>
      </c>
      <c r="I1143" s="68"/>
      <c r="J1143" s="68">
        <v>2.7777777777777779E-3</v>
      </c>
      <c r="K1143" s="67" t="s">
        <v>1720</v>
      </c>
      <c r="L1143" s="67" t="s">
        <v>1205</v>
      </c>
      <c r="M1143" s="67" t="s">
        <v>1552</v>
      </c>
    </row>
  </sheetData>
  <autoFilter ref="A1:N1143" xr:uid="{CEAE91B6-F3E9-4FCA-B500-C7BE59856609}">
    <sortState xmlns:xlrd2="http://schemas.microsoft.com/office/spreadsheetml/2017/richdata2" ref="A831:N955">
      <sortCondition ref="M1:M1143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253CD-9296-4815-948F-AE07769DE155}">
  <sheetPr codeName="Planilha6">
    <tabColor rgb="FFEE7203"/>
  </sheetPr>
  <dimension ref="A1:M1142"/>
  <sheetViews>
    <sheetView zoomScale="90" zoomScaleNormal="90" workbookViewId="0"/>
  </sheetViews>
  <sheetFormatPr defaultRowHeight="15" x14ac:dyDescent="0.25"/>
  <cols>
    <col min="1" max="1" width="11.7109375" style="42" bestFit="1" customWidth="1"/>
    <col min="2" max="2" width="33.42578125" style="42" bestFit="1" customWidth="1"/>
    <col min="3" max="3" width="12.5703125" customWidth="1"/>
    <col min="4" max="6" width="12.5703125" style="42" customWidth="1"/>
    <col min="7" max="7" width="10.140625" customWidth="1"/>
    <col min="8" max="8" width="10.42578125" bestFit="1" customWidth="1"/>
    <col min="9" max="9" width="9.7109375" customWidth="1"/>
    <col min="10" max="10" width="9.28515625" customWidth="1"/>
    <col min="11" max="11" width="23.85546875" bestFit="1" customWidth="1"/>
    <col min="12" max="12" width="12.85546875" bestFit="1" customWidth="1"/>
    <col min="13" max="13" width="9.42578125" bestFit="1" customWidth="1"/>
  </cols>
  <sheetData>
    <row r="1" spans="1:13" s="1" customFormat="1" ht="26.4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8" t="s">
        <v>6</v>
      </c>
      <c r="H1" s="58" t="s">
        <v>34</v>
      </c>
      <c r="I1" s="9" t="s">
        <v>11</v>
      </c>
      <c r="J1" s="9" t="s">
        <v>12</v>
      </c>
      <c r="K1" s="6" t="s">
        <v>9</v>
      </c>
      <c r="L1" s="6" t="s">
        <v>3</v>
      </c>
      <c r="M1" s="6" t="s">
        <v>10</v>
      </c>
    </row>
    <row r="2" spans="1:13" s="65" customFormat="1" ht="12" customHeight="1" x14ac:dyDescent="0.2">
      <c r="A2" s="78">
        <v>211623</v>
      </c>
      <c r="B2" s="69" t="s">
        <v>55</v>
      </c>
      <c r="C2" s="60" t="s">
        <v>1196</v>
      </c>
      <c r="D2" s="66" t="s">
        <v>1197</v>
      </c>
      <c r="E2" s="66" t="s">
        <v>1206</v>
      </c>
      <c r="F2" s="66" t="s">
        <v>1585</v>
      </c>
      <c r="G2" s="60" t="s">
        <v>7</v>
      </c>
      <c r="H2" s="61">
        <v>8.0500000000000007</v>
      </c>
      <c r="I2" s="61">
        <v>8.0500000000000007</v>
      </c>
      <c r="J2" s="62"/>
      <c r="K2" s="63" t="s">
        <v>1718</v>
      </c>
      <c r="L2" s="64" t="s">
        <v>1197</v>
      </c>
      <c r="M2" s="64" t="s">
        <v>1206</v>
      </c>
    </row>
    <row r="3" spans="1:13" s="65" customFormat="1" ht="12" customHeight="1" x14ac:dyDescent="0.2">
      <c r="A3" s="78">
        <v>212201</v>
      </c>
      <c r="B3" s="69" t="s">
        <v>56</v>
      </c>
      <c r="C3" s="60" t="s">
        <v>1196</v>
      </c>
      <c r="D3" s="66" t="s">
        <v>1198</v>
      </c>
      <c r="E3" s="66" t="s">
        <v>1207</v>
      </c>
      <c r="F3" s="66" t="s">
        <v>1586</v>
      </c>
      <c r="G3" s="60" t="s">
        <v>7</v>
      </c>
      <c r="H3" s="61">
        <v>1.5534722222222221</v>
      </c>
      <c r="I3" s="61">
        <v>1.5534722222222221</v>
      </c>
      <c r="J3" s="62"/>
      <c r="K3" s="63" t="s">
        <v>1719</v>
      </c>
      <c r="L3" s="64" t="s">
        <v>1198</v>
      </c>
      <c r="M3" s="64" t="s">
        <v>1207</v>
      </c>
    </row>
    <row r="4" spans="1:13" s="65" customFormat="1" ht="12" customHeight="1" x14ac:dyDescent="0.2">
      <c r="A4" s="78">
        <v>212202</v>
      </c>
      <c r="B4" s="69" t="s">
        <v>57</v>
      </c>
      <c r="C4" s="60" t="s">
        <v>1196</v>
      </c>
      <c r="D4" s="66" t="s">
        <v>1198</v>
      </c>
      <c r="E4" s="66" t="s">
        <v>1208</v>
      </c>
      <c r="F4" s="66" t="s">
        <v>1586</v>
      </c>
      <c r="G4" s="60" t="s">
        <v>8</v>
      </c>
      <c r="H4" s="61">
        <v>0.79236111111111107</v>
      </c>
      <c r="I4" s="61"/>
      <c r="J4" s="62">
        <v>0.79236111111111107</v>
      </c>
      <c r="K4" s="63" t="s">
        <v>1719</v>
      </c>
      <c r="L4" s="64" t="s">
        <v>1198</v>
      </c>
      <c r="M4" s="64" t="s">
        <v>1208</v>
      </c>
    </row>
    <row r="5" spans="1:13" s="65" customFormat="1" ht="12" customHeight="1" x14ac:dyDescent="0.2">
      <c r="A5" s="78">
        <v>212530</v>
      </c>
      <c r="B5" s="69" t="s">
        <v>58</v>
      </c>
      <c r="C5" s="60" t="s">
        <v>1196</v>
      </c>
      <c r="D5" s="66" t="s">
        <v>1198</v>
      </c>
      <c r="E5" s="66" t="s">
        <v>1209</v>
      </c>
      <c r="F5" s="66" t="s">
        <v>1586</v>
      </c>
      <c r="G5" s="60" t="s">
        <v>7</v>
      </c>
      <c r="H5" s="61">
        <v>0.15347222222222223</v>
      </c>
      <c r="I5" s="61">
        <v>0.15347222222222223</v>
      </c>
      <c r="J5" s="62"/>
      <c r="K5" s="63" t="s">
        <v>1720</v>
      </c>
      <c r="L5" s="64" t="s">
        <v>1198</v>
      </c>
      <c r="M5" s="64" t="s">
        <v>1209</v>
      </c>
    </row>
    <row r="6" spans="1:13" s="65" customFormat="1" ht="12" customHeight="1" x14ac:dyDescent="0.2">
      <c r="A6" s="78">
        <v>212691</v>
      </c>
      <c r="B6" s="69" t="s">
        <v>59</v>
      </c>
      <c r="C6" s="60" t="s">
        <v>1196</v>
      </c>
      <c r="D6" s="66" t="s">
        <v>1198</v>
      </c>
      <c r="E6" s="66" t="s">
        <v>1210</v>
      </c>
      <c r="F6" s="66" t="s">
        <v>1586</v>
      </c>
      <c r="G6" s="60" t="s">
        <v>7</v>
      </c>
      <c r="H6" s="61">
        <v>3.1944444444444449E-2</v>
      </c>
      <c r="I6" s="61">
        <v>3.1944444444444449E-2</v>
      </c>
      <c r="J6" s="62"/>
      <c r="K6" s="63" t="s">
        <v>1719</v>
      </c>
      <c r="L6" s="64" t="s">
        <v>1198</v>
      </c>
      <c r="M6" s="64" t="s">
        <v>1210</v>
      </c>
    </row>
    <row r="7" spans="1:13" s="65" customFormat="1" ht="12" customHeight="1" x14ac:dyDescent="0.2">
      <c r="A7" s="78">
        <v>212713</v>
      </c>
      <c r="B7" s="69" t="s">
        <v>60</v>
      </c>
      <c r="C7" s="60" t="s">
        <v>1196</v>
      </c>
      <c r="D7" s="66" t="s">
        <v>1198</v>
      </c>
      <c r="E7" s="66" t="s">
        <v>1211</v>
      </c>
      <c r="F7" s="66" t="s">
        <v>1586</v>
      </c>
      <c r="G7" s="60" t="s">
        <v>8</v>
      </c>
      <c r="H7" s="61">
        <v>0.13402777777777777</v>
      </c>
      <c r="I7" s="61"/>
      <c r="J7" s="62">
        <v>0.13402777777777777</v>
      </c>
      <c r="K7" s="63" t="s">
        <v>1719</v>
      </c>
      <c r="L7" s="64" t="s">
        <v>1198</v>
      </c>
      <c r="M7" s="64" t="s">
        <v>1211</v>
      </c>
    </row>
    <row r="8" spans="1:13" s="65" customFormat="1" ht="12" customHeight="1" x14ac:dyDescent="0.2">
      <c r="A8" s="78">
        <v>213970</v>
      </c>
      <c r="B8" s="69" t="s">
        <v>61</v>
      </c>
      <c r="C8" s="60" t="s">
        <v>1196</v>
      </c>
      <c r="D8" s="66" t="s">
        <v>1199</v>
      </c>
      <c r="E8" s="66" t="s">
        <v>1212</v>
      </c>
      <c r="F8" s="66" t="s">
        <v>1587</v>
      </c>
      <c r="G8" s="60" t="s">
        <v>8</v>
      </c>
      <c r="H8" s="61">
        <v>1.2479166666666666</v>
      </c>
      <c r="I8" s="61"/>
      <c r="J8" s="62">
        <v>1.2479166666666666</v>
      </c>
      <c r="K8" s="63" t="s">
        <v>1721</v>
      </c>
      <c r="L8" s="64" t="s">
        <v>1199</v>
      </c>
      <c r="M8" s="64" t="s">
        <v>1212</v>
      </c>
    </row>
    <row r="9" spans="1:13" s="65" customFormat="1" ht="12" customHeight="1" x14ac:dyDescent="0.2">
      <c r="A9" s="78">
        <v>214135</v>
      </c>
      <c r="B9" s="69" t="s">
        <v>62</v>
      </c>
      <c r="C9" s="60" t="s">
        <v>1196</v>
      </c>
      <c r="D9" s="66" t="s">
        <v>1200</v>
      </c>
      <c r="E9" s="66" t="s">
        <v>1213</v>
      </c>
      <c r="F9" s="66" t="s">
        <v>1588</v>
      </c>
      <c r="G9" s="60" t="s">
        <v>7</v>
      </c>
      <c r="H9" s="61">
        <v>1.6881944444444446</v>
      </c>
      <c r="I9" s="61">
        <v>1.6881944444444446</v>
      </c>
      <c r="J9" s="62"/>
      <c r="K9" s="63" t="s">
        <v>1718</v>
      </c>
      <c r="L9" s="64" t="s">
        <v>1200</v>
      </c>
      <c r="M9" s="64" t="s">
        <v>1213</v>
      </c>
    </row>
    <row r="10" spans="1:13" s="65" customFormat="1" ht="12" customHeight="1" x14ac:dyDescent="0.2">
      <c r="A10" s="78">
        <v>214218</v>
      </c>
      <c r="B10" s="69" t="s">
        <v>63</v>
      </c>
      <c r="C10" s="60" t="s">
        <v>1196</v>
      </c>
      <c r="D10" s="66" t="s">
        <v>1201</v>
      </c>
      <c r="E10" s="66" t="s">
        <v>1214</v>
      </c>
      <c r="F10" s="66" t="s">
        <v>1589</v>
      </c>
      <c r="G10" s="60" t="s">
        <v>7</v>
      </c>
      <c r="H10" s="61">
        <v>1.0048611111111112</v>
      </c>
      <c r="I10" s="61">
        <v>1.0048611111111112</v>
      </c>
      <c r="J10" s="62"/>
      <c r="K10" s="63" t="s">
        <v>1722</v>
      </c>
      <c r="L10" s="64" t="s">
        <v>1201</v>
      </c>
      <c r="M10" s="64" t="s">
        <v>1214</v>
      </c>
    </row>
    <row r="11" spans="1:13" s="65" customFormat="1" ht="12" customHeight="1" x14ac:dyDescent="0.2">
      <c r="A11" s="78">
        <v>215092</v>
      </c>
      <c r="B11" s="69" t="s">
        <v>64</v>
      </c>
      <c r="C11" s="60" t="s">
        <v>1196</v>
      </c>
      <c r="D11" s="66" t="s">
        <v>1202</v>
      </c>
      <c r="E11" s="66" t="s">
        <v>1215</v>
      </c>
      <c r="F11" s="66" t="s">
        <v>1590</v>
      </c>
      <c r="G11" s="60" t="s">
        <v>8</v>
      </c>
      <c r="H11" s="61">
        <v>0.31180555555555556</v>
      </c>
      <c r="I11" s="61"/>
      <c r="J11" s="62">
        <v>0.31180555555555556</v>
      </c>
      <c r="K11" s="63" t="s">
        <v>1721</v>
      </c>
      <c r="L11" s="64" t="s">
        <v>1202</v>
      </c>
      <c r="M11" s="64" t="s">
        <v>1215</v>
      </c>
    </row>
    <row r="12" spans="1:13" s="65" customFormat="1" ht="12" customHeight="1" x14ac:dyDescent="0.2">
      <c r="A12" s="78">
        <v>215480</v>
      </c>
      <c r="B12" s="69" t="s">
        <v>65</v>
      </c>
      <c r="C12" s="60" t="s">
        <v>1196</v>
      </c>
      <c r="D12" s="66" t="s">
        <v>1201</v>
      </c>
      <c r="E12" s="66" t="s">
        <v>1216</v>
      </c>
      <c r="F12" s="66" t="s">
        <v>1591</v>
      </c>
      <c r="G12" s="60" t="s">
        <v>7</v>
      </c>
      <c r="H12" s="61">
        <v>1.6270833333333332</v>
      </c>
      <c r="I12" s="61">
        <v>1.6270833333333332</v>
      </c>
      <c r="J12" s="62"/>
      <c r="K12" s="63" t="s">
        <v>1721</v>
      </c>
      <c r="L12" s="64" t="s">
        <v>1201</v>
      </c>
      <c r="M12" s="64" t="s">
        <v>1216</v>
      </c>
    </row>
    <row r="13" spans="1:13" s="65" customFormat="1" ht="12" customHeight="1" x14ac:dyDescent="0.2">
      <c r="A13" s="78">
        <v>215728</v>
      </c>
      <c r="B13" s="69" t="s">
        <v>66</v>
      </c>
      <c r="C13" s="60" t="s">
        <v>1196</v>
      </c>
      <c r="D13" s="66" t="s">
        <v>1203</v>
      </c>
      <c r="E13" s="66" t="s">
        <v>1217</v>
      </c>
      <c r="F13" s="66" t="s">
        <v>1592</v>
      </c>
      <c r="G13" s="60" t="s">
        <v>8</v>
      </c>
      <c r="H13" s="61">
        <v>9.4444444444444442E-2</v>
      </c>
      <c r="I13" s="61"/>
      <c r="J13" s="62">
        <v>9.4444444444444442E-2</v>
      </c>
      <c r="K13" s="63" t="s">
        <v>1719</v>
      </c>
      <c r="L13" s="64" t="s">
        <v>1203</v>
      </c>
      <c r="M13" s="64" t="s">
        <v>1217</v>
      </c>
    </row>
    <row r="14" spans="1:13" s="65" customFormat="1" ht="12" customHeight="1" x14ac:dyDescent="0.2">
      <c r="A14" s="78">
        <v>215783</v>
      </c>
      <c r="B14" s="69" t="s">
        <v>67</v>
      </c>
      <c r="C14" s="60" t="s">
        <v>1196</v>
      </c>
      <c r="D14" s="66" t="s">
        <v>1203</v>
      </c>
      <c r="E14" s="66" t="s">
        <v>1218</v>
      </c>
      <c r="F14" s="66" t="s">
        <v>1592</v>
      </c>
      <c r="G14" s="60" t="s">
        <v>8</v>
      </c>
      <c r="H14" s="61">
        <v>0.31597222222222221</v>
      </c>
      <c r="I14" s="61"/>
      <c r="J14" s="62">
        <v>0.31597222222222221</v>
      </c>
      <c r="K14" s="63" t="s">
        <v>1719</v>
      </c>
      <c r="L14" s="64" t="s">
        <v>1203</v>
      </c>
      <c r="M14" s="64" t="s">
        <v>1218</v>
      </c>
    </row>
    <row r="15" spans="1:13" s="65" customFormat="1" ht="12" customHeight="1" x14ac:dyDescent="0.2">
      <c r="A15" s="78">
        <v>215784</v>
      </c>
      <c r="B15" s="69" t="s">
        <v>68</v>
      </c>
      <c r="C15" s="60" t="s">
        <v>1196</v>
      </c>
      <c r="D15" s="66" t="s">
        <v>1198</v>
      </c>
      <c r="E15" s="66" t="s">
        <v>1219</v>
      </c>
      <c r="F15" s="66" t="s">
        <v>1586</v>
      </c>
      <c r="G15" s="60" t="s">
        <v>8</v>
      </c>
      <c r="H15" s="61">
        <v>4.6527777777777779E-2</v>
      </c>
      <c r="I15" s="61"/>
      <c r="J15" s="62">
        <v>4.6527777777777779E-2</v>
      </c>
      <c r="K15" s="63" t="s">
        <v>1719</v>
      </c>
      <c r="L15" s="64" t="s">
        <v>1198</v>
      </c>
      <c r="M15" s="64" t="s">
        <v>1219</v>
      </c>
    </row>
    <row r="16" spans="1:13" s="65" customFormat="1" ht="12" customHeight="1" x14ac:dyDescent="0.2">
      <c r="A16" s="78">
        <v>216190</v>
      </c>
      <c r="B16" s="69" t="s">
        <v>69</v>
      </c>
      <c r="C16" s="60" t="s">
        <v>1196</v>
      </c>
      <c r="D16" s="66" t="s">
        <v>1199</v>
      </c>
      <c r="E16" s="66" t="s">
        <v>1220</v>
      </c>
      <c r="F16" s="66" t="s">
        <v>1587</v>
      </c>
      <c r="G16" s="60" t="s">
        <v>8</v>
      </c>
      <c r="H16" s="61">
        <v>0.96875</v>
      </c>
      <c r="I16" s="61"/>
      <c r="J16" s="62">
        <v>0.96875</v>
      </c>
      <c r="K16" s="63" t="s">
        <v>1721</v>
      </c>
      <c r="L16" s="64" t="s">
        <v>1199</v>
      </c>
      <c r="M16" s="64" t="s">
        <v>1220</v>
      </c>
    </row>
    <row r="17" spans="1:13" s="65" customFormat="1" ht="12" customHeight="1" x14ac:dyDescent="0.2">
      <c r="A17" s="78">
        <v>216277</v>
      </c>
      <c r="B17" s="69" t="s">
        <v>70</v>
      </c>
      <c r="C17" s="60" t="s">
        <v>1196</v>
      </c>
      <c r="D17" s="66" t="s">
        <v>1203</v>
      </c>
      <c r="E17" s="66" t="s">
        <v>1221</v>
      </c>
      <c r="F17" s="66" t="s">
        <v>1592</v>
      </c>
      <c r="G17" s="60" t="s">
        <v>8</v>
      </c>
      <c r="H17" s="61">
        <v>0.19722222222222222</v>
      </c>
      <c r="I17" s="61"/>
      <c r="J17" s="62">
        <v>0.19722222222222222</v>
      </c>
      <c r="K17" s="63" t="s">
        <v>1719</v>
      </c>
      <c r="L17" s="64" t="s">
        <v>1203</v>
      </c>
      <c r="M17" s="64" t="s">
        <v>1221</v>
      </c>
    </row>
    <row r="18" spans="1:13" s="65" customFormat="1" ht="12" customHeight="1" x14ac:dyDescent="0.2">
      <c r="A18" s="78">
        <v>216552</v>
      </c>
      <c r="B18" s="69" t="s">
        <v>71</v>
      </c>
      <c r="C18" s="60" t="s">
        <v>1196</v>
      </c>
      <c r="D18" s="66" t="s">
        <v>1204</v>
      </c>
      <c r="E18" s="66" t="s">
        <v>1222</v>
      </c>
      <c r="F18" s="66" t="s">
        <v>1593</v>
      </c>
      <c r="G18" s="60" t="s">
        <v>8</v>
      </c>
      <c r="H18" s="61">
        <v>1.2361111111111112</v>
      </c>
      <c r="I18" s="61"/>
      <c r="J18" s="62">
        <v>1.2361111111111112</v>
      </c>
      <c r="K18" s="63" t="s">
        <v>1721</v>
      </c>
      <c r="L18" s="64" t="s">
        <v>1204</v>
      </c>
      <c r="M18" s="64" t="s">
        <v>1222</v>
      </c>
    </row>
    <row r="19" spans="1:13" s="65" customFormat="1" ht="12" customHeight="1" x14ac:dyDescent="0.2">
      <c r="A19" s="78">
        <v>216570</v>
      </c>
      <c r="B19" s="69" t="s">
        <v>72</v>
      </c>
      <c r="C19" s="60" t="s">
        <v>1196</v>
      </c>
      <c r="D19" s="66" t="s">
        <v>1205</v>
      </c>
      <c r="E19" s="66" t="s">
        <v>1223</v>
      </c>
      <c r="F19" s="66" t="s">
        <v>1594</v>
      </c>
      <c r="G19" s="60" t="s">
        <v>8</v>
      </c>
      <c r="H19" s="61">
        <v>0.81111111111111101</v>
      </c>
      <c r="I19" s="61"/>
      <c r="J19" s="62">
        <v>0.81111111111111101</v>
      </c>
      <c r="K19" s="63" t="s">
        <v>1721</v>
      </c>
      <c r="L19" s="64" t="s">
        <v>1205</v>
      </c>
      <c r="M19" s="64" t="s">
        <v>1223</v>
      </c>
    </row>
    <row r="20" spans="1:13" s="65" customFormat="1" ht="12" customHeight="1" x14ac:dyDescent="0.2">
      <c r="A20" s="78">
        <v>216584</v>
      </c>
      <c r="B20" s="69" t="s">
        <v>73</v>
      </c>
      <c r="C20" s="60" t="s">
        <v>1196</v>
      </c>
      <c r="D20" s="66" t="s">
        <v>1197</v>
      </c>
      <c r="E20" s="66" t="s">
        <v>1224</v>
      </c>
      <c r="F20" s="66" t="s">
        <v>1595</v>
      </c>
      <c r="G20" s="60" t="s">
        <v>8</v>
      </c>
      <c r="H20" s="61">
        <v>0.16180555555555556</v>
      </c>
      <c r="I20" s="61"/>
      <c r="J20" s="62">
        <v>0.16180555555555556</v>
      </c>
      <c r="K20" s="63" t="s">
        <v>1719</v>
      </c>
      <c r="L20" s="64" t="s">
        <v>1197</v>
      </c>
      <c r="M20" s="64" t="s">
        <v>1224</v>
      </c>
    </row>
    <row r="21" spans="1:13" s="65" customFormat="1" ht="12" customHeight="1" x14ac:dyDescent="0.2">
      <c r="A21" s="78">
        <v>216610</v>
      </c>
      <c r="B21" s="69" t="s">
        <v>74</v>
      </c>
      <c r="C21" s="60" t="s">
        <v>1196</v>
      </c>
      <c r="D21" s="66" t="s">
        <v>1202</v>
      </c>
      <c r="E21" s="66" t="s">
        <v>1225</v>
      </c>
      <c r="F21" s="66" t="s">
        <v>1590</v>
      </c>
      <c r="G21" s="60" t="s">
        <v>7</v>
      </c>
      <c r="H21" s="61">
        <v>0.16666666666666666</v>
      </c>
      <c r="I21" s="61">
        <v>0.16666666666666666</v>
      </c>
      <c r="J21" s="62"/>
      <c r="K21" s="63" t="s">
        <v>1721</v>
      </c>
      <c r="L21" s="64" t="s">
        <v>1202</v>
      </c>
      <c r="M21" s="64" t="s">
        <v>1225</v>
      </c>
    </row>
    <row r="22" spans="1:13" s="65" customFormat="1" ht="12" customHeight="1" x14ac:dyDescent="0.2">
      <c r="A22" s="78">
        <v>216613</v>
      </c>
      <c r="B22" s="69" t="s">
        <v>75</v>
      </c>
      <c r="C22" s="60" t="s">
        <v>1196</v>
      </c>
      <c r="D22" s="66" t="s">
        <v>1202</v>
      </c>
      <c r="E22" s="66" t="s">
        <v>1226</v>
      </c>
      <c r="F22" s="66" t="s">
        <v>1590</v>
      </c>
      <c r="G22" s="60" t="s">
        <v>8</v>
      </c>
      <c r="H22" s="61">
        <v>0.43194444444444446</v>
      </c>
      <c r="I22" s="61"/>
      <c r="J22" s="62">
        <v>0.43194444444444446</v>
      </c>
      <c r="K22" s="63" t="s">
        <v>1721</v>
      </c>
      <c r="L22" s="64" t="s">
        <v>1202</v>
      </c>
      <c r="M22" s="64" t="s">
        <v>1226</v>
      </c>
    </row>
    <row r="23" spans="1:13" s="65" customFormat="1" ht="12" customHeight="1" x14ac:dyDescent="0.2">
      <c r="A23" s="78">
        <v>217322</v>
      </c>
      <c r="B23" s="69" t="s">
        <v>76</v>
      </c>
      <c r="C23" s="60" t="s">
        <v>1196</v>
      </c>
      <c r="D23" s="66" t="s">
        <v>1199</v>
      </c>
      <c r="E23" s="66" t="s">
        <v>1227</v>
      </c>
      <c r="F23" s="66" t="s">
        <v>1596</v>
      </c>
      <c r="G23" s="60" t="s">
        <v>7</v>
      </c>
      <c r="H23" s="61">
        <v>0.23402777777777781</v>
      </c>
      <c r="I23" s="61">
        <v>0.23402777777777781</v>
      </c>
      <c r="J23" s="62"/>
      <c r="K23" s="63" t="s">
        <v>1723</v>
      </c>
      <c r="L23" s="64" t="s">
        <v>1199</v>
      </c>
      <c r="M23" s="64" t="s">
        <v>1227</v>
      </c>
    </row>
    <row r="24" spans="1:13" s="65" customFormat="1" ht="12" customHeight="1" x14ac:dyDescent="0.2">
      <c r="A24" s="78">
        <v>217689</v>
      </c>
      <c r="B24" s="69" t="s">
        <v>77</v>
      </c>
      <c r="C24" s="60" t="s">
        <v>1196</v>
      </c>
      <c r="D24" s="66" t="s">
        <v>1200</v>
      </c>
      <c r="E24" s="66" t="s">
        <v>1228</v>
      </c>
      <c r="F24" s="66" t="s">
        <v>1597</v>
      </c>
      <c r="G24" s="60" t="s">
        <v>7</v>
      </c>
      <c r="H24" s="61">
        <v>18.987500000000001</v>
      </c>
      <c r="I24" s="61">
        <v>18.987500000000001</v>
      </c>
      <c r="J24" s="62"/>
      <c r="K24" s="63" t="s">
        <v>1722</v>
      </c>
      <c r="L24" s="64" t="s">
        <v>1200</v>
      </c>
      <c r="M24" s="64" t="s">
        <v>1228</v>
      </c>
    </row>
    <row r="25" spans="1:13" s="65" customFormat="1" ht="12" customHeight="1" x14ac:dyDescent="0.2">
      <c r="A25" s="78">
        <v>217725</v>
      </c>
      <c r="B25" s="69" t="s">
        <v>78</v>
      </c>
      <c r="C25" s="60" t="s">
        <v>1196</v>
      </c>
      <c r="D25" s="66" t="s">
        <v>1197</v>
      </c>
      <c r="E25" s="66" t="s">
        <v>1229</v>
      </c>
      <c r="F25" s="66" t="s">
        <v>1585</v>
      </c>
      <c r="G25" s="60" t="s">
        <v>7</v>
      </c>
      <c r="H25" s="61">
        <v>34.833333333333336</v>
      </c>
      <c r="I25" s="61">
        <v>34.833333333333336</v>
      </c>
      <c r="J25" s="62"/>
      <c r="K25" s="63" t="s">
        <v>1722</v>
      </c>
      <c r="L25" s="64" t="s">
        <v>1197</v>
      </c>
      <c r="M25" s="64" t="s">
        <v>1229</v>
      </c>
    </row>
    <row r="26" spans="1:13" s="65" customFormat="1" ht="12" customHeight="1" x14ac:dyDescent="0.2">
      <c r="A26" s="78">
        <v>217780</v>
      </c>
      <c r="B26" s="69" t="s">
        <v>79</v>
      </c>
      <c r="C26" s="60" t="s">
        <v>1196</v>
      </c>
      <c r="D26" s="66" t="s">
        <v>1200</v>
      </c>
      <c r="E26" s="66" t="s">
        <v>1230</v>
      </c>
      <c r="F26" s="66" t="s">
        <v>1598</v>
      </c>
      <c r="G26" s="60" t="s">
        <v>8</v>
      </c>
      <c r="H26" s="61">
        <v>1.3916666666666666</v>
      </c>
      <c r="I26" s="61"/>
      <c r="J26" s="62">
        <v>1.3916666666666666</v>
      </c>
      <c r="K26" s="63" t="s">
        <v>1721</v>
      </c>
      <c r="L26" s="64" t="s">
        <v>1200</v>
      </c>
      <c r="M26" s="64" t="s">
        <v>1230</v>
      </c>
    </row>
    <row r="27" spans="1:13" s="65" customFormat="1" ht="12" customHeight="1" x14ac:dyDescent="0.2">
      <c r="A27" s="78">
        <v>217786</v>
      </c>
      <c r="B27" s="69" t="s">
        <v>80</v>
      </c>
      <c r="C27" s="60" t="s">
        <v>1196</v>
      </c>
      <c r="D27" s="66" t="s">
        <v>1198</v>
      </c>
      <c r="E27" s="66" t="s">
        <v>1231</v>
      </c>
      <c r="F27" s="66" t="s">
        <v>1599</v>
      </c>
      <c r="G27" s="60" t="s">
        <v>7</v>
      </c>
      <c r="H27" s="61">
        <v>0.88402777777777775</v>
      </c>
      <c r="I27" s="61">
        <v>0.88402777777777775</v>
      </c>
      <c r="J27" s="62"/>
      <c r="K27" s="63" t="s">
        <v>1723</v>
      </c>
      <c r="L27" s="64" t="s">
        <v>1198</v>
      </c>
      <c r="M27" s="64" t="s">
        <v>1231</v>
      </c>
    </row>
    <row r="28" spans="1:13" s="65" customFormat="1" ht="12" customHeight="1" x14ac:dyDescent="0.2">
      <c r="A28" s="78">
        <v>217788</v>
      </c>
      <c r="B28" s="69" t="s">
        <v>81</v>
      </c>
      <c r="C28" s="60" t="s">
        <v>1196</v>
      </c>
      <c r="D28" s="66" t="s">
        <v>1197</v>
      </c>
      <c r="E28" s="66" t="s">
        <v>1232</v>
      </c>
      <c r="F28" s="66" t="s">
        <v>1600</v>
      </c>
      <c r="G28" s="60" t="s">
        <v>7</v>
      </c>
      <c r="H28" s="61">
        <v>28.333333333333332</v>
      </c>
      <c r="I28" s="61">
        <v>28.333333333333332</v>
      </c>
      <c r="J28" s="62"/>
      <c r="K28" s="63" t="s">
        <v>1722</v>
      </c>
      <c r="L28" s="64" t="s">
        <v>1197</v>
      </c>
      <c r="M28" s="64" t="s">
        <v>1232</v>
      </c>
    </row>
    <row r="29" spans="1:13" s="65" customFormat="1" ht="12" customHeight="1" x14ac:dyDescent="0.2">
      <c r="A29" s="78">
        <v>217827</v>
      </c>
      <c r="B29" s="69" t="s">
        <v>82</v>
      </c>
      <c r="C29" s="60" t="s">
        <v>1196</v>
      </c>
      <c r="D29" s="66" t="s">
        <v>1201</v>
      </c>
      <c r="E29" s="66" t="s">
        <v>1233</v>
      </c>
      <c r="F29" s="66" t="s">
        <v>1601</v>
      </c>
      <c r="G29" s="60" t="s">
        <v>8</v>
      </c>
      <c r="H29" s="61">
        <v>0.31527777777777777</v>
      </c>
      <c r="I29" s="61"/>
      <c r="J29" s="62">
        <v>0.31527777777777777</v>
      </c>
      <c r="K29" s="63" t="s">
        <v>1722</v>
      </c>
      <c r="L29" s="64" t="s">
        <v>1201</v>
      </c>
      <c r="M29" s="64" t="s">
        <v>1233</v>
      </c>
    </row>
    <row r="30" spans="1:13" s="65" customFormat="1" ht="12" customHeight="1" x14ac:dyDescent="0.2">
      <c r="A30" s="78">
        <v>217863</v>
      </c>
      <c r="B30" s="69" t="s">
        <v>83</v>
      </c>
      <c r="C30" s="60" t="s">
        <v>1196</v>
      </c>
      <c r="D30" s="66" t="s">
        <v>1201</v>
      </c>
      <c r="E30" s="66" t="s">
        <v>1234</v>
      </c>
      <c r="F30" s="66" t="s">
        <v>1591</v>
      </c>
      <c r="G30" s="60" t="s">
        <v>7</v>
      </c>
      <c r="H30" s="61">
        <v>1.0763888888888888</v>
      </c>
      <c r="I30" s="61">
        <v>1.0763888888888888</v>
      </c>
      <c r="J30" s="62"/>
      <c r="K30" s="63" t="s">
        <v>1721</v>
      </c>
      <c r="L30" s="64" t="s">
        <v>1201</v>
      </c>
      <c r="M30" s="64" t="s">
        <v>1234</v>
      </c>
    </row>
    <row r="31" spans="1:13" s="65" customFormat="1" ht="12" customHeight="1" x14ac:dyDescent="0.2">
      <c r="A31" s="78">
        <v>217928</v>
      </c>
      <c r="B31" s="69" t="s">
        <v>84</v>
      </c>
      <c r="C31" s="60" t="s">
        <v>1196</v>
      </c>
      <c r="D31" s="66" t="s">
        <v>1204</v>
      </c>
      <c r="E31" s="66" t="s">
        <v>1235</v>
      </c>
      <c r="F31" s="66" t="s">
        <v>1602</v>
      </c>
      <c r="G31" s="60" t="s">
        <v>7</v>
      </c>
      <c r="H31" s="61">
        <v>2.4284722222222221</v>
      </c>
      <c r="I31" s="61">
        <v>2.4284722222222221</v>
      </c>
      <c r="J31" s="62"/>
      <c r="K31" s="63" t="s">
        <v>1722</v>
      </c>
      <c r="L31" s="64" t="s">
        <v>1204</v>
      </c>
      <c r="M31" s="64" t="s">
        <v>1235</v>
      </c>
    </row>
    <row r="32" spans="1:13" s="65" customFormat="1" ht="12" customHeight="1" x14ac:dyDescent="0.2">
      <c r="A32" s="78">
        <v>217948</v>
      </c>
      <c r="B32" s="69" t="s">
        <v>85</v>
      </c>
      <c r="C32" s="60" t="s">
        <v>1196</v>
      </c>
      <c r="D32" s="66" t="s">
        <v>1203</v>
      </c>
      <c r="E32" s="66" t="s">
        <v>1236</v>
      </c>
      <c r="F32" s="66" t="s">
        <v>1603</v>
      </c>
      <c r="G32" s="60" t="s">
        <v>7</v>
      </c>
      <c r="H32" s="61">
        <v>0.16666666666666666</v>
      </c>
      <c r="I32" s="61">
        <v>0.16666666666666666</v>
      </c>
      <c r="J32" s="62"/>
      <c r="K32" s="63" t="s">
        <v>1722</v>
      </c>
      <c r="L32" s="64" t="s">
        <v>1203</v>
      </c>
      <c r="M32" s="64" t="s">
        <v>1236</v>
      </c>
    </row>
    <row r="33" spans="1:13" s="65" customFormat="1" ht="12" customHeight="1" x14ac:dyDescent="0.2">
      <c r="A33" s="78">
        <v>217966</v>
      </c>
      <c r="B33" s="69" t="s">
        <v>86</v>
      </c>
      <c r="C33" s="60" t="s">
        <v>1196</v>
      </c>
      <c r="D33" s="66" t="s">
        <v>1204</v>
      </c>
      <c r="E33" s="66" t="s">
        <v>1237</v>
      </c>
      <c r="F33" s="66" t="s">
        <v>1604</v>
      </c>
      <c r="G33" s="60" t="s">
        <v>8</v>
      </c>
      <c r="H33" s="61">
        <v>0.27083333333333331</v>
      </c>
      <c r="I33" s="61"/>
      <c r="J33" s="62">
        <v>0.27083333333333331</v>
      </c>
      <c r="K33" s="63" t="s">
        <v>1722</v>
      </c>
      <c r="L33" s="64" t="s">
        <v>1204</v>
      </c>
      <c r="M33" s="64" t="s">
        <v>1237</v>
      </c>
    </row>
    <row r="34" spans="1:13" s="65" customFormat="1" ht="12" customHeight="1" x14ac:dyDescent="0.2">
      <c r="A34" s="78">
        <v>217968</v>
      </c>
      <c r="B34" s="69" t="s">
        <v>87</v>
      </c>
      <c r="C34" s="60" t="s">
        <v>1196</v>
      </c>
      <c r="D34" s="66" t="s">
        <v>1198</v>
      </c>
      <c r="E34" s="66" t="s">
        <v>1238</v>
      </c>
      <c r="F34" s="66" t="s">
        <v>1605</v>
      </c>
      <c r="G34" s="60" t="s">
        <v>8</v>
      </c>
      <c r="H34" s="61">
        <v>1.0847222222222224</v>
      </c>
      <c r="I34" s="61"/>
      <c r="J34" s="62">
        <v>1.0847222222222224</v>
      </c>
      <c r="K34" s="63" t="s">
        <v>1722</v>
      </c>
      <c r="L34" s="64" t="s">
        <v>1198</v>
      </c>
      <c r="M34" s="64" t="s">
        <v>1238</v>
      </c>
    </row>
    <row r="35" spans="1:13" s="65" customFormat="1" ht="12" customHeight="1" x14ac:dyDescent="0.2">
      <c r="A35" s="78">
        <v>217969</v>
      </c>
      <c r="B35" s="69" t="s">
        <v>88</v>
      </c>
      <c r="C35" s="60" t="s">
        <v>1196</v>
      </c>
      <c r="D35" s="66" t="s">
        <v>1198</v>
      </c>
      <c r="E35" s="66" t="s">
        <v>1239</v>
      </c>
      <c r="F35" s="66" t="s">
        <v>1606</v>
      </c>
      <c r="G35" s="60" t="s">
        <v>8</v>
      </c>
      <c r="H35" s="61">
        <v>2.4999999999999998E-2</v>
      </c>
      <c r="I35" s="61"/>
      <c r="J35" s="62">
        <v>2.4999999999999998E-2</v>
      </c>
      <c r="K35" s="63" t="s">
        <v>1722</v>
      </c>
      <c r="L35" s="64" t="s">
        <v>1198</v>
      </c>
      <c r="M35" s="64" t="s">
        <v>1239</v>
      </c>
    </row>
    <row r="36" spans="1:13" s="65" customFormat="1" ht="12" customHeight="1" x14ac:dyDescent="0.2">
      <c r="A36" s="78">
        <v>217970</v>
      </c>
      <c r="B36" s="69" t="s">
        <v>89</v>
      </c>
      <c r="C36" s="60" t="s">
        <v>1196</v>
      </c>
      <c r="D36" s="66" t="s">
        <v>1198</v>
      </c>
      <c r="E36" s="66" t="s">
        <v>1240</v>
      </c>
      <c r="F36" s="66" t="s">
        <v>1607</v>
      </c>
      <c r="G36" s="60" t="s">
        <v>7</v>
      </c>
      <c r="H36" s="61">
        <v>0.85625000000000007</v>
      </c>
      <c r="I36" s="61">
        <v>0.85625000000000007</v>
      </c>
      <c r="J36" s="62"/>
      <c r="K36" s="63" t="s">
        <v>1722</v>
      </c>
      <c r="L36" s="64" t="s">
        <v>1198</v>
      </c>
      <c r="M36" s="64" t="s">
        <v>1240</v>
      </c>
    </row>
    <row r="37" spans="1:13" s="65" customFormat="1" ht="12" customHeight="1" x14ac:dyDescent="0.2">
      <c r="A37" s="78">
        <v>217977</v>
      </c>
      <c r="B37" s="69" t="s">
        <v>90</v>
      </c>
      <c r="C37" s="60" t="s">
        <v>1196</v>
      </c>
      <c r="D37" s="66" t="s">
        <v>1201</v>
      </c>
      <c r="E37" s="66" t="s">
        <v>1241</v>
      </c>
      <c r="F37" s="66" t="s">
        <v>1608</v>
      </c>
      <c r="G37" s="60" t="s">
        <v>7</v>
      </c>
      <c r="H37" s="61">
        <v>19.128472222222221</v>
      </c>
      <c r="I37" s="61">
        <v>19.128472222222221</v>
      </c>
      <c r="J37" s="62"/>
      <c r="K37" s="63" t="s">
        <v>1723</v>
      </c>
      <c r="L37" s="64" t="s">
        <v>1201</v>
      </c>
      <c r="M37" s="64" t="s">
        <v>1241</v>
      </c>
    </row>
    <row r="38" spans="1:13" s="65" customFormat="1" ht="12" customHeight="1" x14ac:dyDescent="0.2">
      <c r="A38" s="78">
        <v>218005</v>
      </c>
      <c r="B38" s="69" t="s">
        <v>91</v>
      </c>
      <c r="C38" s="60" t="s">
        <v>1196</v>
      </c>
      <c r="D38" s="66" t="s">
        <v>1205</v>
      </c>
      <c r="E38" s="66" t="s">
        <v>1242</v>
      </c>
      <c r="F38" s="66" t="s">
        <v>1609</v>
      </c>
      <c r="G38" s="60" t="s">
        <v>7</v>
      </c>
      <c r="H38" s="61">
        <v>2.5451388888888888</v>
      </c>
      <c r="I38" s="61">
        <v>2.5451388888888888</v>
      </c>
      <c r="J38" s="62"/>
      <c r="K38" s="63" t="s">
        <v>1723</v>
      </c>
      <c r="L38" s="64" t="s">
        <v>1205</v>
      </c>
      <c r="M38" s="64" t="s">
        <v>1242</v>
      </c>
    </row>
    <row r="39" spans="1:13" s="65" customFormat="1" ht="12" customHeight="1" x14ac:dyDescent="0.2">
      <c r="A39" s="78">
        <v>218011</v>
      </c>
      <c r="B39" s="69" t="s">
        <v>92</v>
      </c>
      <c r="C39" s="60" t="s">
        <v>1196</v>
      </c>
      <c r="D39" s="66" t="s">
        <v>1199</v>
      </c>
      <c r="E39" s="66" t="s">
        <v>1243</v>
      </c>
      <c r="F39" s="66" t="s">
        <v>1610</v>
      </c>
      <c r="G39" s="60" t="s">
        <v>8</v>
      </c>
      <c r="H39" s="61">
        <v>0.66041666666666665</v>
      </c>
      <c r="I39" s="61"/>
      <c r="J39" s="62">
        <v>0.66041666666666665</v>
      </c>
      <c r="K39" s="63" t="s">
        <v>1723</v>
      </c>
      <c r="L39" s="64" t="s">
        <v>1199</v>
      </c>
      <c r="M39" s="64" t="s">
        <v>1243</v>
      </c>
    </row>
    <row r="40" spans="1:13" s="65" customFormat="1" ht="12" customHeight="1" x14ac:dyDescent="0.2">
      <c r="A40" s="78">
        <v>218029</v>
      </c>
      <c r="B40" s="69" t="s">
        <v>93</v>
      </c>
      <c r="C40" s="60" t="s">
        <v>1196</v>
      </c>
      <c r="D40" s="66" t="s">
        <v>1198</v>
      </c>
      <c r="E40" s="66" t="s">
        <v>1244</v>
      </c>
      <c r="F40" s="66" t="s">
        <v>1611</v>
      </c>
      <c r="G40" s="60" t="s">
        <v>7</v>
      </c>
      <c r="H40" s="61">
        <v>1.04375</v>
      </c>
      <c r="I40" s="61">
        <v>1.04375</v>
      </c>
      <c r="J40" s="62"/>
      <c r="K40" s="63" t="s">
        <v>1723</v>
      </c>
      <c r="L40" s="64" t="s">
        <v>1198</v>
      </c>
      <c r="M40" s="64" t="s">
        <v>1244</v>
      </c>
    </row>
    <row r="41" spans="1:13" s="65" customFormat="1" ht="12" customHeight="1" x14ac:dyDescent="0.2">
      <c r="A41" s="78">
        <v>218087</v>
      </c>
      <c r="B41" s="69" t="s">
        <v>94</v>
      </c>
      <c r="C41" s="60" t="s">
        <v>1196</v>
      </c>
      <c r="D41" s="66" t="s">
        <v>1205</v>
      </c>
      <c r="E41" s="66" t="s">
        <v>1245</v>
      </c>
      <c r="F41" s="66" t="s">
        <v>1594</v>
      </c>
      <c r="G41" s="60" t="s">
        <v>8</v>
      </c>
      <c r="H41" s="61">
        <v>0.52083333333333337</v>
      </c>
      <c r="I41" s="61"/>
      <c r="J41" s="62">
        <v>0.52083333333333337</v>
      </c>
      <c r="K41" s="63" t="s">
        <v>1719</v>
      </c>
      <c r="L41" s="64" t="s">
        <v>1205</v>
      </c>
      <c r="M41" s="64" t="s">
        <v>1245</v>
      </c>
    </row>
    <row r="42" spans="1:13" s="65" customFormat="1" ht="12" customHeight="1" x14ac:dyDescent="0.2">
      <c r="A42" s="78">
        <v>218097</v>
      </c>
      <c r="B42" s="69" t="s">
        <v>95</v>
      </c>
      <c r="C42" s="60" t="s">
        <v>1196</v>
      </c>
      <c r="D42" s="66" t="s">
        <v>1204</v>
      </c>
      <c r="E42" s="66" t="s">
        <v>1246</v>
      </c>
      <c r="F42" s="66" t="s">
        <v>1612</v>
      </c>
      <c r="G42" s="60" t="s">
        <v>8</v>
      </c>
      <c r="H42" s="61">
        <v>0.33263888888888887</v>
      </c>
      <c r="I42" s="61"/>
      <c r="J42" s="62">
        <v>0.33263888888888887</v>
      </c>
      <c r="K42" s="63" t="s">
        <v>1723</v>
      </c>
      <c r="L42" s="64" t="s">
        <v>1204</v>
      </c>
      <c r="M42" s="64" t="s">
        <v>1246</v>
      </c>
    </row>
    <row r="43" spans="1:13" s="65" customFormat="1" ht="12" customHeight="1" x14ac:dyDescent="0.2">
      <c r="A43" s="78">
        <v>218141</v>
      </c>
      <c r="B43" s="69" t="s">
        <v>96</v>
      </c>
      <c r="C43" s="60" t="s">
        <v>1196</v>
      </c>
      <c r="D43" s="66" t="s">
        <v>1200</v>
      </c>
      <c r="E43" s="66" t="s">
        <v>1247</v>
      </c>
      <c r="F43" s="66" t="s">
        <v>1613</v>
      </c>
      <c r="G43" s="60" t="s">
        <v>7</v>
      </c>
      <c r="H43" s="61">
        <v>6.9611111111111112</v>
      </c>
      <c r="I43" s="61">
        <v>6.9611111111111112</v>
      </c>
      <c r="J43" s="62"/>
      <c r="K43" s="63" t="s">
        <v>1723</v>
      </c>
      <c r="L43" s="64" t="s">
        <v>1200</v>
      </c>
      <c r="M43" s="64" t="s">
        <v>1247</v>
      </c>
    </row>
    <row r="44" spans="1:13" s="65" customFormat="1" ht="12" customHeight="1" x14ac:dyDescent="0.2">
      <c r="A44" s="78">
        <v>218278</v>
      </c>
      <c r="B44" s="69" t="s">
        <v>97</v>
      </c>
      <c r="C44" s="60" t="s">
        <v>1196</v>
      </c>
      <c r="D44" s="66" t="s">
        <v>1203</v>
      </c>
      <c r="E44" s="66" t="s">
        <v>1248</v>
      </c>
      <c r="F44" s="66" t="s">
        <v>1592</v>
      </c>
      <c r="G44" s="60" t="s">
        <v>8</v>
      </c>
      <c r="H44" s="61">
        <v>0.88055555555555554</v>
      </c>
      <c r="I44" s="61"/>
      <c r="J44" s="62">
        <v>0.88055555555555554</v>
      </c>
      <c r="K44" s="63" t="s">
        <v>1719</v>
      </c>
      <c r="L44" s="64" t="s">
        <v>1203</v>
      </c>
      <c r="M44" s="64" t="s">
        <v>1248</v>
      </c>
    </row>
    <row r="45" spans="1:13" s="65" customFormat="1" ht="12" customHeight="1" x14ac:dyDescent="0.2">
      <c r="A45" s="78">
        <v>218444</v>
      </c>
      <c r="B45" s="69" t="s">
        <v>98</v>
      </c>
      <c r="C45" s="60" t="s">
        <v>1196</v>
      </c>
      <c r="D45" s="66" t="s">
        <v>1204</v>
      </c>
      <c r="E45" s="66" t="s">
        <v>1235</v>
      </c>
      <c r="F45" s="66" t="s">
        <v>1602</v>
      </c>
      <c r="G45" s="60" t="s">
        <v>7</v>
      </c>
      <c r="H45" s="61">
        <v>1.0597222222222222</v>
      </c>
      <c r="I45" s="61">
        <v>1.0597222222222222</v>
      </c>
      <c r="J45" s="62"/>
      <c r="K45" s="63" t="s">
        <v>1723</v>
      </c>
      <c r="L45" s="64" t="s">
        <v>1204</v>
      </c>
      <c r="M45" s="64" t="s">
        <v>1235</v>
      </c>
    </row>
    <row r="46" spans="1:13" s="65" customFormat="1" ht="12" customHeight="1" x14ac:dyDescent="0.2">
      <c r="A46" s="78">
        <v>218467</v>
      </c>
      <c r="B46" s="69" t="s">
        <v>99</v>
      </c>
      <c r="C46" s="60" t="s">
        <v>1196</v>
      </c>
      <c r="D46" s="66" t="s">
        <v>1199</v>
      </c>
      <c r="E46" s="66" t="s">
        <v>1249</v>
      </c>
      <c r="F46" s="66" t="s">
        <v>1587</v>
      </c>
      <c r="G46" s="60" t="s">
        <v>8</v>
      </c>
      <c r="H46" s="61">
        <v>0.4604166666666667</v>
      </c>
      <c r="I46" s="61"/>
      <c r="J46" s="62">
        <v>0.4604166666666667</v>
      </c>
      <c r="K46" s="63" t="s">
        <v>1721</v>
      </c>
      <c r="L46" s="64" t="s">
        <v>1199</v>
      </c>
      <c r="M46" s="64" t="s">
        <v>1249</v>
      </c>
    </row>
    <row r="47" spans="1:13" s="65" customFormat="1" ht="12" customHeight="1" x14ac:dyDescent="0.2">
      <c r="A47" s="78">
        <v>218483</v>
      </c>
      <c r="B47" s="69" t="s">
        <v>100</v>
      </c>
      <c r="C47" s="60" t="s">
        <v>1196</v>
      </c>
      <c r="D47" s="66" t="s">
        <v>1201</v>
      </c>
      <c r="E47" s="66" t="s">
        <v>1250</v>
      </c>
      <c r="F47" s="66" t="s">
        <v>1614</v>
      </c>
      <c r="G47" s="60" t="s">
        <v>7</v>
      </c>
      <c r="H47" s="61">
        <v>0.19027777777777777</v>
      </c>
      <c r="I47" s="61">
        <v>0.19027777777777777</v>
      </c>
      <c r="J47" s="62"/>
      <c r="K47" s="63" t="s">
        <v>1723</v>
      </c>
      <c r="L47" s="64" t="s">
        <v>1201</v>
      </c>
      <c r="M47" s="64" t="s">
        <v>1250</v>
      </c>
    </row>
    <row r="48" spans="1:13" s="65" customFormat="1" ht="12" customHeight="1" x14ac:dyDescent="0.2">
      <c r="A48" s="78">
        <v>218505</v>
      </c>
      <c r="B48" s="69" t="s">
        <v>101</v>
      </c>
      <c r="C48" s="60" t="s">
        <v>1196</v>
      </c>
      <c r="D48" s="66" t="s">
        <v>1203</v>
      </c>
      <c r="E48" s="66" t="s">
        <v>1251</v>
      </c>
      <c r="F48" s="66" t="s">
        <v>1615</v>
      </c>
      <c r="G48" s="60" t="s">
        <v>8</v>
      </c>
      <c r="H48" s="61">
        <v>4.4444444444444446E-2</v>
      </c>
      <c r="I48" s="61"/>
      <c r="J48" s="62">
        <v>4.4444444444444446E-2</v>
      </c>
      <c r="K48" s="63" t="s">
        <v>1723</v>
      </c>
      <c r="L48" s="64" t="s">
        <v>1203</v>
      </c>
      <c r="M48" s="64" t="s">
        <v>1251</v>
      </c>
    </row>
    <row r="49" spans="1:13" s="65" customFormat="1" ht="12" customHeight="1" x14ac:dyDescent="0.2">
      <c r="A49" s="78">
        <v>218514</v>
      </c>
      <c r="B49" s="69" t="s">
        <v>102</v>
      </c>
      <c r="C49" s="60" t="s">
        <v>1196</v>
      </c>
      <c r="D49" s="66" t="s">
        <v>1201</v>
      </c>
      <c r="E49" s="66" t="s">
        <v>1252</v>
      </c>
      <c r="F49" s="66" t="s">
        <v>1616</v>
      </c>
      <c r="G49" s="60" t="s">
        <v>7</v>
      </c>
      <c r="H49" s="61">
        <v>0.25972222222222224</v>
      </c>
      <c r="I49" s="61">
        <v>0.25972222222222224</v>
      </c>
      <c r="J49" s="62"/>
      <c r="K49" s="63" t="s">
        <v>1722</v>
      </c>
      <c r="L49" s="64" t="s">
        <v>1201</v>
      </c>
      <c r="M49" s="64" t="s">
        <v>1252</v>
      </c>
    </row>
    <row r="50" spans="1:13" s="65" customFormat="1" ht="12" customHeight="1" x14ac:dyDescent="0.2">
      <c r="A50" s="78">
        <v>218528</v>
      </c>
      <c r="B50" s="69" t="s">
        <v>103</v>
      </c>
      <c r="C50" s="60" t="s">
        <v>1196</v>
      </c>
      <c r="D50" s="66" t="s">
        <v>1202</v>
      </c>
      <c r="E50" s="66" t="s">
        <v>1253</v>
      </c>
      <c r="F50" s="66" t="s">
        <v>1617</v>
      </c>
      <c r="G50" s="60" t="s">
        <v>7</v>
      </c>
      <c r="H50" s="61">
        <v>2.7798611111111109</v>
      </c>
      <c r="I50" s="61">
        <v>2.7798611111111109</v>
      </c>
      <c r="J50" s="62"/>
      <c r="K50" s="63" t="s">
        <v>1723</v>
      </c>
      <c r="L50" s="64" t="s">
        <v>1202</v>
      </c>
      <c r="M50" s="64" t="s">
        <v>1253</v>
      </c>
    </row>
    <row r="51" spans="1:13" s="65" customFormat="1" ht="12" customHeight="1" x14ac:dyDescent="0.2">
      <c r="A51" s="78">
        <v>218563</v>
      </c>
      <c r="B51" s="69" t="s">
        <v>104</v>
      </c>
      <c r="C51" s="60" t="s">
        <v>1196</v>
      </c>
      <c r="D51" s="66" t="s">
        <v>1204</v>
      </c>
      <c r="E51" s="66" t="s">
        <v>1254</v>
      </c>
      <c r="F51" s="66" t="s">
        <v>1593</v>
      </c>
      <c r="G51" s="60" t="s">
        <v>8</v>
      </c>
      <c r="H51" s="61">
        <v>1.2013888888888888</v>
      </c>
      <c r="I51" s="61"/>
      <c r="J51" s="62">
        <v>1.2013888888888888</v>
      </c>
      <c r="K51" s="63" t="s">
        <v>1721</v>
      </c>
      <c r="L51" s="64" t="s">
        <v>1204</v>
      </c>
      <c r="M51" s="64" t="s">
        <v>1254</v>
      </c>
    </row>
    <row r="52" spans="1:13" s="65" customFormat="1" ht="12" customHeight="1" x14ac:dyDescent="0.2">
      <c r="A52" s="78">
        <v>218702</v>
      </c>
      <c r="B52" s="69" t="s">
        <v>105</v>
      </c>
      <c r="C52" s="60" t="s">
        <v>1196</v>
      </c>
      <c r="D52" s="66" t="s">
        <v>1201</v>
      </c>
      <c r="E52" s="66" t="s">
        <v>1233</v>
      </c>
      <c r="F52" s="66" t="s">
        <v>1601</v>
      </c>
      <c r="G52" s="60" t="s">
        <v>7</v>
      </c>
      <c r="H52" s="61">
        <v>9.8166666666666664</v>
      </c>
      <c r="I52" s="61">
        <v>9.8166666666666664</v>
      </c>
      <c r="J52" s="62"/>
      <c r="K52" s="63" t="s">
        <v>1723</v>
      </c>
      <c r="L52" s="64" t="s">
        <v>1201</v>
      </c>
      <c r="M52" s="64" t="s">
        <v>1233</v>
      </c>
    </row>
    <row r="53" spans="1:13" s="65" customFormat="1" ht="12" customHeight="1" x14ac:dyDescent="0.2">
      <c r="A53" s="78">
        <v>218830</v>
      </c>
      <c r="B53" s="69" t="s">
        <v>106</v>
      </c>
      <c r="C53" s="60" t="s">
        <v>1196</v>
      </c>
      <c r="D53" s="66" t="s">
        <v>1202</v>
      </c>
      <c r="E53" s="66" t="s">
        <v>1255</v>
      </c>
      <c r="F53" s="66" t="s">
        <v>1590</v>
      </c>
      <c r="G53" s="60" t="s">
        <v>8</v>
      </c>
      <c r="H53" s="61">
        <v>0.47986111111111113</v>
      </c>
      <c r="I53" s="61"/>
      <c r="J53" s="62">
        <v>0.47986111111111113</v>
      </c>
      <c r="K53" s="63" t="s">
        <v>1721</v>
      </c>
      <c r="L53" s="64" t="s">
        <v>1202</v>
      </c>
      <c r="M53" s="64" t="s">
        <v>1255</v>
      </c>
    </row>
    <row r="54" spans="1:13" s="65" customFormat="1" ht="12" customHeight="1" x14ac:dyDescent="0.2">
      <c r="A54" s="78">
        <v>219156</v>
      </c>
      <c r="B54" s="69" t="s">
        <v>107</v>
      </c>
      <c r="C54" s="60" t="s">
        <v>1196</v>
      </c>
      <c r="D54" s="66" t="s">
        <v>1204</v>
      </c>
      <c r="E54" s="66" t="s">
        <v>1256</v>
      </c>
      <c r="F54" s="66" t="s">
        <v>1618</v>
      </c>
      <c r="G54" s="60" t="s">
        <v>8</v>
      </c>
      <c r="H54" s="61">
        <v>0.81180555555555556</v>
      </c>
      <c r="I54" s="61"/>
      <c r="J54" s="62">
        <v>0.81180555555555556</v>
      </c>
      <c r="K54" s="63" t="s">
        <v>1723</v>
      </c>
      <c r="L54" s="64" t="s">
        <v>1204</v>
      </c>
      <c r="M54" s="64" t="s">
        <v>1256</v>
      </c>
    </row>
    <row r="55" spans="1:13" s="65" customFormat="1" ht="12" customHeight="1" x14ac:dyDescent="0.2">
      <c r="A55" s="78">
        <v>219230</v>
      </c>
      <c r="B55" s="69" t="s">
        <v>108</v>
      </c>
      <c r="C55" s="60" t="s">
        <v>1196</v>
      </c>
      <c r="D55" s="66" t="s">
        <v>1201</v>
      </c>
      <c r="E55" s="66" t="s">
        <v>1257</v>
      </c>
      <c r="F55" s="66" t="s">
        <v>1619</v>
      </c>
      <c r="G55" s="60" t="s">
        <v>7</v>
      </c>
      <c r="H55" s="61">
        <v>9.3465277777777782</v>
      </c>
      <c r="I55" s="61">
        <v>9.3465277777777782</v>
      </c>
      <c r="J55" s="62"/>
      <c r="K55" s="63" t="s">
        <v>1723</v>
      </c>
      <c r="L55" s="64" t="s">
        <v>1201</v>
      </c>
      <c r="M55" s="64" t="s">
        <v>1257</v>
      </c>
    </row>
    <row r="56" spans="1:13" s="65" customFormat="1" ht="12" customHeight="1" x14ac:dyDescent="0.2">
      <c r="A56" s="78">
        <v>219308</v>
      </c>
      <c r="B56" s="69" t="s">
        <v>109</v>
      </c>
      <c r="C56" s="60" t="s">
        <v>1196</v>
      </c>
      <c r="D56" s="66" t="s">
        <v>1205</v>
      </c>
      <c r="E56" s="66" t="s">
        <v>1258</v>
      </c>
      <c r="F56" s="66" t="s">
        <v>1620</v>
      </c>
      <c r="G56" s="60" t="s">
        <v>7</v>
      </c>
      <c r="H56" s="61">
        <v>0.22777777777777777</v>
      </c>
      <c r="I56" s="61">
        <v>0.22777777777777777</v>
      </c>
      <c r="J56" s="62"/>
      <c r="K56" s="63" t="s">
        <v>1723</v>
      </c>
      <c r="L56" s="64" t="s">
        <v>1205</v>
      </c>
      <c r="M56" s="64" t="s">
        <v>1258</v>
      </c>
    </row>
    <row r="57" spans="1:13" s="65" customFormat="1" ht="12" customHeight="1" x14ac:dyDescent="0.2">
      <c r="A57" s="78">
        <v>219325</v>
      </c>
      <c r="B57" s="69" t="s">
        <v>110</v>
      </c>
      <c r="C57" s="60" t="s">
        <v>1196</v>
      </c>
      <c r="D57" s="66" t="s">
        <v>1204</v>
      </c>
      <c r="E57" s="66" t="s">
        <v>1259</v>
      </c>
      <c r="F57" s="66" t="s">
        <v>1621</v>
      </c>
      <c r="G57" s="60" t="s">
        <v>8</v>
      </c>
      <c r="H57" s="61">
        <v>2.2916666666666669E-2</v>
      </c>
      <c r="I57" s="61"/>
      <c r="J57" s="62">
        <v>2.2916666666666669E-2</v>
      </c>
      <c r="K57" s="63" t="s">
        <v>1722</v>
      </c>
      <c r="L57" s="64" t="s">
        <v>1204</v>
      </c>
      <c r="M57" s="64" t="s">
        <v>1259</v>
      </c>
    </row>
    <row r="58" spans="1:13" s="65" customFormat="1" ht="12" customHeight="1" x14ac:dyDescent="0.2">
      <c r="A58" s="78">
        <v>219368</v>
      </c>
      <c r="B58" s="69" t="s">
        <v>111</v>
      </c>
      <c r="C58" s="60" t="s">
        <v>1196</v>
      </c>
      <c r="D58" s="66" t="s">
        <v>1201</v>
      </c>
      <c r="E58" s="66" t="s">
        <v>1260</v>
      </c>
      <c r="F58" s="66" t="s">
        <v>1591</v>
      </c>
      <c r="G58" s="60" t="s">
        <v>8</v>
      </c>
      <c r="H58" s="61">
        <v>0.21180555555555555</v>
      </c>
      <c r="I58" s="61"/>
      <c r="J58" s="62">
        <v>0.21180555555555555</v>
      </c>
      <c r="K58" s="63" t="s">
        <v>1719</v>
      </c>
      <c r="L58" s="64" t="s">
        <v>1201</v>
      </c>
      <c r="M58" s="64" t="s">
        <v>1260</v>
      </c>
    </row>
    <row r="59" spans="1:13" s="65" customFormat="1" ht="12" customHeight="1" x14ac:dyDescent="0.2">
      <c r="A59" s="78">
        <v>219370</v>
      </c>
      <c r="B59" s="69" t="s">
        <v>112</v>
      </c>
      <c r="C59" s="60" t="s">
        <v>1196</v>
      </c>
      <c r="D59" s="66" t="s">
        <v>1200</v>
      </c>
      <c r="E59" s="66" t="s">
        <v>1261</v>
      </c>
      <c r="F59" s="66" t="s">
        <v>1598</v>
      </c>
      <c r="G59" s="60" t="s">
        <v>8</v>
      </c>
      <c r="H59" s="61">
        <v>0.26805555555555555</v>
      </c>
      <c r="I59" s="61"/>
      <c r="J59" s="62">
        <v>0.26805555555555555</v>
      </c>
      <c r="K59" s="63" t="s">
        <v>1719</v>
      </c>
      <c r="L59" s="64" t="s">
        <v>1200</v>
      </c>
      <c r="M59" s="64" t="s">
        <v>1261</v>
      </c>
    </row>
    <row r="60" spans="1:13" s="65" customFormat="1" ht="12" customHeight="1" x14ac:dyDescent="0.2">
      <c r="A60" s="78">
        <v>219371</v>
      </c>
      <c r="B60" s="69" t="s">
        <v>113</v>
      </c>
      <c r="C60" s="60" t="s">
        <v>1196</v>
      </c>
      <c r="D60" s="66" t="s">
        <v>1200</v>
      </c>
      <c r="E60" s="66" t="s">
        <v>1262</v>
      </c>
      <c r="F60" s="66" t="s">
        <v>1598</v>
      </c>
      <c r="G60" s="60" t="s">
        <v>8</v>
      </c>
      <c r="H60" s="61">
        <v>0.7895833333333333</v>
      </c>
      <c r="I60" s="61"/>
      <c r="J60" s="62">
        <v>0.7895833333333333</v>
      </c>
      <c r="K60" s="63" t="s">
        <v>1719</v>
      </c>
      <c r="L60" s="64" t="s">
        <v>1200</v>
      </c>
      <c r="M60" s="64" t="s">
        <v>1262</v>
      </c>
    </row>
    <row r="61" spans="1:13" s="65" customFormat="1" ht="12" customHeight="1" x14ac:dyDescent="0.2">
      <c r="A61" s="78">
        <v>219390</v>
      </c>
      <c r="B61" s="69" t="s">
        <v>114</v>
      </c>
      <c r="C61" s="60" t="s">
        <v>1196</v>
      </c>
      <c r="D61" s="66" t="s">
        <v>1198</v>
      </c>
      <c r="E61" s="66" t="s">
        <v>1240</v>
      </c>
      <c r="F61" s="66" t="s">
        <v>1607</v>
      </c>
      <c r="G61" s="60" t="s">
        <v>7</v>
      </c>
      <c r="H61" s="61">
        <v>0.56597222222222221</v>
      </c>
      <c r="I61" s="61">
        <v>0.56597222222222221</v>
      </c>
      <c r="J61" s="62"/>
      <c r="K61" s="63" t="s">
        <v>1723</v>
      </c>
      <c r="L61" s="64" t="s">
        <v>1198</v>
      </c>
      <c r="M61" s="64" t="s">
        <v>1240</v>
      </c>
    </row>
    <row r="62" spans="1:13" s="65" customFormat="1" ht="12" customHeight="1" x14ac:dyDescent="0.2">
      <c r="A62" s="78">
        <v>219427</v>
      </c>
      <c r="B62" s="69" t="s">
        <v>115</v>
      </c>
      <c r="C62" s="60" t="s">
        <v>1196</v>
      </c>
      <c r="D62" s="66" t="s">
        <v>1200</v>
      </c>
      <c r="E62" s="66" t="s">
        <v>1263</v>
      </c>
      <c r="F62" s="66" t="s">
        <v>1622</v>
      </c>
      <c r="G62" s="60" t="s">
        <v>8</v>
      </c>
      <c r="H62" s="61">
        <v>0.97083333333333333</v>
      </c>
      <c r="I62" s="61"/>
      <c r="J62" s="62">
        <v>0.97083333333333333</v>
      </c>
      <c r="K62" s="63" t="s">
        <v>1723</v>
      </c>
      <c r="L62" s="64" t="s">
        <v>1200</v>
      </c>
      <c r="M62" s="64" t="s">
        <v>1263</v>
      </c>
    </row>
    <row r="63" spans="1:13" s="65" customFormat="1" ht="12" customHeight="1" x14ac:dyDescent="0.2">
      <c r="A63" s="78">
        <v>219511</v>
      </c>
      <c r="B63" s="69" t="s">
        <v>116</v>
      </c>
      <c r="C63" s="60" t="s">
        <v>1196</v>
      </c>
      <c r="D63" s="66" t="s">
        <v>1203</v>
      </c>
      <c r="E63" s="66" t="s">
        <v>1264</v>
      </c>
      <c r="F63" s="66" t="s">
        <v>1592</v>
      </c>
      <c r="G63" s="60" t="s">
        <v>8</v>
      </c>
      <c r="H63" s="61">
        <v>0.26527777777777778</v>
      </c>
      <c r="I63" s="61"/>
      <c r="J63" s="62">
        <v>0.26527777777777778</v>
      </c>
      <c r="K63" s="63" t="s">
        <v>1719</v>
      </c>
      <c r="L63" s="64" t="s">
        <v>1203</v>
      </c>
      <c r="M63" s="64" t="s">
        <v>1264</v>
      </c>
    </row>
    <row r="64" spans="1:13" s="65" customFormat="1" ht="12" customHeight="1" x14ac:dyDescent="0.2">
      <c r="A64" s="78">
        <v>219739</v>
      </c>
      <c r="B64" s="69" t="s">
        <v>117</v>
      </c>
      <c r="C64" s="60" t="s">
        <v>1196</v>
      </c>
      <c r="D64" s="66" t="s">
        <v>1197</v>
      </c>
      <c r="E64" s="66" t="s">
        <v>1265</v>
      </c>
      <c r="F64" s="66" t="s">
        <v>1623</v>
      </c>
      <c r="G64" s="60" t="s">
        <v>8</v>
      </c>
      <c r="H64" s="61">
        <v>0.45902777777777781</v>
      </c>
      <c r="I64" s="61"/>
      <c r="J64" s="62">
        <v>0.45902777777777781</v>
      </c>
      <c r="K64" s="63" t="s">
        <v>1723</v>
      </c>
      <c r="L64" s="64" t="s">
        <v>1197</v>
      </c>
      <c r="M64" s="64" t="s">
        <v>1265</v>
      </c>
    </row>
    <row r="65" spans="1:13" s="65" customFormat="1" ht="12" customHeight="1" x14ac:dyDescent="0.2">
      <c r="A65" s="78">
        <v>219749</v>
      </c>
      <c r="B65" s="69" t="s">
        <v>118</v>
      </c>
      <c r="C65" s="60" t="s">
        <v>1196</v>
      </c>
      <c r="D65" s="66" t="s">
        <v>1198</v>
      </c>
      <c r="E65" s="66" t="s">
        <v>1240</v>
      </c>
      <c r="F65" s="66" t="s">
        <v>1607</v>
      </c>
      <c r="G65" s="60" t="s">
        <v>7</v>
      </c>
      <c r="H65" s="61">
        <v>2.5965277777777778</v>
      </c>
      <c r="I65" s="61">
        <v>2.5965277777777778</v>
      </c>
      <c r="J65" s="62"/>
      <c r="K65" s="63" t="s">
        <v>1723</v>
      </c>
      <c r="L65" s="64" t="s">
        <v>1198</v>
      </c>
      <c r="M65" s="64" t="s">
        <v>1240</v>
      </c>
    </row>
    <row r="66" spans="1:13" s="65" customFormat="1" ht="12" customHeight="1" x14ac:dyDescent="0.2">
      <c r="A66" s="78">
        <v>219753</v>
      </c>
      <c r="B66" s="69" t="s">
        <v>119</v>
      </c>
      <c r="C66" s="60" t="s">
        <v>1196</v>
      </c>
      <c r="D66" s="66" t="s">
        <v>1197</v>
      </c>
      <c r="E66" s="66" t="s">
        <v>1266</v>
      </c>
      <c r="F66" s="66" t="s">
        <v>1624</v>
      </c>
      <c r="G66" s="60" t="s">
        <v>7</v>
      </c>
      <c r="H66" s="61">
        <v>0.50972222222222219</v>
      </c>
      <c r="I66" s="61">
        <v>0.50972222222222219</v>
      </c>
      <c r="J66" s="62"/>
      <c r="K66" s="63" t="s">
        <v>1723</v>
      </c>
      <c r="L66" s="64" t="s">
        <v>1197</v>
      </c>
      <c r="M66" s="64" t="s">
        <v>1266</v>
      </c>
    </row>
    <row r="67" spans="1:13" s="65" customFormat="1" ht="12" customHeight="1" x14ac:dyDescent="0.2">
      <c r="A67" s="78">
        <v>219778</v>
      </c>
      <c r="B67" s="69" t="s">
        <v>120</v>
      </c>
      <c r="C67" s="60" t="s">
        <v>1196</v>
      </c>
      <c r="D67" s="66" t="s">
        <v>1200</v>
      </c>
      <c r="E67" s="66" t="s">
        <v>1267</v>
      </c>
      <c r="F67" s="66" t="s">
        <v>1598</v>
      </c>
      <c r="G67" s="60" t="s">
        <v>8</v>
      </c>
      <c r="H67" s="61">
        <v>0.66319444444444442</v>
      </c>
      <c r="I67" s="61"/>
      <c r="J67" s="62">
        <v>0.66319444444444442</v>
      </c>
      <c r="K67" s="63" t="s">
        <v>1719</v>
      </c>
      <c r="L67" s="64" t="s">
        <v>1200</v>
      </c>
      <c r="M67" s="64" t="s">
        <v>1267</v>
      </c>
    </row>
    <row r="68" spans="1:13" s="65" customFormat="1" ht="12" customHeight="1" x14ac:dyDescent="0.2">
      <c r="A68" s="78">
        <v>219894</v>
      </c>
      <c r="B68" s="69" t="s">
        <v>121</v>
      </c>
      <c r="C68" s="60" t="s">
        <v>1196</v>
      </c>
      <c r="D68" s="66" t="s">
        <v>1204</v>
      </c>
      <c r="E68" s="66" t="s">
        <v>1268</v>
      </c>
      <c r="F68" s="66" t="s">
        <v>1593</v>
      </c>
      <c r="G68" s="60" t="s">
        <v>8</v>
      </c>
      <c r="H68" s="61">
        <v>0.47638888888888892</v>
      </c>
      <c r="I68" s="61"/>
      <c r="J68" s="62">
        <v>0.47638888888888892</v>
      </c>
      <c r="K68" s="63" t="s">
        <v>1720</v>
      </c>
      <c r="L68" s="64" t="s">
        <v>1204</v>
      </c>
      <c r="M68" s="64" t="s">
        <v>1268</v>
      </c>
    </row>
    <row r="69" spans="1:13" s="65" customFormat="1" ht="12" customHeight="1" x14ac:dyDescent="0.2">
      <c r="A69" s="78">
        <v>219907</v>
      </c>
      <c r="B69" s="69" t="s">
        <v>122</v>
      </c>
      <c r="C69" s="60" t="s">
        <v>1196</v>
      </c>
      <c r="D69" s="66" t="s">
        <v>1198</v>
      </c>
      <c r="E69" s="66" t="s">
        <v>1269</v>
      </c>
      <c r="F69" s="66" t="s">
        <v>1625</v>
      </c>
      <c r="G69" s="60" t="s">
        <v>8</v>
      </c>
      <c r="H69" s="61">
        <v>8.3333333333333332E-3</v>
      </c>
      <c r="I69" s="61"/>
      <c r="J69" s="62">
        <v>8.3333333333333332E-3</v>
      </c>
      <c r="K69" s="63" t="s">
        <v>1723</v>
      </c>
      <c r="L69" s="64" t="s">
        <v>1198</v>
      </c>
      <c r="M69" s="64" t="s">
        <v>1269</v>
      </c>
    </row>
    <row r="70" spans="1:13" s="65" customFormat="1" ht="12" customHeight="1" x14ac:dyDescent="0.2">
      <c r="A70" s="78">
        <v>219966</v>
      </c>
      <c r="B70" s="69" t="s">
        <v>123</v>
      </c>
      <c r="C70" s="60" t="s">
        <v>1196</v>
      </c>
      <c r="D70" s="66" t="s">
        <v>1202</v>
      </c>
      <c r="E70" s="66" t="s">
        <v>1270</v>
      </c>
      <c r="F70" s="66" t="s">
        <v>1626</v>
      </c>
      <c r="G70" s="60" t="s">
        <v>7</v>
      </c>
      <c r="H70" s="61">
        <v>0.82500000000000007</v>
      </c>
      <c r="I70" s="61">
        <v>0.82500000000000007</v>
      </c>
      <c r="J70" s="62"/>
      <c r="K70" s="63" t="s">
        <v>1722</v>
      </c>
      <c r="L70" s="64" t="s">
        <v>1202</v>
      </c>
      <c r="M70" s="64" t="s">
        <v>1270</v>
      </c>
    </row>
    <row r="71" spans="1:13" s="65" customFormat="1" ht="12" customHeight="1" x14ac:dyDescent="0.2">
      <c r="A71" s="78">
        <v>220151</v>
      </c>
      <c r="B71" s="69" t="s">
        <v>124</v>
      </c>
      <c r="C71" s="60" t="s">
        <v>1196</v>
      </c>
      <c r="D71" s="66" t="s">
        <v>1200</v>
      </c>
      <c r="E71" s="66" t="s">
        <v>1271</v>
      </c>
      <c r="F71" s="66" t="s">
        <v>1627</v>
      </c>
      <c r="G71" s="60" t="s">
        <v>8</v>
      </c>
      <c r="H71" s="61">
        <v>1.2451388888888888</v>
      </c>
      <c r="I71" s="61"/>
      <c r="J71" s="62">
        <v>1.2451388888888888</v>
      </c>
      <c r="K71" s="63" t="s">
        <v>1723</v>
      </c>
      <c r="L71" s="64" t="s">
        <v>1200</v>
      </c>
      <c r="M71" s="64" t="s">
        <v>1271</v>
      </c>
    </row>
    <row r="72" spans="1:13" s="65" customFormat="1" ht="12" customHeight="1" x14ac:dyDescent="0.2">
      <c r="A72" s="78">
        <v>220205</v>
      </c>
      <c r="B72" s="69" t="s">
        <v>125</v>
      </c>
      <c r="C72" s="60" t="s">
        <v>1196</v>
      </c>
      <c r="D72" s="66" t="s">
        <v>1204</v>
      </c>
      <c r="E72" s="66" t="s">
        <v>1272</v>
      </c>
      <c r="F72" s="66" t="s">
        <v>1593</v>
      </c>
      <c r="G72" s="60" t="s">
        <v>8</v>
      </c>
      <c r="H72" s="61">
        <v>1.0604166666666666</v>
      </c>
      <c r="I72" s="61"/>
      <c r="J72" s="62">
        <v>1.0604166666666666</v>
      </c>
      <c r="K72" s="63" t="s">
        <v>1721</v>
      </c>
      <c r="L72" s="64" t="s">
        <v>1204</v>
      </c>
      <c r="M72" s="64" t="s">
        <v>1272</v>
      </c>
    </row>
    <row r="73" spans="1:13" s="65" customFormat="1" ht="12" customHeight="1" x14ac:dyDescent="0.2">
      <c r="A73" s="78">
        <v>220228</v>
      </c>
      <c r="B73" s="69" t="s">
        <v>126</v>
      </c>
      <c r="C73" s="60" t="s">
        <v>1196</v>
      </c>
      <c r="D73" s="66" t="s">
        <v>1204</v>
      </c>
      <c r="E73" s="66" t="s">
        <v>1273</v>
      </c>
      <c r="F73" s="66" t="s">
        <v>1593</v>
      </c>
      <c r="G73" s="60" t="s">
        <v>7</v>
      </c>
      <c r="H73" s="61">
        <v>4.4618055555555554</v>
      </c>
      <c r="I73" s="61">
        <v>4.4618055555555554</v>
      </c>
      <c r="J73" s="62"/>
      <c r="K73" s="63" t="s">
        <v>1721</v>
      </c>
      <c r="L73" s="64" t="s">
        <v>1204</v>
      </c>
      <c r="M73" s="64" t="s">
        <v>1273</v>
      </c>
    </row>
    <row r="74" spans="1:13" s="65" customFormat="1" ht="12" customHeight="1" x14ac:dyDescent="0.2">
      <c r="A74" s="78">
        <v>220250</v>
      </c>
      <c r="B74" s="69" t="s">
        <v>127</v>
      </c>
      <c r="C74" s="60" t="s">
        <v>1196</v>
      </c>
      <c r="D74" s="66" t="s">
        <v>1199</v>
      </c>
      <c r="E74" s="66" t="s">
        <v>1274</v>
      </c>
      <c r="F74" s="66" t="s">
        <v>1628</v>
      </c>
      <c r="G74" s="60" t="s">
        <v>7</v>
      </c>
      <c r="H74" s="61">
        <v>0.7631944444444444</v>
      </c>
      <c r="I74" s="61">
        <v>0.7631944444444444</v>
      </c>
      <c r="J74" s="62"/>
      <c r="K74" s="63" t="s">
        <v>1722</v>
      </c>
      <c r="L74" s="64" t="s">
        <v>1199</v>
      </c>
      <c r="M74" s="64" t="s">
        <v>1274</v>
      </c>
    </row>
    <row r="75" spans="1:13" s="65" customFormat="1" ht="12" customHeight="1" x14ac:dyDescent="0.2">
      <c r="A75" s="78">
        <v>220259</v>
      </c>
      <c r="B75" s="69" t="s">
        <v>128</v>
      </c>
      <c r="C75" s="60" t="s">
        <v>1196</v>
      </c>
      <c r="D75" s="66" t="s">
        <v>1197</v>
      </c>
      <c r="E75" s="66" t="s">
        <v>1275</v>
      </c>
      <c r="F75" s="66" t="s">
        <v>1629</v>
      </c>
      <c r="G75" s="60" t="s">
        <v>7</v>
      </c>
      <c r="H75" s="61">
        <v>19.416666666666668</v>
      </c>
      <c r="I75" s="61">
        <v>19.416666666666668</v>
      </c>
      <c r="J75" s="62"/>
      <c r="K75" s="63" t="s">
        <v>1722</v>
      </c>
      <c r="L75" s="64" t="s">
        <v>1197</v>
      </c>
      <c r="M75" s="64" t="s">
        <v>1275</v>
      </c>
    </row>
    <row r="76" spans="1:13" s="65" customFormat="1" ht="12" customHeight="1" x14ac:dyDescent="0.2">
      <c r="A76" s="78">
        <v>220345</v>
      </c>
      <c r="B76" s="69" t="s">
        <v>129</v>
      </c>
      <c r="C76" s="60" t="s">
        <v>1196</v>
      </c>
      <c r="D76" s="66" t="s">
        <v>1197</v>
      </c>
      <c r="E76" s="66" t="s">
        <v>1276</v>
      </c>
      <c r="F76" s="66" t="s">
        <v>1630</v>
      </c>
      <c r="G76" s="60" t="s">
        <v>8</v>
      </c>
      <c r="H76" s="61">
        <v>1.8673611111111112</v>
      </c>
      <c r="I76" s="61"/>
      <c r="J76" s="62">
        <v>1.8673611111111112</v>
      </c>
      <c r="K76" s="63" t="s">
        <v>1718</v>
      </c>
      <c r="L76" s="64" t="s">
        <v>1197</v>
      </c>
      <c r="M76" s="64" t="s">
        <v>1276</v>
      </c>
    </row>
    <row r="77" spans="1:13" s="65" customFormat="1" ht="12" customHeight="1" x14ac:dyDescent="0.2">
      <c r="A77" s="78">
        <v>220368</v>
      </c>
      <c r="B77" s="69" t="s">
        <v>130</v>
      </c>
      <c r="C77" s="60" t="s">
        <v>1196</v>
      </c>
      <c r="D77" s="66" t="s">
        <v>1205</v>
      </c>
      <c r="E77" s="66" t="s">
        <v>1277</v>
      </c>
      <c r="F77" s="66" t="s">
        <v>1631</v>
      </c>
      <c r="G77" s="60" t="s">
        <v>7</v>
      </c>
      <c r="H77" s="61">
        <v>1.5277777777777777E-2</v>
      </c>
      <c r="I77" s="61">
        <v>1.5277777777777777E-2</v>
      </c>
      <c r="J77" s="62"/>
      <c r="K77" s="63" t="s">
        <v>1723</v>
      </c>
      <c r="L77" s="64" t="s">
        <v>1205</v>
      </c>
      <c r="M77" s="64" t="s">
        <v>1277</v>
      </c>
    </row>
    <row r="78" spans="1:13" s="65" customFormat="1" ht="12" customHeight="1" x14ac:dyDescent="0.2">
      <c r="A78" s="78">
        <v>220568</v>
      </c>
      <c r="B78" s="69" t="s">
        <v>131</v>
      </c>
      <c r="C78" s="60" t="s">
        <v>1196</v>
      </c>
      <c r="D78" s="66" t="s">
        <v>1203</v>
      </c>
      <c r="E78" s="66" t="s">
        <v>1278</v>
      </c>
      <c r="F78" s="66" t="s">
        <v>1632</v>
      </c>
      <c r="G78" s="60" t="s">
        <v>8</v>
      </c>
      <c r="H78" s="61">
        <v>2.013888888888889E-2</v>
      </c>
      <c r="I78" s="61"/>
      <c r="J78" s="62">
        <v>2.013888888888889E-2</v>
      </c>
      <c r="K78" s="63" t="s">
        <v>1723</v>
      </c>
      <c r="L78" s="64" t="s">
        <v>1203</v>
      </c>
      <c r="M78" s="64" t="s">
        <v>1278</v>
      </c>
    </row>
    <row r="79" spans="1:13" s="65" customFormat="1" ht="12" customHeight="1" x14ac:dyDescent="0.2">
      <c r="A79" s="78">
        <v>220759</v>
      </c>
      <c r="B79" s="69" t="s">
        <v>132</v>
      </c>
      <c r="C79" s="60" t="s">
        <v>1196</v>
      </c>
      <c r="D79" s="66" t="s">
        <v>1197</v>
      </c>
      <c r="E79" s="66" t="s">
        <v>1232</v>
      </c>
      <c r="F79" s="66" t="s">
        <v>1600</v>
      </c>
      <c r="G79" s="60" t="s">
        <v>8</v>
      </c>
      <c r="H79" s="61">
        <v>0.62430555555555556</v>
      </c>
      <c r="I79" s="61"/>
      <c r="J79" s="62">
        <v>0.62430555555555556</v>
      </c>
      <c r="K79" s="63" t="s">
        <v>1723</v>
      </c>
      <c r="L79" s="64" t="s">
        <v>1197</v>
      </c>
      <c r="M79" s="64" t="s">
        <v>1232</v>
      </c>
    </row>
    <row r="80" spans="1:13" s="65" customFormat="1" ht="12" customHeight="1" x14ac:dyDescent="0.2">
      <c r="A80" s="78">
        <v>220809</v>
      </c>
      <c r="B80" s="69" t="s">
        <v>133</v>
      </c>
      <c r="C80" s="60" t="s">
        <v>1196</v>
      </c>
      <c r="D80" s="66" t="s">
        <v>1203</v>
      </c>
      <c r="E80" s="66" t="s">
        <v>1279</v>
      </c>
      <c r="F80" s="66" t="s">
        <v>1633</v>
      </c>
      <c r="G80" s="60" t="s">
        <v>7</v>
      </c>
      <c r="H80" s="61">
        <v>1.6888888888888891</v>
      </c>
      <c r="I80" s="61">
        <v>1.6888888888888891</v>
      </c>
      <c r="J80" s="62"/>
      <c r="K80" s="63" t="s">
        <v>1722</v>
      </c>
      <c r="L80" s="64" t="s">
        <v>1203</v>
      </c>
      <c r="M80" s="64" t="s">
        <v>1279</v>
      </c>
    </row>
    <row r="81" spans="1:13" s="65" customFormat="1" ht="12" customHeight="1" x14ac:dyDescent="0.2">
      <c r="A81" s="78">
        <v>220826</v>
      </c>
      <c r="B81" s="69" t="s">
        <v>134</v>
      </c>
      <c r="C81" s="60" t="s">
        <v>1196</v>
      </c>
      <c r="D81" s="66" t="s">
        <v>1197</v>
      </c>
      <c r="E81" s="66" t="s">
        <v>1266</v>
      </c>
      <c r="F81" s="66" t="s">
        <v>1624</v>
      </c>
      <c r="G81" s="60" t="s">
        <v>7</v>
      </c>
      <c r="H81" s="61">
        <v>0.94027777777777777</v>
      </c>
      <c r="I81" s="61">
        <v>0.94027777777777777</v>
      </c>
      <c r="J81" s="62"/>
      <c r="K81" s="63" t="s">
        <v>1722</v>
      </c>
      <c r="L81" s="64" t="s">
        <v>1197</v>
      </c>
      <c r="M81" s="64" t="s">
        <v>1266</v>
      </c>
    </row>
    <row r="82" spans="1:13" s="65" customFormat="1" ht="12" customHeight="1" x14ac:dyDescent="0.2">
      <c r="A82" s="78">
        <v>220870</v>
      </c>
      <c r="B82" s="69" t="s">
        <v>135</v>
      </c>
      <c r="C82" s="60" t="s">
        <v>1196</v>
      </c>
      <c r="D82" s="66" t="s">
        <v>1197</v>
      </c>
      <c r="E82" s="66" t="s">
        <v>1280</v>
      </c>
      <c r="F82" s="66" t="s">
        <v>1634</v>
      </c>
      <c r="G82" s="60" t="s">
        <v>7</v>
      </c>
      <c r="H82" s="61">
        <v>4.5180555555555557</v>
      </c>
      <c r="I82" s="61">
        <v>4.5180555555555557</v>
      </c>
      <c r="J82" s="62"/>
      <c r="K82" s="63" t="s">
        <v>1723</v>
      </c>
      <c r="L82" s="64" t="s">
        <v>1197</v>
      </c>
      <c r="M82" s="64" t="s">
        <v>1280</v>
      </c>
    </row>
    <row r="83" spans="1:13" s="65" customFormat="1" ht="12" customHeight="1" x14ac:dyDescent="0.2">
      <c r="A83" s="78">
        <v>220920</v>
      </c>
      <c r="B83" s="69" t="s">
        <v>136</v>
      </c>
      <c r="C83" s="60" t="s">
        <v>1196</v>
      </c>
      <c r="D83" s="66" t="s">
        <v>1199</v>
      </c>
      <c r="E83" s="66" t="s">
        <v>1281</v>
      </c>
      <c r="F83" s="66" t="s">
        <v>1635</v>
      </c>
      <c r="G83" s="60" t="s">
        <v>7</v>
      </c>
      <c r="H83" s="61">
        <v>0.16805555555555554</v>
      </c>
      <c r="I83" s="61">
        <v>0.16805555555555554</v>
      </c>
      <c r="J83" s="62"/>
      <c r="K83" s="63" t="s">
        <v>1723</v>
      </c>
      <c r="L83" s="64" t="s">
        <v>1199</v>
      </c>
      <c r="M83" s="64" t="s">
        <v>1281</v>
      </c>
    </row>
    <row r="84" spans="1:13" s="65" customFormat="1" ht="12" customHeight="1" x14ac:dyDescent="0.2">
      <c r="A84" s="78">
        <v>220933</v>
      </c>
      <c r="B84" s="69" t="s">
        <v>137</v>
      </c>
      <c r="C84" s="60" t="s">
        <v>1196</v>
      </c>
      <c r="D84" s="66" t="s">
        <v>1205</v>
      </c>
      <c r="E84" s="66" t="s">
        <v>1282</v>
      </c>
      <c r="F84" s="66" t="s">
        <v>1594</v>
      </c>
      <c r="G84" s="60" t="s">
        <v>8</v>
      </c>
      <c r="H84" s="61">
        <v>0.21805555555555556</v>
      </c>
      <c r="I84" s="61"/>
      <c r="J84" s="62">
        <v>0.21805555555555556</v>
      </c>
      <c r="K84" s="63" t="s">
        <v>1720</v>
      </c>
      <c r="L84" s="64" t="s">
        <v>1205</v>
      </c>
      <c r="M84" s="64" t="s">
        <v>1282</v>
      </c>
    </row>
    <row r="85" spans="1:13" s="65" customFormat="1" ht="12" customHeight="1" x14ac:dyDescent="0.2">
      <c r="A85" s="78">
        <v>220936</v>
      </c>
      <c r="B85" s="69" t="s">
        <v>138</v>
      </c>
      <c r="C85" s="60" t="s">
        <v>1196</v>
      </c>
      <c r="D85" s="66" t="s">
        <v>1197</v>
      </c>
      <c r="E85" s="66" t="s">
        <v>1266</v>
      </c>
      <c r="F85" s="66" t="s">
        <v>1624</v>
      </c>
      <c r="G85" s="60" t="s">
        <v>8</v>
      </c>
      <c r="H85" s="61">
        <v>0.1763888888888889</v>
      </c>
      <c r="I85" s="61"/>
      <c r="J85" s="62">
        <v>0.1763888888888889</v>
      </c>
      <c r="K85" s="63" t="s">
        <v>1723</v>
      </c>
      <c r="L85" s="64" t="s">
        <v>1197</v>
      </c>
      <c r="M85" s="64" t="s">
        <v>1266</v>
      </c>
    </row>
    <row r="86" spans="1:13" s="65" customFormat="1" ht="12" customHeight="1" x14ac:dyDescent="0.2">
      <c r="A86" s="78">
        <v>220996</v>
      </c>
      <c r="B86" s="69" t="s">
        <v>139</v>
      </c>
      <c r="C86" s="60" t="s">
        <v>1196</v>
      </c>
      <c r="D86" s="66" t="s">
        <v>1203</v>
      </c>
      <c r="E86" s="66" t="s">
        <v>1279</v>
      </c>
      <c r="F86" s="66" t="s">
        <v>1633</v>
      </c>
      <c r="G86" s="60" t="s">
        <v>7</v>
      </c>
      <c r="H86" s="61">
        <v>0.46458333333333335</v>
      </c>
      <c r="I86" s="61">
        <v>0.46458333333333335</v>
      </c>
      <c r="J86" s="62"/>
      <c r="K86" s="63" t="s">
        <v>1723</v>
      </c>
      <c r="L86" s="64" t="s">
        <v>1203</v>
      </c>
      <c r="M86" s="64" t="s">
        <v>1279</v>
      </c>
    </row>
    <row r="87" spans="1:13" s="65" customFormat="1" ht="12" customHeight="1" x14ac:dyDescent="0.2">
      <c r="A87" s="78">
        <v>221010</v>
      </c>
      <c r="B87" s="69" t="s">
        <v>140</v>
      </c>
      <c r="C87" s="60" t="s">
        <v>1196</v>
      </c>
      <c r="D87" s="66" t="s">
        <v>1197</v>
      </c>
      <c r="E87" s="66" t="s">
        <v>1283</v>
      </c>
      <c r="F87" s="66" t="s">
        <v>1636</v>
      </c>
      <c r="G87" s="60" t="s">
        <v>7</v>
      </c>
      <c r="H87" s="61">
        <v>6.5</v>
      </c>
      <c r="I87" s="61">
        <v>6.5</v>
      </c>
      <c r="J87" s="62"/>
      <c r="K87" s="63" t="s">
        <v>1723</v>
      </c>
      <c r="L87" s="64" t="s">
        <v>1197</v>
      </c>
      <c r="M87" s="64" t="s">
        <v>1283</v>
      </c>
    </row>
    <row r="88" spans="1:13" s="65" customFormat="1" ht="12" customHeight="1" x14ac:dyDescent="0.2">
      <c r="A88" s="78">
        <v>221016</v>
      </c>
      <c r="B88" s="69" t="s">
        <v>141</v>
      </c>
      <c r="C88" s="60" t="s">
        <v>1196</v>
      </c>
      <c r="D88" s="66" t="s">
        <v>1205</v>
      </c>
      <c r="E88" s="66" t="s">
        <v>1284</v>
      </c>
      <c r="F88" s="66" t="s">
        <v>1637</v>
      </c>
      <c r="G88" s="60" t="s">
        <v>7</v>
      </c>
      <c r="H88" s="61">
        <v>3.3416666666666668</v>
      </c>
      <c r="I88" s="61">
        <v>3.3416666666666668</v>
      </c>
      <c r="J88" s="62"/>
      <c r="K88" s="63" t="s">
        <v>1722</v>
      </c>
      <c r="L88" s="64" t="s">
        <v>1205</v>
      </c>
      <c r="M88" s="64" t="s">
        <v>1284</v>
      </c>
    </row>
    <row r="89" spans="1:13" s="65" customFormat="1" ht="12" customHeight="1" x14ac:dyDescent="0.2">
      <c r="A89" s="78">
        <v>221057</v>
      </c>
      <c r="B89" s="69" t="s">
        <v>142</v>
      </c>
      <c r="C89" s="60" t="s">
        <v>1196</v>
      </c>
      <c r="D89" s="66" t="s">
        <v>1204</v>
      </c>
      <c r="E89" s="66" t="s">
        <v>1235</v>
      </c>
      <c r="F89" s="66" t="s">
        <v>1602</v>
      </c>
      <c r="G89" s="60" t="s">
        <v>7</v>
      </c>
      <c r="H89" s="61">
        <v>3.5583333333333336</v>
      </c>
      <c r="I89" s="61">
        <v>3.5583333333333336</v>
      </c>
      <c r="J89" s="62"/>
      <c r="K89" s="63" t="s">
        <v>1723</v>
      </c>
      <c r="L89" s="64" t="s">
        <v>1204</v>
      </c>
      <c r="M89" s="64" t="s">
        <v>1235</v>
      </c>
    </row>
    <row r="90" spans="1:13" s="65" customFormat="1" ht="12" customHeight="1" x14ac:dyDescent="0.2">
      <c r="A90" s="78">
        <v>221149</v>
      </c>
      <c r="B90" s="69" t="s">
        <v>143</v>
      </c>
      <c r="C90" s="60" t="s">
        <v>1196</v>
      </c>
      <c r="D90" s="66" t="s">
        <v>1201</v>
      </c>
      <c r="E90" s="66" t="s">
        <v>1233</v>
      </c>
      <c r="F90" s="66" t="s">
        <v>1601</v>
      </c>
      <c r="G90" s="60" t="s">
        <v>7</v>
      </c>
      <c r="H90" s="61">
        <v>10.697916666666666</v>
      </c>
      <c r="I90" s="61">
        <v>10.697916666666666</v>
      </c>
      <c r="J90" s="62"/>
      <c r="K90" s="63" t="s">
        <v>1723</v>
      </c>
      <c r="L90" s="64" t="s">
        <v>1201</v>
      </c>
      <c r="M90" s="64" t="s">
        <v>1233</v>
      </c>
    </row>
    <row r="91" spans="1:13" s="65" customFormat="1" ht="12" customHeight="1" x14ac:dyDescent="0.2">
      <c r="A91" s="78">
        <v>221161</v>
      </c>
      <c r="B91" s="69" t="s">
        <v>144</v>
      </c>
      <c r="C91" s="60" t="s">
        <v>1196</v>
      </c>
      <c r="D91" s="66" t="s">
        <v>1205</v>
      </c>
      <c r="E91" s="66" t="s">
        <v>1285</v>
      </c>
      <c r="F91" s="66" t="s">
        <v>1594</v>
      </c>
      <c r="G91" s="60" t="s">
        <v>8</v>
      </c>
      <c r="H91" s="61">
        <v>0.18124999999999999</v>
      </c>
      <c r="I91" s="61"/>
      <c r="J91" s="62">
        <v>0.18124999999999999</v>
      </c>
      <c r="K91" s="63" t="s">
        <v>1719</v>
      </c>
      <c r="L91" s="64" t="s">
        <v>1205</v>
      </c>
      <c r="M91" s="64" t="s">
        <v>1285</v>
      </c>
    </row>
    <row r="92" spans="1:13" s="65" customFormat="1" ht="12" customHeight="1" x14ac:dyDescent="0.2">
      <c r="A92" s="78">
        <v>221494</v>
      </c>
      <c r="B92" s="69" t="s">
        <v>145</v>
      </c>
      <c r="C92" s="60" t="s">
        <v>1196</v>
      </c>
      <c r="D92" s="66" t="s">
        <v>1203</v>
      </c>
      <c r="E92" s="66" t="s">
        <v>1286</v>
      </c>
      <c r="F92" s="66" t="s">
        <v>1638</v>
      </c>
      <c r="G92" s="60" t="s">
        <v>8</v>
      </c>
      <c r="H92" s="61">
        <v>0.42152777777777778</v>
      </c>
      <c r="I92" s="61"/>
      <c r="J92" s="62">
        <v>0.42152777777777778</v>
      </c>
      <c r="K92" s="63" t="s">
        <v>1722</v>
      </c>
      <c r="L92" s="64" t="s">
        <v>1203</v>
      </c>
      <c r="M92" s="64" t="s">
        <v>1286</v>
      </c>
    </row>
    <row r="93" spans="1:13" s="65" customFormat="1" ht="12" customHeight="1" x14ac:dyDescent="0.2">
      <c r="A93" s="78">
        <v>221582</v>
      </c>
      <c r="B93" s="69" t="s">
        <v>146</v>
      </c>
      <c r="C93" s="60" t="s">
        <v>1196</v>
      </c>
      <c r="D93" s="66" t="s">
        <v>1202</v>
      </c>
      <c r="E93" s="66" t="s">
        <v>1287</v>
      </c>
      <c r="F93" s="66" t="s">
        <v>1590</v>
      </c>
      <c r="G93" s="60" t="s">
        <v>8</v>
      </c>
      <c r="H93" s="61">
        <v>0.32500000000000001</v>
      </c>
      <c r="I93" s="61"/>
      <c r="J93" s="62">
        <v>0.32500000000000001</v>
      </c>
      <c r="K93" s="63" t="s">
        <v>1720</v>
      </c>
      <c r="L93" s="64" t="s">
        <v>1202</v>
      </c>
      <c r="M93" s="64" t="s">
        <v>1287</v>
      </c>
    </row>
    <row r="94" spans="1:13" s="65" customFormat="1" ht="12" customHeight="1" x14ac:dyDescent="0.2">
      <c r="A94" s="78">
        <v>221590</v>
      </c>
      <c r="B94" s="69" t="s">
        <v>147</v>
      </c>
      <c r="C94" s="60" t="s">
        <v>1196</v>
      </c>
      <c r="D94" s="66" t="s">
        <v>1203</v>
      </c>
      <c r="E94" s="66" t="s">
        <v>1288</v>
      </c>
      <c r="F94" s="66" t="s">
        <v>1639</v>
      </c>
      <c r="G94" s="60" t="s">
        <v>8</v>
      </c>
      <c r="H94" s="61">
        <v>0.41944444444444445</v>
      </c>
      <c r="I94" s="61"/>
      <c r="J94" s="62">
        <v>0.41944444444444445</v>
      </c>
      <c r="K94" s="63" t="s">
        <v>1722</v>
      </c>
      <c r="L94" s="64" t="s">
        <v>1203</v>
      </c>
      <c r="M94" s="64" t="s">
        <v>1288</v>
      </c>
    </row>
    <row r="95" spans="1:13" s="65" customFormat="1" ht="12" customHeight="1" x14ac:dyDescent="0.2">
      <c r="A95" s="78">
        <v>221647</v>
      </c>
      <c r="B95" s="69" t="s">
        <v>148</v>
      </c>
      <c r="C95" s="60" t="s">
        <v>1196</v>
      </c>
      <c r="D95" s="66" t="s">
        <v>1205</v>
      </c>
      <c r="E95" s="66" t="s">
        <v>1289</v>
      </c>
      <c r="F95" s="66" t="s">
        <v>1640</v>
      </c>
      <c r="G95" s="60" t="s">
        <v>8</v>
      </c>
      <c r="H95" s="61">
        <v>0.13749999999999998</v>
      </c>
      <c r="I95" s="61"/>
      <c r="J95" s="62">
        <v>0.13749999999999998</v>
      </c>
      <c r="K95" s="63" t="s">
        <v>1722</v>
      </c>
      <c r="L95" s="64" t="s">
        <v>1205</v>
      </c>
      <c r="M95" s="64" t="s">
        <v>1289</v>
      </c>
    </row>
    <row r="96" spans="1:13" s="65" customFormat="1" ht="12" customHeight="1" x14ac:dyDescent="0.2">
      <c r="A96" s="78">
        <v>221650</v>
      </c>
      <c r="B96" s="69" t="s">
        <v>149</v>
      </c>
      <c r="C96" s="60" t="s">
        <v>1196</v>
      </c>
      <c r="D96" s="66" t="s">
        <v>1199</v>
      </c>
      <c r="E96" s="66" t="s">
        <v>1290</v>
      </c>
      <c r="F96" s="66" t="s">
        <v>1587</v>
      </c>
      <c r="G96" s="60" t="s">
        <v>7</v>
      </c>
      <c r="H96" s="61">
        <v>9.375E-2</v>
      </c>
      <c r="I96" s="61">
        <v>9.375E-2</v>
      </c>
      <c r="J96" s="62"/>
      <c r="K96" s="63" t="s">
        <v>1720</v>
      </c>
      <c r="L96" s="64" t="s">
        <v>1199</v>
      </c>
      <c r="M96" s="64" t="s">
        <v>1290</v>
      </c>
    </row>
    <row r="97" spans="1:13" s="65" customFormat="1" ht="12" customHeight="1" x14ac:dyDescent="0.2">
      <c r="A97" s="78">
        <v>221686</v>
      </c>
      <c r="B97" s="69" t="s">
        <v>150</v>
      </c>
      <c r="C97" s="60" t="s">
        <v>1196</v>
      </c>
      <c r="D97" s="66" t="s">
        <v>1202</v>
      </c>
      <c r="E97" s="66" t="s">
        <v>1291</v>
      </c>
      <c r="F97" s="66" t="s">
        <v>1641</v>
      </c>
      <c r="G97" s="60" t="s">
        <v>8</v>
      </c>
      <c r="H97" s="61">
        <v>0.30972222222222223</v>
      </c>
      <c r="I97" s="61"/>
      <c r="J97" s="62">
        <v>0.30972222222222223</v>
      </c>
      <c r="K97" s="63" t="s">
        <v>1723</v>
      </c>
      <c r="L97" s="64" t="s">
        <v>1202</v>
      </c>
      <c r="M97" s="64" t="s">
        <v>1291</v>
      </c>
    </row>
    <row r="98" spans="1:13" s="65" customFormat="1" ht="12" customHeight="1" x14ac:dyDescent="0.2">
      <c r="A98" s="78">
        <v>221865</v>
      </c>
      <c r="B98" s="69" t="s">
        <v>151</v>
      </c>
      <c r="C98" s="60" t="s">
        <v>1196</v>
      </c>
      <c r="D98" s="66" t="s">
        <v>1203</v>
      </c>
      <c r="E98" s="66" t="s">
        <v>1236</v>
      </c>
      <c r="F98" s="66" t="s">
        <v>1603</v>
      </c>
      <c r="G98" s="60" t="s">
        <v>7</v>
      </c>
      <c r="H98" s="61">
        <v>0.82500000000000007</v>
      </c>
      <c r="I98" s="61">
        <v>0.82500000000000007</v>
      </c>
      <c r="J98" s="62"/>
      <c r="K98" s="63" t="s">
        <v>1723</v>
      </c>
      <c r="L98" s="64" t="s">
        <v>1203</v>
      </c>
      <c r="M98" s="64" t="s">
        <v>1236</v>
      </c>
    </row>
    <row r="99" spans="1:13" s="65" customFormat="1" ht="12" customHeight="1" x14ac:dyDescent="0.2">
      <c r="A99" s="78">
        <v>221898</v>
      </c>
      <c r="B99" s="69" t="s">
        <v>152</v>
      </c>
      <c r="C99" s="60" t="s">
        <v>1196</v>
      </c>
      <c r="D99" s="66" t="s">
        <v>1199</v>
      </c>
      <c r="E99" s="66" t="s">
        <v>1274</v>
      </c>
      <c r="F99" s="66" t="s">
        <v>1628</v>
      </c>
      <c r="G99" s="60" t="s">
        <v>8</v>
      </c>
      <c r="H99" s="61">
        <v>0.13125000000000001</v>
      </c>
      <c r="I99" s="61"/>
      <c r="J99" s="62">
        <v>0.13125000000000001</v>
      </c>
      <c r="K99" s="63" t="s">
        <v>1723</v>
      </c>
      <c r="L99" s="64" t="s">
        <v>1199</v>
      </c>
      <c r="M99" s="64" t="s">
        <v>1274</v>
      </c>
    </row>
    <row r="100" spans="1:13" s="65" customFormat="1" ht="12" customHeight="1" x14ac:dyDescent="0.2">
      <c r="A100" s="78">
        <v>221964</v>
      </c>
      <c r="B100" s="69" t="s">
        <v>153</v>
      </c>
      <c r="C100" s="60" t="s">
        <v>1196</v>
      </c>
      <c r="D100" s="66" t="s">
        <v>1203</v>
      </c>
      <c r="E100" s="66" t="s">
        <v>1292</v>
      </c>
      <c r="F100" s="66" t="s">
        <v>1642</v>
      </c>
      <c r="G100" s="60" t="s">
        <v>7</v>
      </c>
      <c r="H100" s="61">
        <v>0.58402777777777781</v>
      </c>
      <c r="I100" s="61">
        <v>0.58402777777777781</v>
      </c>
      <c r="J100" s="62"/>
      <c r="K100" s="63" t="s">
        <v>1723</v>
      </c>
      <c r="L100" s="64" t="s">
        <v>1203</v>
      </c>
      <c r="M100" s="64" t="s">
        <v>1292</v>
      </c>
    </row>
    <row r="101" spans="1:13" s="65" customFormat="1" ht="12" customHeight="1" x14ac:dyDescent="0.2">
      <c r="A101" s="78">
        <v>222004</v>
      </c>
      <c r="B101" s="69" t="s">
        <v>154</v>
      </c>
      <c r="C101" s="60" t="s">
        <v>1196</v>
      </c>
      <c r="D101" s="66" t="s">
        <v>1203</v>
      </c>
      <c r="E101" s="66" t="s">
        <v>1293</v>
      </c>
      <c r="F101" s="66" t="s">
        <v>1643</v>
      </c>
      <c r="G101" s="60" t="s">
        <v>7</v>
      </c>
      <c r="H101" s="61">
        <v>0.55763888888888891</v>
      </c>
      <c r="I101" s="61">
        <v>0.55763888888888891</v>
      </c>
      <c r="J101" s="62"/>
      <c r="K101" s="63" t="s">
        <v>1723</v>
      </c>
      <c r="L101" s="64" t="s">
        <v>1203</v>
      </c>
      <c r="M101" s="64" t="s">
        <v>1293</v>
      </c>
    </row>
    <row r="102" spans="1:13" s="65" customFormat="1" ht="12" customHeight="1" x14ac:dyDescent="0.2">
      <c r="A102" s="78">
        <v>222018</v>
      </c>
      <c r="B102" s="69" t="s">
        <v>155</v>
      </c>
      <c r="C102" s="60" t="s">
        <v>1196</v>
      </c>
      <c r="D102" s="66" t="s">
        <v>1204</v>
      </c>
      <c r="E102" s="66" t="s">
        <v>1294</v>
      </c>
      <c r="F102" s="66" t="s">
        <v>1593</v>
      </c>
      <c r="G102" s="60" t="s">
        <v>8</v>
      </c>
      <c r="H102" s="61">
        <v>0.24861111111111112</v>
      </c>
      <c r="I102" s="61"/>
      <c r="J102" s="62">
        <v>0.24861111111111112</v>
      </c>
      <c r="K102" s="63" t="s">
        <v>1720</v>
      </c>
      <c r="L102" s="64" t="s">
        <v>1204</v>
      </c>
      <c r="M102" s="64" t="s">
        <v>1294</v>
      </c>
    </row>
    <row r="103" spans="1:13" s="65" customFormat="1" ht="12" customHeight="1" x14ac:dyDescent="0.2">
      <c r="A103" s="78">
        <v>222047</v>
      </c>
      <c r="B103" s="69" t="s">
        <v>156</v>
      </c>
      <c r="C103" s="60" t="s">
        <v>1196</v>
      </c>
      <c r="D103" s="66" t="s">
        <v>1202</v>
      </c>
      <c r="E103" s="66" t="s">
        <v>1295</v>
      </c>
      <c r="F103" s="66" t="s">
        <v>1644</v>
      </c>
      <c r="G103" s="60" t="s">
        <v>8</v>
      </c>
      <c r="H103" s="61">
        <v>0.80902777777777779</v>
      </c>
      <c r="I103" s="61"/>
      <c r="J103" s="62">
        <v>0.80902777777777779</v>
      </c>
      <c r="K103" s="63" t="s">
        <v>1718</v>
      </c>
      <c r="L103" s="64" t="s">
        <v>1202</v>
      </c>
      <c r="M103" s="64" t="s">
        <v>1295</v>
      </c>
    </row>
    <row r="104" spans="1:13" s="65" customFormat="1" ht="12" customHeight="1" x14ac:dyDescent="0.2">
      <c r="A104" s="78">
        <v>222048</v>
      </c>
      <c r="B104" s="69" t="s">
        <v>157</v>
      </c>
      <c r="C104" s="60" t="s">
        <v>1196</v>
      </c>
      <c r="D104" s="66" t="s">
        <v>1199</v>
      </c>
      <c r="E104" s="66" t="s">
        <v>1296</v>
      </c>
      <c r="F104" s="66" t="s">
        <v>1645</v>
      </c>
      <c r="G104" s="60" t="s">
        <v>7</v>
      </c>
      <c r="H104" s="61">
        <v>0.27152777777777776</v>
      </c>
      <c r="I104" s="61">
        <v>0.27152777777777776</v>
      </c>
      <c r="J104" s="62"/>
      <c r="K104" s="63" t="s">
        <v>1723</v>
      </c>
      <c r="L104" s="64" t="s">
        <v>1199</v>
      </c>
      <c r="M104" s="64" t="s">
        <v>1296</v>
      </c>
    </row>
    <row r="105" spans="1:13" s="65" customFormat="1" ht="12" customHeight="1" x14ac:dyDescent="0.2">
      <c r="A105" s="78">
        <v>222075</v>
      </c>
      <c r="B105" s="69" t="s">
        <v>158</v>
      </c>
      <c r="C105" s="60" t="s">
        <v>1196</v>
      </c>
      <c r="D105" s="66" t="s">
        <v>1200</v>
      </c>
      <c r="E105" s="66" t="s">
        <v>1263</v>
      </c>
      <c r="F105" s="66" t="s">
        <v>1622</v>
      </c>
      <c r="G105" s="60" t="s">
        <v>8</v>
      </c>
      <c r="H105" s="61">
        <v>0.8569444444444444</v>
      </c>
      <c r="I105" s="61"/>
      <c r="J105" s="62">
        <v>0.8569444444444444</v>
      </c>
      <c r="K105" s="63" t="s">
        <v>1723</v>
      </c>
      <c r="L105" s="64" t="s">
        <v>1200</v>
      </c>
      <c r="M105" s="64" t="s">
        <v>1263</v>
      </c>
    </row>
    <row r="106" spans="1:13" s="65" customFormat="1" ht="12" customHeight="1" x14ac:dyDescent="0.2">
      <c r="A106" s="78">
        <v>222225</v>
      </c>
      <c r="B106" s="69" t="s">
        <v>159</v>
      </c>
      <c r="C106" s="60" t="s">
        <v>1196</v>
      </c>
      <c r="D106" s="66" t="s">
        <v>1204</v>
      </c>
      <c r="E106" s="66" t="s">
        <v>1297</v>
      </c>
      <c r="F106" s="66" t="s">
        <v>1646</v>
      </c>
      <c r="G106" s="60" t="s">
        <v>7</v>
      </c>
      <c r="H106" s="61">
        <v>0.18958333333333333</v>
      </c>
      <c r="I106" s="61">
        <v>0.18958333333333333</v>
      </c>
      <c r="J106" s="62"/>
      <c r="K106" s="63" t="s">
        <v>1723</v>
      </c>
      <c r="L106" s="64" t="s">
        <v>1204</v>
      </c>
      <c r="M106" s="64" t="s">
        <v>1297</v>
      </c>
    </row>
    <row r="107" spans="1:13" s="65" customFormat="1" ht="12" customHeight="1" x14ac:dyDescent="0.2">
      <c r="A107" s="78">
        <v>222289</v>
      </c>
      <c r="B107" s="69" t="s">
        <v>160</v>
      </c>
      <c r="C107" s="60" t="s">
        <v>1196</v>
      </c>
      <c r="D107" s="66" t="s">
        <v>1205</v>
      </c>
      <c r="E107" s="66" t="s">
        <v>1298</v>
      </c>
      <c r="F107" s="66" t="s">
        <v>1647</v>
      </c>
      <c r="G107" s="60" t="s">
        <v>7</v>
      </c>
      <c r="H107" s="61">
        <v>12.44513888888889</v>
      </c>
      <c r="I107" s="61">
        <v>12.44513888888889</v>
      </c>
      <c r="J107" s="62"/>
      <c r="K107" s="63" t="s">
        <v>1723</v>
      </c>
      <c r="L107" s="64" t="s">
        <v>1205</v>
      </c>
      <c r="M107" s="64" t="s">
        <v>1298</v>
      </c>
    </row>
    <row r="108" spans="1:13" s="65" customFormat="1" ht="12" customHeight="1" x14ac:dyDescent="0.2">
      <c r="A108" s="78">
        <v>222376</v>
      </c>
      <c r="B108" s="69" t="s">
        <v>161</v>
      </c>
      <c r="C108" s="60" t="s">
        <v>1196</v>
      </c>
      <c r="D108" s="66" t="s">
        <v>1202</v>
      </c>
      <c r="E108" s="66" t="s">
        <v>1299</v>
      </c>
      <c r="F108" s="66" t="s">
        <v>1590</v>
      </c>
      <c r="G108" s="60" t="s">
        <v>8</v>
      </c>
      <c r="H108" s="61">
        <v>0.26458333333333334</v>
      </c>
      <c r="I108" s="61"/>
      <c r="J108" s="62">
        <v>0.26458333333333334</v>
      </c>
      <c r="K108" s="63" t="s">
        <v>1721</v>
      </c>
      <c r="L108" s="64" t="s">
        <v>1202</v>
      </c>
      <c r="M108" s="64" t="s">
        <v>1299</v>
      </c>
    </row>
    <row r="109" spans="1:13" s="65" customFormat="1" ht="12" customHeight="1" x14ac:dyDescent="0.2">
      <c r="A109" s="78">
        <v>222378</v>
      </c>
      <c r="B109" s="69" t="s">
        <v>162</v>
      </c>
      <c r="C109" s="60" t="s">
        <v>1196</v>
      </c>
      <c r="D109" s="66" t="s">
        <v>1203</v>
      </c>
      <c r="E109" s="66" t="s">
        <v>1300</v>
      </c>
      <c r="F109" s="66" t="s">
        <v>1648</v>
      </c>
      <c r="G109" s="60" t="s">
        <v>8</v>
      </c>
      <c r="H109" s="61">
        <v>0.27569444444444446</v>
      </c>
      <c r="I109" s="61"/>
      <c r="J109" s="62">
        <v>0.27569444444444446</v>
      </c>
      <c r="K109" s="63" t="s">
        <v>1723</v>
      </c>
      <c r="L109" s="64" t="s">
        <v>1203</v>
      </c>
      <c r="M109" s="64" t="s">
        <v>1300</v>
      </c>
    </row>
    <row r="110" spans="1:13" s="65" customFormat="1" ht="12" customHeight="1" x14ac:dyDescent="0.2">
      <c r="A110" s="78">
        <v>222380</v>
      </c>
      <c r="B110" s="69" t="s">
        <v>163</v>
      </c>
      <c r="C110" s="60" t="s">
        <v>1196</v>
      </c>
      <c r="D110" s="66" t="s">
        <v>1200</v>
      </c>
      <c r="E110" s="66" t="s">
        <v>1301</v>
      </c>
      <c r="F110" s="66" t="s">
        <v>1598</v>
      </c>
      <c r="G110" s="60" t="s">
        <v>8</v>
      </c>
      <c r="H110" s="61">
        <v>0.77986111111111101</v>
      </c>
      <c r="I110" s="61"/>
      <c r="J110" s="62">
        <v>0.77986111111111101</v>
      </c>
      <c r="K110" s="63" t="s">
        <v>1721</v>
      </c>
      <c r="L110" s="64" t="s">
        <v>1200</v>
      </c>
      <c r="M110" s="64" t="s">
        <v>1301</v>
      </c>
    </row>
    <row r="111" spans="1:13" s="65" customFormat="1" ht="12" customHeight="1" x14ac:dyDescent="0.2">
      <c r="A111" s="78">
        <v>222479</v>
      </c>
      <c r="B111" s="69" t="s">
        <v>164</v>
      </c>
      <c r="C111" s="60" t="s">
        <v>1196</v>
      </c>
      <c r="D111" s="66" t="s">
        <v>1203</v>
      </c>
      <c r="E111" s="66" t="s">
        <v>1236</v>
      </c>
      <c r="F111" s="66" t="s">
        <v>1603</v>
      </c>
      <c r="G111" s="60" t="s">
        <v>8</v>
      </c>
      <c r="H111" s="61">
        <v>9.1666666666666674E-2</v>
      </c>
      <c r="I111" s="61"/>
      <c r="J111" s="62">
        <v>9.1666666666666674E-2</v>
      </c>
      <c r="K111" s="63" t="s">
        <v>1723</v>
      </c>
      <c r="L111" s="64" t="s">
        <v>1203</v>
      </c>
      <c r="M111" s="64" t="s">
        <v>1236</v>
      </c>
    </row>
    <row r="112" spans="1:13" s="65" customFormat="1" ht="12" customHeight="1" x14ac:dyDescent="0.2">
      <c r="A112" s="78">
        <v>222487</v>
      </c>
      <c r="B112" s="69" t="s">
        <v>165</v>
      </c>
      <c r="C112" s="60" t="s">
        <v>1196</v>
      </c>
      <c r="D112" s="66" t="s">
        <v>1198</v>
      </c>
      <c r="E112" s="66" t="s">
        <v>1302</v>
      </c>
      <c r="F112" s="66" t="s">
        <v>1586</v>
      </c>
      <c r="G112" s="60" t="s">
        <v>7</v>
      </c>
      <c r="H112" s="61">
        <v>0.35138888888888892</v>
      </c>
      <c r="I112" s="61">
        <v>0.35138888888888892</v>
      </c>
      <c r="J112" s="62"/>
      <c r="K112" s="63" t="s">
        <v>1720</v>
      </c>
      <c r="L112" s="64" t="s">
        <v>1198</v>
      </c>
      <c r="M112" s="64" t="s">
        <v>1302</v>
      </c>
    </row>
    <row r="113" spans="1:13" s="65" customFormat="1" ht="12" customHeight="1" x14ac:dyDescent="0.2">
      <c r="A113" s="78">
        <v>222516</v>
      </c>
      <c r="B113" s="69" t="s">
        <v>166</v>
      </c>
      <c r="C113" s="60" t="s">
        <v>1196</v>
      </c>
      <c r="D113" s="66" t="s">
        <v>1198</v>
      </c>
      <c r="E113" s="66" t="s">
        <v>1303</v>
      </c>
      <c r="F113" s="66" t="s">
        <v>1649</v>
      </c>
      <c r="G113" s="60" t="s">
        <v>7</v>
      </c>
      <c r="H113" s="61">
        <v>0.24305555555555555</v>
      </c>
      <c r="I113" s="61">
        <v>0.24305555555555555</v>
      </c>
      <c r="J113" s="62"/>
      <c r="K113" s="63" t="s">
        <v>1722</v>
      </c>
      <c r="L113" s="64" t="s">
        <v>1198</v>
      </c>
      <c r="M113" s="64" t="s">
        <v>1303</v>
      </c>
    </row>
    <row r="114" spans="1:13" s="65" customFormat="1" ht="12" customHeight="1" x14ac:dyDescent="0.2">
      <c r="A114" s="78">
        <v>222524</v>
      </c>
      <c r="B114" s="69" t="s">
        <v>167</v>
      </c>
      <c r="C114" s="60" t="s">
        <v>1196</v>
      </c>
      <c r="D114" s="66" t="s">
        <v>1198</v>
      </c>
      <c r="E114" s="66" t="s">
        <v>1304</v>
      </c>
      <c r="F114" s="66" t="s">
        <v>1650</v>
      </c>
      <c r="G114" s="60" t="s">
        <v>8</v>
      </c>
      <c r="H114" s="61">
        <v>2.7777777777777776E-2</v>
      </c>
      <c r="I114" s="61"/>
      <c r="J114" s="62">
        <v>2.7777777777777776E-2</v>
      </c>
      <c r="K114" s="63" t="s">
        <v>1722</v>
      </c>
      <c r="L114" s="64" t="s">
        <v>1198</v>
      </c>
      <c r="M114" s="64" t="s">
        <v>1304</v>
      </c>
    </row>
    <row r="115" spans="1:13" s="65" customFormat="1" ht="12" customHeight="1" x14ac:dyDescent="0.2">
      <c r="A115" s="78">
        <v>222525</v>
      </c>
      <c r="B115" s="69" t="s">
        <v>168</v>
      </c>
      <c r="C115" s="60" t="s">
        <v>1196</v>
      </c>
      <c r="D115" s="66" t="s">
        <v>1198</v>
      </c>
      <c r="E115" s="66" t="s">
        <v>1305</v>
      </c>
      <c r="F115" s="66" t="s">
        <v>1651</v>
      </c>
      <c r="G115" s="60" t="s">
        <v>8</v>
      </c>
      <c r="H115" s="61">
        <v>0.5395833333333333</v>
      </c>
      <c r="I115" s="61"/>
      <c r="J115" s="62">
        <v>0.5395833333333333</v>
      </c>
      <c r="K115" s="63" t="s">
        <v>1723</v>
      </c>
      <c r="L115" s="64" t="s">
        <v>1198</v>
      </c>
      <c r="M115" s="64" t="s">
        <v>1305</v>
      </c>
    </row>
    <row r="116" spans="1:13" s="65" customFormat="1" ht="12" customHeight="1" x14ac:dyDescent="0.2">
      <c r="A116" s="78">
        <v>222543</v>
      </c>
      <c r="B116" s="69" t="s">
        <v>169</v>
      </c>
      <c r="C116" s="60" t="s">
        <v>1196</v>
      </c>
      <c r="D116" s="66" t="s">
        <v>1200</v>
      </c>
      <c r="E116" s="66" t="s">
        <v>1306</v>
      </c>
      <c r="F116" s="66" t="s">
        <v>1598</v>
      </c>
      <c r="G116" s="60" t="s">
        <v>8</v>
      </c>
      <c r="H116" s="61">
        <v>0.74930555555555556</v>
      </c>
      <c r="I116" s="61"/>
      <c r="J116" s="62">
        <v>0.74930555555555556</v>
      </c>
      <c r="K116" s="63" t="s">
        <v>1719</v>
      </c>
      <c r="L116" s="64" t="s">
        <v>1200</v>
      </c>
      <c r="M116" s="64" t="s">
        <v>1306</v>
      </c>
    </row>
    <row r="117" spans="1:13" s="65" customFormat="1" ht="12" customHeight="1" x14ac:dyDescent="0.2">
      <c r="A117" s="78">
        <v>222549</v>
      </c>
      <c r="B117" s="69" t="s">
        <v>170</v>
      </c>
      <c r="C117" s="60" t="s">
        <v>1196</v>
      </c>
      <c r="D117" s="66" t="s">
        <v>1199</v>
      </c>
      <c r="E117" s="66" t="s">
        <v>1307</v>
      </c>
      <c r="F117" s="66" t="s">
        <v>1596</v>
      </c>
      <c r="G117" s="60" t="s">
        <v>7</v>
      </c>
      <c r="H117" s="61">
        <v>0.34513888888888888</v>
      </c>
      <c r="I117" s="61">
        <v>0.34513888888888888</v>
      </c>
      <c r="J117" s="62"/>
      <c r="K117" s="63" t="s">
        <v>1718</v>
      </c>
      <c r="L117" s="64" t="s">
        <v>1199</v>
      </c>
      <c r="M117" s="64" t="s">
        <v>1307</v>
      </c>
    </row>
    <row r="118" spans="1:13" s="65" customFormat="1" ht="12" customHeight="1" x14ac:dyDescent="0.2">
      <c r="A118" s="78">
        <v>222565</v>
      </c>
      <c r="B118" s="69" t="s">
        <v>171</v>
      </c>
      <c r="C118" s="60" t="s">
        <v>1196</v>
      </c>
      <c r="D118" s="66" t="s">
        <v>1198</v>
      </c>
      <c r="E118" s="66" t="s">
        <v>1239</v>
      </c>
      <c r="F118" s="66" t="s">
        <v>1606</v>
      </c>
      <c r="G118" s="60" t="s">
        <v>8</v>
      </c>
      <c r="H118" s="61">
        <v>5.6250000000000001E-2</v>
      </c>
      <c r="I118" s="61"/>
      <c r="J118" s="62">
        <v>5.6250000000000001E-2</v>
      </c>
      <c r="K118" s="63" t="s">
        <v>1723</v>
      </c>
      <c r="L118" s="64" t="s">
        <v>1198</v>
      </c>
      <c r="M118" s="64" t="s">
        <v>1239</v>
      </c>
    </row>
    <row r="119" spans="1:13" s="65" customFormat="1" ht="12" customHeight="1" x14ac:dyDescent="0.2">
      <c r="A119" s="78">
        <v>222592</v>
      </c>
      <c r="B119" s="69" t="s">
        <v>172</v>
      </c>
      <c r="C119" s="60" t="s">
        <v>1196</v>
      </c>
      <c r="D119" s="66" t="s">
        <v>1203</v>
      </c>
      <c r="E119" s="66" t="s">
        <v>1286</v>
      </c>
      <c r="F119" s="66" t="s">
        <v>1638</v>
      </c>
      <c r="G119" s="60" t="s">
        <v>7</v>
      </c>
      <c r="H119" s="61">
        <v>0.46875</v>
      </c>
      <c r="I119" s="61">
        <v>0.46875</v>
      </c>
      <c r="J119" s="62"/>
      <c r="K119" s="63" t="s">
        <v>1724</v>
      </c>
      <c r="L119" s="64" t="s">
        <v>1203</v>
      </c>
      <c r="M119" s="64" t="s">
        <v>1286</v>
      </c>
    </row>
    <row r="120" spans="1:13" s="65" customFormat="1" ht="12" customHeight="1" x14ac:dyDescent="0.2">
      <c r="A120" s="78">
        <v>222657</v>
      </c>
      <c r="B120" s="69" t="s">
        <v>173</v>
      </c>
      <c r="C120" s="60" t="s">
        <v>1196</v>
      </c>
      <c r="D120" s="66" t="s">
        <v>1197</v>
      </c>
      <c r="E120" s="66" t="s">
        <v>1308</v>
      </c>
      <c r="F120" s="66" t="s">
        <v>1624</v>
      </c>
      <c r="G120" s="60" t="s">
        <v>7</v>
      </c>
      <c r="H120" s="61">
        <v>2.4666666666666668</v>
      </c>
      <c r="I120" s="61">
        <v>2.4666666666666668</v>
      </c>
      <c r="J120" s="62"/>
      <c r="K120" s="63" t="s">
        <v>1718</v>
      </c>
      <c r="L120" s="64" t="s">
        <v>1197</v>
      </c>
      <c r="M120" s="64" t="s">
        <v>1308</v>
      </c>
    </row>
    <row r="121" spans="1:13" s="65" customFormat="1" ht="12" customHeight="1" x14ac:dyDescent="0.2">
      <c r="A121" s="78">
        <v>222698</v>
      </c>
      <c r="B121" s="69" t="s">
        <v>174</v>
      </c>
      <c r="C121" s="60" t="s">
        <v>1196</v>
      </c>
      <c r="D121" s="66" t="s">
        <v>1198</v>
      </c>
      <c r="E121" s="66" t="s">
        <v>1309</v>
      </c>
      <c r="F121" s="66" t="s">
        <v>1651</v>
      </c>
      <c r="G121" s="60" t="s">
        <v>8</v>
      </c>
      <c r="H121" s="61">
        <v>0.90972222222222221</v>
      </c>
      <c r="I121" s="61"/>
      <c r="J121" s="62">
        <v>0.90972222222222221</v>
      </c>
      <c r="K121" s="63" t="s">
        <v>1718</v>
      </c>
      <c r="L121" s="64" t="s">
        <v>1198</v>
      </c>
      <c r="M121" s="64" t="s">
        <v>1309</v>
      </c>
    </row>
    <row r="122" spans="1:13" s="65" customFormat="1" ht="12" customHeight="1" x14ac:dyDescent="0.2">
      <c r="A122" s="78">
        <v>222715</v>
      </c>
      <c r="B122" s="69" t="s">
        <v>175</v>
      </c>
      <c r="C122" s="60" t="s">
        <v>1196</v>
      </c>
      <c r="D122" s="66" t="s">
        <v>1197</v>
      </c>
      <c r="E122" s="66" t="s">
        <v>1310</v>
      </c>
      <c r="F122" s="66" t="s">
        <v>1652</v>
      </c>
      <c r="G122" s="60" t="s">
        <v>8</v>
      </c>
      <c r="H122" s="61">
        <v>8.6111111111111124E-2</v>
      </c>
      <c r="I122" s="61"/>
      <c r="J122" s="62">
        <v>8.6111111111111124E-2</v>
      </c>
      <c r="K122" s="63" t="s">
        <v>1722</v>
      </c>
      <c r="L122" s="64" t="s">
        <v>1197</v>
      </c>
      <c r="M122" s="64" t="s">
        <v>1310</v>
      </c>
    </row>
    <row r="123" spans="1:13" s="65" customFormat="1" ht="12" customHeight="1" x14ac:dyDescent="0.2">
      <c r="A123" s="78">
        <v>222781</v>
      </c>
      <c r="B123" s="69" t="s">
        <v>176</v>
      </c>
      <c r="C123" s="60" t="s">
        <v>1196</v>
      </c>
      <c r="D123" s="66" t="s">
        <v>1198</v>
      </c>
      <c r="E123" s="66" t="s">
        <v>1305</v>
      </c>
      <c r="F123" s="66" t="s">
        <v>1651</v>
      </c>
      <c r="G123" s="60" t="s">
        <v>8</v>
      </c>
      <c r="H123" s="61">
        <v>0.46319444444444446</v>
      </c>
      <c r="I123" s="61"/>
      <c r="J123" s="62">
        <v>0.46319444444444446</v>
      </c>
      <c r="K123" s="63" t="s">
        <v>1723</v>
      </c>
      <c r="L123" s="64" t="s">
        <v>1198</v>
      </c>
      <c r="M123" s="64" t="s">
        <v>1305</v>
      </c>
    </row>
    <row r="124" spans="1:13" s="65" customFormat="1" ht="12" customHeight="1" x14ac:dyDescent="0.2">
      <c r="A124" s="78">
        <v>222800</v>
      </c>
      <c r="B124" s="69" t="s">
        <v>177</v>
      </c>
      <c r="C124" s="60" t="s">
        <v>1196</v>
      </c>
      <c r="D124" s="66" t="s">
        <v>1203</v>
      </c>
      <c r="E124" s="66" t="s">
        <v>1311</v>
      </c>
      <c r="F124" s="66" t="s">
        <v>1632</v>
      </c>
      <c r="G124" s="60" t="s">
        <v>8</v>
      </c>
      <c r="H124" s="61">
        <v>0.52847222222222223</v>
      </c>
      <c r="I124" s="61"/>
      <c r="J124" s="62">
        <v>0.52847222222222223</v>
      </c>
      <c r="K124" s="63" t="s">
        <v>1718</v>
      </c>
      <c r="L124" s="64" t="s">
        <v>1203</v>
      </c>
      <c r="M124" s="64" t="s">
        <v>1311</v>
      </c>
    </row>
    <row r="125" spans="1:13" s="65" customFormat="1" ht="12" customHeight="1" x14ac:dyDescent="0.2">
      <c r="A125" s="78">
        <v>222842</v>
      </c>
      <c r="B125" s="69" t="s">
        <v>178</v>
      </c>
      <c r="C125" s="60" t="s">
        <v>1196</v>
      </c>
      <c r="D125" s="66" t="s">
        <v>1200</v>
      </c>
      <c r="E125" s="66" t="s">
        <v>1213</v>
      </c>
      <c r="F125" s="66" t="s">
        <v>1588</v>
      </c>
      <c r="G125" s="60" t="s">
        <v>8</v>
      </c>
      <c r="H125" s="61">
        <v>0.41875000000000001</v>
      </c>
      <c r="I125" s="61"/>
      <c r="J125" s="62">
        <v>0.41875000000000001</v>
      </c>
      <c r="K125" s="63" t="s">
        <v>1718</v>
      </c>
      <c r="L125" s="64" t="s">
        <v>1200</v>
      </c>
      <c r="M125" s="64" t="s">
        <v>1213</v>
      </c>
    </row>
    <row r="126" spans="1:13" s="65" customFormat="1" ht="12" customHeight="1" x14ac:dyDescent="0.2">
      <c r="A126" s="78">
        <v>222847</v>
      </c>
      <c r="B126" s="69" t="s">
        <v>179</v>
      </c>
      <c r="C126" s="60" t="s">
        <v>1196</v>
      </c>
      <c r="D126" s="66" t="s">
        <v>1200</v>
      </c>
      <c r="E126" s="66" t="s">
        <v>1213</v>
      </c>
      <c r="F126" s="66" t="s">
        <v>1588</v>
      </c>
      <c r="G126" s="60" t="s">
        <v>7</v>
      </c>
      <c r="H126" s="61">
        <v>0.27708333333333335</v>
      </c>
      <c r="I126" s="61">
        <v>0.27708333333333335</v>
      </c>
      <c r="J126" s="62"/>
      <c r="K126" s="63" t="s">
        <v>1718</v>
      </c>
      <c r="L126" s="64" t="s">
        <v>1200</v>
      </c>
      <c r="M126" s="64" t="s">
        <v>1213</v>
      </c>
    </row>
    <row r="127" spans="1:13" s="65" customFormat="1" ht="12" customHeight="1" x14ac:dyDescent="0.2">
      <c r="A127" s="78">
        <v>222848</v>
      </c>
      <c r="B127" s="69" t="s">
        <v>180</v>
      </c>
      <c r="C127" s="60" t="s">
        <v>1196</v>
      </c>
      <c r="D127" s="66" t="s">
        <v>1197</v>
      </c>
      <c r="E127" s="66" t="s">
        <v>1312</v>
      </c>
      <c r="F127" s="66" t="s">
        <v>1600</v>
      </c>
      <c r="G127" s="60" t="s">
        <v>8</v>
      </c>
      <c r="H127" s="61">
        <v>0.21458333333333335</v>
      </c>
      <c r="I127" s="61"/>
      <c r="J127" s="62">
        <v>0.21458333333333335</v>
      </c>
      <c r="K127" s="63" t="s">
        <v>1718</v>
      </c>
      <c r="L127" s="64" t="s">
        <v>1197</v>
      </c>
      <c r="M127" s="64" t="s">
        <v>1312</v>
      </c>
    </row>
    <row r="128" spans="1:13" s="65" customFormat="1" ht="12" customHeight="1" x14ac:dyDescent="0.2">
      <c r="A128" s="78">
        <v>222869</v>
      </c>
      <c r="B128" s="69" t="s">
        <v>181</v>
      </c>
      <c r="C128" s="60" t="s">
        <v>1196</v>
      </c>
      <c r="D128" s="66" t="s">
        <v>1198</v>
      </c>
      <c r="E128" s="66" t="s">
        <v>1303</v>
      </c>
      <c r="F128" s="66" t="s">
        <v>1649</v>
      </c>
      <c r="G128" s="60" t="s">
        <v>8</v>
      </c>
      <c r="H128" s="61">
        <v>0.24722222222222223</v>
      </c>
      <c r="I128" s="61"/>
      <c r="J128" s="62">
        <v>0.24722222222222223</v>
      </c>
      <c r="K128" s="63" t="s">
        <v>1723</v>
      </c>
      <c r="L128" s="64" t="s">
        <v>1198</v>
      </c>
      <c r="M128" s="64" t="s">
        <v>1303</v>
      </c>
    </row>
    <row r="129" spans="1:13" s="65" customFormat="1" ht="12" customHeight="1" x14ac:dyDescent="0.2">
      <c r="A129" s="78">
        <v>222890</v>
      </c>
      <c r="B129" s="69" t="s">
        <v>182</v>
      </c>
      <c r="C129" s="60" t="s">
        <v>1196</v>
      </c>
      <c r="D129" s="66" t="s">
        <v>1200</v>
      </c>
      <c r="E129" s="66" t="s">
        <v>1313</v>
      </c>
      <c r="F129" s="66" t="s">
        <v>1598</v>
      </c>
      <c r="G129" s="60" t="s">
        <v>8</v>
      </c>
      <c r="H129" s="61">
        <v>1.5</v>
      </c>
      <c r="I129" s="61"/>
      <c r="J129" s="62">
        <v>1.5</v>
      </c>
      <c r="K129" s="63" t="s">
        <v>1721</v>
      </c>
      <c r="L129" s="64" t="s">
        <v>1200</v>
      </c>
      <c r="M129" s="64" t="s">
        <v>1313</v>
      </c>
    </row>
    <row r="130" spans="1:13" s="65" customFormat="1" ht="12" customHeight="1" x14ac:dyDescent="0.2">
      <c r="A130" s="78">
        <v>222895</v>
      </c>
      <c r="B130" s="69" t="s">
        <v>183</v>
      </c>
      <c r="C130" s="60" t="s">
        <v>1196</v>
      </c>
      <c r="D130" s="66" t="s">
        <v>1200</v>
      </c>
      <c r="E130" s="66" t="s">
        <v>1314</v>
      </c>
      <c r="F130" s="66" t="s">
        <v>1653</v>
      </c>
      <c r="G130" s="60" t="s">
        <v>8</v>
      </c>
      <c r="H130" s="61">
        <v>6.2499999999999995E-3</v>
      </c>
      <c r="I130" s="61"/>
      <c r="J130" s="62">
        <v>6.2499999999999995E-3</v>
      </c>
      <c r="K130" s="63" t="s">
        <v>1718</v>
      </c>
      <c r="L130" s="64" t="s">
        <v>1200</v>
      </c>
      <c r="M130" s="64" t="s">
        <v>1314</v>
      </c>
    </row>
    <row r="131" spans="1:13" s="65" customFormat="1" ht="12" customHeight="1" x14ac:dyDescent="0.2">
      <c r="A131" s="78">
        <v>222928</v>
      </c>
      <c r="B131" s="69" t="s">
        <v>184</v>
      </c>
      <c r="C131" s="60" t="s">
        <v>1196</v>
      </c>
      <c r="D131" s="66" t="s">
        <v>1200</v>
      </c>
      <c r="E131" s="66" t="s">
        <v>1314</v>
      </c>
      <c r="F131" s="66" t="s">
        <v>1653</v>
      </c>
      <c r="G131" s="60" t="s">
        <v>8</v>
      </c>
      <c r="H131" s="61">
        <v>0.30624999999999997</v>
      </c>
      <c r="I131" s="61"/>
      <c r="J131" s="62">
        <v>0.30624999999999997</v>
      </c>
      <c r="K131" s="63" t="s">
        <v>1718</v>
      </c>
      <c r="L131" s="64" t="s">
        <v>1200</v>
      </c>
      <c r="M131" s="64" t="s">
        <v>1314</v>
      </c>
    </row>
    <row r="132" spans="1:13" s="65" customFormat="1" ht="12" customHeight="1" x14ac:dyDescent="0.2">
      <c r="A132" s="78">
        <v>222964</v>
      </c>
      <c r="B132" s="69" t="s">
        <v>185</v>
      </c>
      <c r="C132" s="60" t="s">
        <v>1196</v>
      </c>
      <c r="D132" s="66" t="s">
        <v>1199</v>
      </c>
      <c r="E132" s="66" t="s">
        <v>1315</v>
      </c>
      <c r="F132" s="66" t="s">
        <v>1635</v>
      </c>
      <c r="G132" s="60" t="s">
        <v>7</v>
      </c>
      <c r="H132" s="61">
        <v>0.90555555555555556</v>
      </c>
      <c r="I132" s="61">
        <v>0.90555555555555556</v>
      </c>
      <c r="J132" s="62"/>
      <c r="K132" s="63" t="s">
        <v>1718</v>
      </c>
      <c r="L132" s="64" t="s">
        <v>1199</v>
      </c>
      <c r="M132" s="64" t="s">
        <v>1315</v>
      </c>
    </row>
    <row r="133" spans="1:13" s="65" customFormat="1" ht="12" customHeight="1" x14ac:dyDescent="0.2">
      <c r="A133" s="78">
        <v>222968</v>
      </c>
      <c r="B133" s="69" t="s">
        <v>186</v>
      </c>
      <c r="C133" s="60" t="s">
        <v>1196</v>
      </c>
      <c r="D133" s="66" t="s">
        <v>1197</v>
      </c>
      <c r="E133" s="66" t="s">
        <v>1316</v>
      </c>
      <c r="F133" s="66" t="s">
        <v>1629</v>
      </c>
      <c r="G133" s="60" t="s">
        <v>7</v>
      </c>
      <c r="H133" s="61">
        <v>0.97430555555555554</v>
      </c>
      <c r="I133" s="61">
        <v>0.97430555555555554</v>
      </c>
      <c r="J133" s="62"/>
      <c r="K133" s="63" t="s">
        <v>1718</v>
      </c>
      <c r="L133" s="64" t="s">
        <v>1197</v>
      </c>
      <c r="M133" s="64" t="s">
        <v>1316</v>
      </c>
    </row>
    <row r="134" spans="1:13" s="65" customFormat="1" ht="12" customHeight="1" x14ac:dyDescent="0.2">
      <c r="A134" s="78">
        <v>222975</v>
      </c>
      <c r="B134" s="69" t="s">
        <v>187</v>
      </c>
      <c r="C134" s="60" t="s">
        <v>1196</v>
      </c>
      <c r="D134" s="66" t="s">
        <v>1202</v>
      </c>
      <c r="E134" s="66" t="s">
        <v>1317</v>
      </c>
      <c r="F134" s="66" t="s">
        <v>1590</v>
      </c>
      <c r="G134" s="60" t="s">
        <v>7</v>
      </c>
      <c r="H134" s="61">
        <v>0.15</v>
      </c>
      <c r="I134" s="61">
        <v>0.15</v>
      </c>
      <c r="J134" s="62"/>
      <c r="K134" s="63" t="s">
        <v>1720</v>
      </c>
      <c r="L134" s="64" t="s">
        <v>1202</v>
      </c>
      <c r="M134" s="64" t="s">
        <v>1317</v>
      </c>
    </row>
    <row r="135" spans="1:13" s="65" customFormat="1" ht="12" customHeight="1" x14ac:dyDescent="0.2">
      <c r="A135" s="78">
        <v>222978</v>
      </c>
      <c r="B135" s="69" t="s">
        <v>188</v>
      </c>
      <c r="C135" s="60" t="s">
        <v>1196</v>
      </c>
      <c r="D135" s="66" t="s">
        <v>1203</v>
      </c>
      <c r="E135" s="66" t="s">
        <v>1318</v>
      </c>
      <c r="F135" s="66" t="s">
        <v>1633</v>
      </c>
      <c r="G135" s="60" t="s">
        <v>8</v>
      </c>
      <c r="H135" s="61">
        <v>0.69652777777777775</v>
      </c>
      <c r="I135" s="61"/>
      <c r="J135" s="62">
        <v>0.69652777777777775</v>
      </c>
      <c r="K135" s="63" t="s">
        <v>1718</v>
      </c>
      <c r="L135" s="64" t="s">
        <v>1203</v>
      </c>
      <c r="M135" s="64" t="s">
        <v>1318</v>
      </c>
    </row>
    <row r="136" spans="1:13" s="65" customFormat="1" ht="12" customHeight="1" x14ac:dyDescent="0.2">
      <c r="A136" s="78">
        <v>222991</v>
      </c>
      <c r="B136" s="69" t="s">
        <v>189</v>
      </c>
      <c r="C136" s="60" t="s">
        <v>1196</v>
      </c>
      <c r="D136" s="66" t="s">
        <v>1205</v>
      </c>
      <c r="E136" s="66" t="s">
        <v>1298</v>
      </c>
      <c r="F136" s="66" t="s">
        <v>1647</v>
      </c>
      <c r="G136" s="60" t="s">
        <v>7</v>
      </c>
      <c r="H136" s="61">
        <v>5.4069444444444441</v>
      </c>
      <c r="I136" s="61">
        <v>5.4069444444444441</v>
      </c>
      <c r="J136" s="62"/>
      <c r="K136" s="63" t="s">
        <v>1723</v>
      </c>
      <c r="L136" s="64" t="s">
        <v>1205</v>
      </c>
      <c r="M136" s="64" t="s">
        <v>1298</v>
      </c>
    </row>
    <row r="137" spans="1:13" s="65" customFormat="1" ht="12" customHeight="1" x14ac:dyDescent="0.2">
      <c r="A137" s="78">
        <v>223004</v>
      </c>
      <c r="B137" s="69" t="s">
        <v>190</v>
      </c>
      <c r="C137" s="60" t="s">
        <v>1196</v>
      </c>
      <c r="D137" s="66" t="s">
        <v>1202</v>
      </c>
      <c r="E137" s="66" t="s">
        <v>1319</v>
      </c>
      <c r="F137" s="66" t="s">
        <v>1654</v>
      </c>
      <c r="G137" s="60" t="s">
        <v>7</v>
      </c>
      <c r="H137" s="61">
        <v>8.1944444444444445E-2</v>
      </c>
      <c r="I137" s="61">
        <v>8.1944444444444445E-2</v>
      </c>
      <c r="J137" s="62"/>
      <c r="K137" s="63" t="s">
        <v>1722</v>
      </c>
      <c r="L137" s="64" t="s">
        <v>1202</v>
      </c>
      <c r="M137" s="64" t="s">
        <v>1319</v>
      </c>
    </row>
    <row r="138" spans="1:13" s="65" customFormat="1" ht="12" customHeight="1" x14ac:dyDescent="0.2">
      <c r="A138" s="78">
        <v>223024</v>
      </c>
      <c r="B138" s="69" t="s">
        <v>191</v>
      </c>
      <c r="C138" s="60" t="s">
        <v>1196</v>
      </c>
      <c r="D138" s="66" t="s">
        <v>1198</v>
      </c>
      <c r="E138" s="66" t="s">
        <v>1320</v>
      </c>
      <c r="F138" s="66" t="s">
        <v>1655</v>
      </c>
      <c r="G138" s="60" t="s">
        <v>8</v>
      </c>
      <c r="H138" s="61">
        <v>1.023611111111111</v>
      </c>
      <c r="I138" s="61"/>
      <c r="J138" s="62">
        <v>1.023611111111111</v>
      </c>
      <c r="K138" s="63" t="s">
        <v>1718</v>
      </c>
      <c r="L138" s="64" t="s">
        <v>1198</v>
      </c>
      <c r="M138" s="64" t="s">
        <v>1320</v>
      </c>
    </row>
    <row r="139" spans="1:13" s="65" customFormat="1" ht="12" customHeight="1" x14ac:dyDescent="0.2">
      <c r="A139" s="78">
        <v>223055</v>
      </c>
      <c r="B139" s="69" t="s">
        <v>192</v>
      </c>
      <c r="C139" s="60" t="s">
        <v>1196</v>
      </c>
      <c r="D139" s="66" t="s">
        <v>1204</v>
      </c>
      <c r="E139" s="66" t="s">
        <v>1321</v>
      </c>
      <c r="F139" s="66" t="s">
        <v>1656</v>
      </c>
      <c r="G139" s="60" t="s">
        <v>7</v>
      </c>
      <c r="H139" s="61">
        <v>0.8125</v>
      </c>
      <c r="I139" s="61">
        <v>0.8125</v>
      </c>
      <c r="J139" s="62"/>
      <c r="K139" s="63" t="s">
        <v>1718</v>
      </c>
      <c r="L139" s="64" t="s">
        <v>1204</v>
      </c>
      <c r="M139" s="64" t="s">
        <v>1321</v>
      </c>
    </row>
    <row r="140" spans="1:13" s="65" customFormat="1" ht="12" customHeight="1" x14ac:dyDescent="0.2">
      <c r="A140" s="78">
        <v>223069</v>
      </c>
      <c r="B140" s="69" t="s">
        <v>193</v>
      </c>
      <c r="C140" s="60" t="s">
        <v>1196</v>
      </c>
      <c r="D140" s="66" t="s">
        <v>1200</v>
      </c>
      <c r="E140" s="66" t="s">
        <v>1322</v>
      </c>
      <c r="F140" s="66" t="s">
        <v>1653</v>
      </c>
      <c r="G140" s="60" t="s">
        <v>8</v>
      </c>
      <c r="H140" s="61">
        <v>6.9444444444444441E-3</v>
      </c>
      <c r="I140" s="61"/>
      <c r="J140" s="62">
        <v>6.9444444444444441E-3</v>
      </c>
      <c r="K140" s="63" t="s">
        <v>1723</v>
      </c>
      <c r="L140" s="64" t="s">
        <v>1200</v>
      </c>
      <c r="M140" s="64" t="s">
        <v>1322</v>
      </c>
    </row>
    <row r="141" spans="1:13" s="65" customFormat="1" ht="12" customHeight="1" x14ac:dyDescent="0.2">
      <c r="A141" s="78">
        <v>223095</v>
      </c>
      <c r="B141" s="69" t="s">
        <v>194</v>
      </c>
      <c r="C141" s="60" t="s">
        <v>1196</v>
      </c>
      <c r="D141" s="66" t="s">
        <v>1200</v>
      </c>
      <c r="E141" s="66" t="s">
        <v>1213</v>
      </c>
      <c r="F141" s="66" t="s">
        <v>1588</v>
      </c>
      <c r="G141" s="60" t="s">
        <v>8</v>
      </c>
      <c r="H141" s="61">
        <v>0.24583333333333335</v>
      </c>
      <c r="I141" s="61"/>
      <c r="J141" s="62">
        <v>0.24583333333333335</v>
      </c>
      <c r="K141" s="63" t="s">
        <v>1718</v>
      </c>
      <c r="L141" s="64" t="s">
        <v>1200</v>
      </c>
      <c r="M141" s="64" t="s">
        <v>1213</v>
      </c>
    </row>
    <row r="142" spans="1:13" s="65" customFormat="1" ht="12" customHeight="1" x14ac:dyDescent="0.2">
      <c r="A142" s="78">
        <v>223182</v>
      </c>
      <c r="B142" s="69" t="s">
        <v>195</v>
      </c>
      <c r="C142" s="60" t="s">
        <v>1196</v>
      </c>
      <c r="D142" s="66" t="s">
        <v>1199</v>
      </c>
      <c r="E142" s="66" t="s">
        <v>1323</v>
      </c>
      <c r="F142" s="66" t="s">
        <v>1657</v>
      </c>
      <c r="G142" s="60" t="s">
        <v>7</v>
      </c>
      <c r="H142" s="61">
        <v>0.6430555555555556</v>
      </c>
      <c r="I142" s="61">
        <v>0.6430555555555556</v>
      </c>
      <c r="J142" s="62"/>
      <c r="K142" s="63" t="s">
        <v>1718</v>
      </c>
      <c r="L142" s="64" t="s">
        <v>1199</v>
      </c>
      <c r="M142" s="64" t="s">
        <v>1323</v>
      </c>
    </row>
    <row r="143" spans="1:13" s="65" customFormat="1" ht="12" customHeight="1" x14ac:dyDescent="0.2">
      <c r="A143" s="78">
        <v>223207</v>
      </c>
      <c r="B143" s="69" t="s">
        <v>196</v>
      </c>
      <c r="C143" s="60" t="s">
        <v>1196</v>
      </c>
      <c r="D143" s="66" t="s">
        <v>1205</v>
      </c>
      <c r="E143" s="66" t="s">
        <v>1324</v>
      </c>
      <c r="F143" s="66" t="s">
        <v>1658</v>
      </c>
      <c r="G143" s="60" t="s">
        <v>8</v>
      </c>
      <c r="H143" s="61">
        <v>0.62430555555555556</v>
      </c>
      <c r="I143" s="61"/>
      <c r="J143" s="62">
        <v>0.62430555555555556</v>
      </c>
      <c r="K143" s="63" t="s">
        <v>1718</v>
      </c>
      <c r="L143" s="64" t="s">
        <v>1205</v>
      </c>
      <c r="M143" s="64" t="s">
        <v>1324</v>
      </c>
    </row>
    <row r="144" spans="1:13" s="65" customFormat="1" ht="12" customHeight="1" x14ac:dyDescent="0.2">
      <c r="A144" s="78">
        <v>223219</v>
      </c>
      <c r="B144" s="69" t="s">
        <v>197</v>
      </c>
      <c r="C144" s="60" t="s">
        <v>1196</v>
      </c>
      <c r="D144" s="66" t="s">
        <v>1205</v>
      </c>
      <c r="E144" s="66" t="s">
        <v>1324</v>
      </c>
      <c r="F144" s="66" t="s">
        <v>1658</v>
      </c>
      <c r="G144" s="60" t="s">
        <v>7</v>
      </c>
      <c r="H144" s="61">
        <v>12.997916666666667</v>
      </c>
      <c r="I144" s="61">
        <v>12.997916666666667</v>
      </c>
      <c r="J144" s="62"/>
      <c r="K144" s="63" t="s">
        <v>1718</v>
      </c>
      <c r="L144" s="64" t="s">
        <v>1205</v>
      </c>
      <c r="M144" s="64" t="s">
        <v>1324</v>
      </c>
    </row>
    <row r="145" spans="1:13" s="65" customFormat="1" ht="12" customHeight="1" x14ac:dyDescent="0.2">
      <c r="A145" s="78">
        <v>223220</v>
      </c>
      <c r="B145" s="69" t="s">
        <v>198</v>
      </c>
      <c r="C145" s="60" t="s">
        <v>1196</v>
      </c>
      <c r="D145" s="66" t="s">
        <v>1202</v>
      </c>
      <c r="E145" s="66" t="s">
        <v>1325</v>
      </c>
      <c r="F145" s="66" t="s">
        <v>1659</v>
      </c>
      <c r="G145" s="60" t="s">
        <v>8</v>
      </c>
      <c r="H145" s="61">
        <v>1.3590277777777777</v>
      </c>
      <c r="I145" s="61"/>
      <c r="J145" s="62">
        <v>1.3590277777777777</v>
      </c>
      <c r="K145" s="63" t="s">
        <v>1723</v>
      </c>
      <c r="L145" s="64" t="s">
        <v>1202</v>
      </c>
      <c r="M145" s="64" t="s">
        <v>1325</v>
      </c>
    </row>
    <row r="146" spans="1:13" s="65" customFormat="1" ht="12" customHeight="1" x14ac:dyDescent="0.2">
      <c r="A146" s="78">
        <v>223224</v>
      </c>
      <c r="B146" s="69" t="s">
        <v>199</v>
      </c>
      <c r="C146" s="60" t="s">
        <v>1196</v>
      </c>
      <c r="D146" s="66" t="s">
        <v>1201</v>
      </c>
      <c r="E146" s="66" t="s">
        <v>1326</v>
      </c>
      <c r="F146" s="66" t="s">
        <v>1608</v>
      </c>
      <c r="G146" s="60" t="s">
        <v>7</v>
      </c>
      <c r="H146" s="61">
        <v>8.2923611111111111</v>
      </c>
      <c r="I146" s="61">
        <v>8.2923611111111111</v>
      </c>
      <c r="J146" s="62"/>
      <c r="K146" s="63" t="s">
        <v>1718</v>
      </c>
      <c r="L146" s="64" t="s">
        <v>1201</v>
      </c>
      <c r="M146" s="64" t="s">
        <v>1326</v>
      </c>
    </row>
    <row r="147" spans="1:13" s="65" customFormat="1" ht="12" customHeight="1" x14ac:dyDescent="0.2">
      <c r="A147" s="78">
        <v>223261</v>
      </c>
      <c r="B147" s="69" t="s">
        <v>200</v>
      </c>
      <c r="C147" s="60" t="s">
        <v>1196</v>
      </c>
      <c r="D147" s="66" t="s">
        <v>1197</v>
      </c>
      <c r="E147" s="66" t="s">
        <v>1206</v>
      </c>
      <c r="F147" s="66" t="s">
        <v>1585</v>
      </c>
      <c r="G147" s="60" t="s">
        <v>8</v>
      </c>
      <c r="H147" s="61">
        <v>0.89930555555555547</v>
      </c>
      <c r="I147" s="61"/>
      <c r="J147" s="62">
        <v>0.89930555555555547</v>
      </c>
      <c r="K147" s="63" t="s">
        <v>1718</v>
      </c>
      <c r="L147" s="64" t="s">
        <v>1197</v>
      </c>
      <c r="M147" s="64" t="s">
        <v>1206</v>
      </c>
    </row>
    <row r="148" spans="1:13" s="65" customFormat="1" ht="12" customHeight="1" x14ac:dyDescent="0.2">
      <c r="A148" s="78">
        <v>223287</v>
      </c>
      <c r="B148" s="69" t="s">
        <v>201</v>
      </c>
      <c r="C148" s="60" t="s">
        <v>1196</v>
      </c>
      <c r="D148" s="66" t="s">
        <v>1204</v>
      </c>
      <c r="E148" s="66" t="s">
        <v>1327</v>
      </c>
      <c r="F148" s="66" t="s">
        <v>1656</v>
      </c>
      <c r="G148" s="60" t="s">
        <v>7</v>
      </c>
      <c r="H148" s="61">
        <v>6.4173611111111111</v>
      </c>
      <c r="I148" s="61">
        <v>6.4173611111111111</v>
      </c>
      <c r="J148" s="62"/>
      <c r="K148" s="63" t="s">
        <v>1722</v>
      </c>
      <c r="L148" s="64" t="s">
        <v>1204</v>
      </c>
      <c r="M148" s="64" t="s">
        <v>1327</v>
      </c>
    </row>
    <row r="149" spans="1:13" s="65" customFormat="1" ht="12" customHeight="1" x14ac:dyDescent="0.2">
      <c r="A149" s="78">
        <v>223302</v>
      </c>
      <c r="B149" s="69" t="s">
        <v>202</v>
      </c>
      <c r="C149" s="60" t="s">
        <v>1196</v>
      </c>
      <c r="D149" s="66" t="s">
        <v>1197</v>
      </c>
      <c r="E149" s="66" t="s">
        <v>1328</v>
      </c>
      <c r="F149" s="66" t="s">
        <v>1660</v>
      </c>
      <c r="G149" s="60" t="s">
        <v>7</v>
      </c>
      <c r="H149" s="61">
        <v>11.761805555555556</v>
      </c>
      <c r="I149" s="61">
        <v>11.761805555555556</v>
      </c>
      <c r="J149" s="62"/>
      <c r="K149" s="63" t="s">
        <v>1718</v>
      </c>
      <c r="L149" s="64" t="s">
        <v>1197</v>
      </c>
      <c r="M149" s="64" t="s">
        <v>1328</v>
      </c>
    </row>
    <row r="150" spans="1:13" s="65" customFormat="1" ht="12" customHeight="1" x14ac:dyDescent="0.2">
      <c r="A150" s="78">
        <v>223317</v>
      </c>
      <c r="B150" s="69" t="s">
        <v>203</v>
      </c>
      <c r="C150" s="60" t="s">
        <v>1196</v>
      </c>
      <c r="D150" s="66" t="s">
        <v>1200</v>
      </c>
      <c r="E150" s="66" t="s">
        <v>1329</v>
      </c>
      <c r="F150" s="66" t="s">
        <v>1627</v>
      </c>
      <c r="G150" s="60" t="s">
        <v>7</v>
      </c>
      <c r="H150" s="61">
        <v>0.26527777777777778</v>
      </c>
      <c r="I150" s="61">
        <v>0.26527777777777778</v>
      </c>
      <c r="J150" s="62"/>
      <c r="K150" s="63" t="s">
        <v>1718</v>
      </c>
      <c r="L150" s="64" t="s">
        <v>1200</v>
      </c>
      <c r="M150" s="64" t="s">
        <v>1329</v>
      </c>
    </row>
    <row r="151" spans="1:13" s="65" customFormat="1" ht="12" customHeight="1" x14ac:dyDescent="0.2">
      <c r="A151" s="78">
        <v>223356</v>
      </c>
      <c r="B151" s="69" t="s">
        <v>204</v>
      </c>
      <c r="C151" s="60" t="s">
        <v>1196</v>
      </c>
      <c r="D151" s="66" t="s">
        <v>1205</v>
      </c>
      <c r="E151" s="66" t="s">
        <v>1330</v>
      </c>
      <c r="F151" s="66" t="s">
        <v>1647</v>
      </c>
      <c r="G151" s="60" t="s">
        <v>7</v>
      </c>
      <c r="H151" s="61">
        <v>0.65763888888888888</v>
      </c>
      <c r="I151" s="61">
        <v>0.65763888888888888</v>
      </c>
      <c r="J151" s="62"/>
      <c r="K151" s="63" t="s">
        <v>1718</v>
      </c>
      <c r="L151" s="64" t="s">
        <v>1205</v>
      </c>
      <c r="M151" s="64" t="s">
        <v>1330</v>
      </c>
    </row>
    <row r="152" spans="1:13" s="65" customFormat="1" ht="12" customHeight="1" x14ac:dyDescent="0.2">
      <c r="A152" s="78">
        <v>223364</v>
      </c>
      <c r="B152" s="69" t="s">
        <v>205</v>
      </c>
      <c r="C152" s="60" t="s">
        <v>1196</v>
      </c>
      <c r="D152" s="66" t="s">
        <v>1205</v>
      </c>
      <c r="E152" s="66" t="s">
        <v>1331</v>
      </c>
      <c r="F152" s="66" t="s">
        <v>1658</v>
      </c>
      <c r="G152" s="60" t="s">
        <v>7</v>
      </c>
      <c r="H152" s="61">
        <v>0.19791666666666666</v>
      </c>
      <c r="I152" s="61">
        <v>0.19791666666666666</v>
      </c>
      <c r="J152" s="62"/>
      <c r="K152" s="63" t="s">
        <v>1723</v>
      </c>
      <c r="L152" s="64" t="s">
        <v>1205</v>
      </c>
      <c r="M152" s="64" t="s">
        <v>1331</v>
      </c>
    </row>
    <row r="153" spans="1:13" s="65" customFormat="1" ht="12" customHeight="1" x14ac:dyDescent="0.2">
      <c r="A153" s="78">
        <v>223399</v>
      </c>
      <c r="B153" s="69" t="s">
        <v>206</v>
      </c>
      <c r="C153" s="60" t="s">
        <v>1196</v>
      </c>
      <c r="D153" s="66" t="s">
        <v>1200</v>
      </c>
      <c r="E153" s="66" t="s">
        <v>1247</v>
      </c>
      <c r="F153" s="66" t="s">
        <v>1613</v>
      </c>
      <c r="G153" s="60" t="s">
        <v>8</v>
      </c>
      <c r="H153" s="61">
        <v>1.8944444444444446</v>
      </c>
      <c r="I153" s="61"/>
      <c r="J153" s="62">
        <v>1.8944444444444446</v>
      </c>
      <c r="K153" s="63" t="s">
        <v>1723</v>
      </c>
      <c r="L153" s="64" t="s">
        <v>1200</v>
      </c>
      <c r="M153" s="64" t="s">
        <v>1247</v>
      </c>
    </row>
    <row r="154" spans="1:13" s="65" customFormat="1" ht="12" customHeight="1" x14ac:dyDescent="0.2">
      <c r="A154" s="78">
        <v>223424</v>
      </c>
      <c r="B154" s="69" t="s">
        <v>207</v>
      </c>
      <c r="C154" s="60" t="s">
        <v>1196</v>
      </c>
      <c r="D154" s="66" t="s">
        <v>1197</v>
      </c>
      <c r="E154" s="66" t="s">
        <v>1332</v>
      </c>
      <c r="F154" s="66" t="s">
        <v>1623</v>
      </c>
      <c r="G154" s="60" t="s">
        <v>8</v>
      </c>
      <c r="H154" s="61">
        <v>1.1541666666666666</v>
      </c>
      <c r="I154" s="61"/>
      <c r="J154" s="62">
        <v>1.1541666666666666</v>
      </c>
      <c r="K154" s="63" t="s">
        <v>1718</v>
      </c>
      <c r="L154" s="64" t="s">
        <v>1197</v>
      </c>
      <c r="M154" s="64" t="s">
        <v>1332</v>
      </c>
    </row>
    <row r="155" spans="1:13" s="65" customFormat="1" ht="12" customHeight="1" x14ac:dyDescent="0.2">
      <c r="A155" s="78">
        <v>223504</v>
      </c>
      <c r="B155" s="69" t="s">
        <v>208</v>
      </c>
      <c r="C155" s="60" t="s">
        <v>1196</v>
      </c>
      <c r="D155" s="66" t="s">
        <v>1201</v>
      </c>
      <c r="E155" s="66" t="s">
        <v>1214</v>
      </c>
      <c r="F155" s="66" t="s">
        <v>1589</v>
      </c>
      <c r="G155" s="60" t="s">
        <v>7</v>
      </c>
      <c r="H155" s="61">
        <v>26.290277777777778</v>
      </c>
      <c r="I155" s="61">
        <v>26.290277777777778</v>
      </c>
      <c r="J155" s="62"/>
      <c r="K155" s="63" t="s">
        <v>1723</v>
      </c>
      <c r="L155" s="64" t="s">
        <v>1201</v>
      </c>
      <c r="M155" s="64" t="s">
        <v>1214</v>
      </c>
    </row>
    <row r="156" spans="1:13" s="65" customFormat="1" ht="12" customHeight="1" x14ac:dyDescent="0.2">
      <c r="A156" s="78">
        <v>223539</v>
      </c>
      <c r="B156" s="69" t="s">
        <v>209</v>
      </c>
      <c r="C156" s="60" t="s">
        <v>1196</v>
      </c>
      <c r="D156" s="66" t="s">
        <v>1205</v>
      </c>
      <c r="E156" s="66" t="s">
        <v>1258</v>
      </c>
      <c r="F156" s="66" t="s">
        <v>1620</v>
      </c>
      <c r="G156" s="60" t="s">
        <v>7</v>
      </c>
      <c r="H156" s="61">
        <v>12.572222222222223</v>
      </c>
      <c r="I156" s="61">
        <v>12.572222222222223</v>
      </c>
      <c r="J156" s="62"/>
      <c r="K156" s="63" t="s">
        <v>1722</v>
      </c>
      <c r="L156" s="64" t="s">
        <v>1205</v>
      </c>
      <c r="M156" s="64" t="s">
        <v>1258</v>
      </c>
    </row>
    <row r="157" spans="1:13" s="65" customFormat="1" ht="12" customHeight="1" x14ac:dyDescent="0.2">
      <c r="A157" s="78">
        <v>223543</v>
      </c>
      <c r="B157" s="69" t="s">
        <v>210</v>
      </c>
      <c r="C157" s="60" t="s">
        <v>1196</v>
      </c>
      <c r="D157" s="66" t="s">
        <v>1201</v>
      </c>
      <c r="E157" s="66" t="s">
        <v>1333</v>
      </c>
      <c r="F157" s="66" t="s">
        <v>1661</v>
      </c>
      <c r="G157" s="60" t="s">
        <v>7</v>
      </c>
      <c r="H157" s="61">
        <v>6.333333333333333</v>
      </c>
      <c r="I157" s="61">
        <v>6.333333333333333</v>
      </c>
      <c r="J157" s="62"/>
      <c r="K157" s="63" t="s">
        <v>1718</v>
      </c>
      <c r="L157" s="64" t="s">
        <v>1201</v>
      </c>
      <c r="M157" s="64" t="s">
        <v>1333</v>
      </c>
    </row>
    <row r="158" spans="1:13" s="65" customFormat="1" ht="12" customHeight="1" x14ac:dyDescent="0.2">
      <c r="A158" s="78">
        <v>223555</v>
      </c>
      <c r="B158" s="69" t="s">
        <v>211</v>
      </c>
      <c r="C158" s="60" t="s">
        <v>1196</v>
      </c>
      <c r="D158" s="66" t="s">
        <v>1203</v>
      </c>
      <c r="E158" s="66" t="s">
        <v>1334</v>
      </c>
      <c r="F158" s="66" t="s">
        <v>1639</v>
      </c>
      <c r="G158" s="60" t="s">
        <v>8</v>
      </c>
      <c r="H158" s="61">
        <v>0.63124999999999998</v>
      </c>
      <c r="I158" s="61"/>
      <c r="J158" s="62">
        <v>0.63124999999999998</v>
      </c>
      <c r="K158" s="63" t="s">
        <v>1718</v>
      </c>
      <c r="L158" s="64" t="s">
        <v>1203</v>
      </c>
      <c r="M158" s="64" t="s">
        <v>1334</v>
      </c>
    </row>
    <row r="159" spans="1:13" s="65" customFormat="1" ht="12" customHeight="1" x14ac:dyDescent="0.2">
      <c r="A159" s="78">
        <v>223561</v>
      </c>
      <c r="B159" s="69" t="s">
        <v>212</v>
      </c>
      <c r="C159" s="60" t="s">
        <v>1196</v>
      </c>
      <c r="D159" s="66" t="s">
        <v>1200</v>
      </c>
      <c r="E159" s="66" t="s">
        <v>1335</v>
      </c>
      <c r="F159" s="66" t="s">
        <v>1662</v>
      </c>
      <c r="G159" s="60" t="s">
        <v>7</v>
      </c>
      <c r="H159" s="61">
        <v>0.13194444444444445</v>
      </c>
      <c r="I159" s="61">
        <v>0.13194444444444445</v>
      </c>
      <c r="J159" s="62"/>
      <c r="K159" s="63" t="s">
        <v>1718</v>
      </c>
      <c r="L159" s="64" t="s">
        <v>1200</v>
      </c>
      <c r="M159" s="64" t="s">
        <v>1335</v>
      </c>
    </row>
    <row r="160" spans="1:13" s="65" customFormat="1" ht="12" customHeight="1" x14ac:dyDescent="0.2">
      <c r="A160" s="78">
        <v>223688</v>
      </c>
      <c r="B160" s="69" t="s">
        <v>213</v>
      </c>
      <c r="C160" s="60" t="s">
        <v>1196</v>
      </c>
      <c r="D160" s="66" t="s">
        <v>1205</v>
      </c>
      <c r="E160" s="66" t="s">
        <v>1336</v>
      </c>
      <c r="F160" s="66" t="s">
        <v>1663</v>
      </c>
      <c r="G160" s="60" t="s">
        <v>7</v>
      </c>
      <c r="H160" s="61">
        <v>6.9444444444444434E-2</v>
      </c>
      <c r="I160" s="61">
        <v>6.9444444444444434E-2</v>
      </c>
      <c r="J160" s="62"/>
      <c r="K160" s="63" t="s">
        <v>1718</v>
      </c>
      <c r="L160" s="64" t="s">
        <v>1205</v>
      </c>
      <c r="M160" s="64" t="s">
        <v>1336</v>
      </c>
    </row>
    <row r="161" spans="1:13" s="65" customFormat="1" ht="12" customHeight="1" x14ac:dyDescent="0.2">
      <c r="A161" s="78">
        <v>223712</v>
      </c>
      <c r="B161" s="69" t="s">
        <v>214</v>
      </c>
      <c r="C161" s="60" t="s">
        <v>1196</v>
      </c>
      <c r="D161" s="66" t="s">
        <v>1199</v>
      </c>
      <c r="E161" s="66" t="s">
        <v>1337</v>
      </c>
      <c r="F161" s="66" t="s">
        <v>1587</v>
      </c>
      <c r="G161" s="60" t="s">
        <v>8</v>
      </c>
      <c r="H161" s="61">
        <v>1.1395833333333334</v>
      </c>
      <c r="I161" s="61"/>
      <c r="J161" s="62">
        <v>1.1395833333333334</v>
      </c>
      <c r="K161" s="63" t="s">
        <v>1720</v>
      </c>
      <c r="L161" s="64" t="s">
        <v>1199</v>
      </c>
      <c r="M161" s="64" t="s">
        <v>1337</v>
      </c>
    </row>
    <row r="162" spans="1:13" s="65" customFormat="1" ht="12" customHeight="1" x14ac:dyDescent="0.2">
      <c r="A162" s="78">
        <v>223744</v>
      </c>
      <c r="B162" s="69" t="s">
        <v>215</v>
      </c>
      <c r="C162" s="60" t="s">
        <v>1196</v>
      </c>
      <c r="D162" s="66" t="s">
        <v>1198</v>
      </c>
      <c r="E162" s="66" t="s">
        <v>1338</v>
      </c>
      <c r="F162" s="66" t="s">
        <v>1664</v>
      </c>
      <c r="G162" s="60" t="s">
        <v>7</v>
      </c>
      <c r="H162" s="61">
        <v>1.6256944444444446</v>
      </c>
      <c r="I162" s="61">
        <v>1.6256944444444446</v>
      </c>
      <c r="J162" s="62"/>
      <c r="K162" s="63" t="s">
        <v>1723</v>
      </c>
      <c r="L162" s="64" t="s">
        <v>1198</v>
      </c>
      <c r="M162" s="64" t="s">
        <v>1338</v>
      </c>
    </row>
    <row r="163" spans="1:13" s="65" customFormat="1" ht="12" customHeight="1" x14ac:dyDescent="0.2">
      <c r="A163" s="78">
        <v>223754</v>
      </c>
      <c r="B163" s="69" t="s">
        <v>216</v>
      </c>
      <c r="C163" s="60" t="s">
        <v>1196</v>
      </c>
      <c r="D163" s="66" t="s">
        <v>1199</v>
      </c>
      <c r="E163" s="66" t="s">
        <v>1339</v>
      </c>
      <c r="F163" s="66" t="s">
        <v>1665</v>
      </c>
      <c r="G163" s="60" t="s">
        <v>7</v>
      </c>
      <c r="H163" s="61">
        <v>0.17708333333333334</v>
      </c>
      <c r="I163" s="61">
        <v>0.17708333333333334</v>
      </c>
      <c r="J163" s="62"/>
      <c r="K163" s="63" t="s">
        <v>1722</v>
      </c>
      <c r="L163" s="64" t="s">
        <v>1199</v>
      </c>
      <c r="M163" s="64" t="s">
        <v>1339</v>
      </c>
    </row>
    <row r="164" spans="1:13" s="65" customFormat="1" ht="12" customHeight="1" x14ac:dyDescent="0.2">
      <c r="A164" s="78">
        <v>223765</v>
      </c>
      <c r="B164" s="69" t="s">
        <v>217</v>
      </c>
      <c r="C164" s="60" t="s">
        <v>1196</v>
      </c>
      <c r="D164" s="66" t="s">
        <v>1199</v>
      </c>
      <c r="E164" s="66" t="s">
        <v>1340</v>
      </c>
      <c r="F164" s="66" t="s">
        <v>1665</v>
      </c>
      <c r="G164" s="60" t="s">
        <v>8</v>
      </c>
      <c r="H164" s="61">
        <v>0.23472222222222219</v>
      </c>
      <c r="I164" s="61"/>
      <c r="J164" s="62">
        <v>0.23472222222222219</v>
      </c>
      <c r="K164" s="63" t="s">
        <v>1718</v>
      </c>
      <c r="L164" s="64" t="s">
        <v>1199</v>
      </c>
      <c r="M164" s="64" t="s">
        <v>1340</v>
      </c>
    </row>
    <row r="165" spans="1:13" s="65" customFormat="1" ht="12" customHeight="1" x14ac:dyDescent="0.2">
      <c r="A165" s="78">
        <v>223768</v>
      </c>
      <c r="B165" s="69" t="s">
        <v>218</v>
      </c>
      <c r="C165" s="60" t="s">
        <v>1196</v>
      </c>
      <c r="D165" s="66" t="s">
        <v>1199</v>
      </c>
      <c r="E165" s="66" t="s">
        <v>1341</v>
      </c>
      <c r="F165" s="66" t="s">
        <v>1666</v>
      </c>
      <c r="G165" s="60" t="s">
        <v>7</v>
      </c>
      <c r="H165" s="61">
        <v>0.13680555555555554</v>
      </c>
      <c r="I165" s="61">
        <v>0.13680555555555554</v>
      </c>
      <c r="J165" s="62"/>
      <c r="K165" s="63" t="s">
        <v>1718</v>
      </c>
      <c r="L165" s="64" t="s">
        <v>1199</v>
      </c>
      <c r="M165" s="64" t="s">
        <v>1341</v>
      </c>
    </row>
    <row r="166" spans="1:13" s="65" customFormat="1" ht="12" customHeight="1" x14ac:dyDescent="0.2">
      <c r="A166" s="78">
        <v>223787</v>
      </c>
      <c r="B166" s="69" t="s">
        <v>219</v>
      </c>
      <c r="C166" s="60" t="s">
        <v>1196</v>
      </c>
      <c r="D166" s="66" t="s">
        <v>1199</v>
      </c>
      <c r="E166" s="66" t="s">
        <v>1339</v>
      </c>
      <c r="F166" s="66" t="s">
        <v>1665</v>
      </c>
      <c r="G166" s="60" t="s">
        <v>7</v>
      </c>
      <c r="H166" s="61">
        <v>0.35902777777777778</v>
      </c>
      <c r="I166" s="61">
        <v>0.35902777777777778</v>
      </c>
      <c r="J166" s="62"/>
      <c r="K166" s="63" t="s">
        <v>1723</v>
      </c>
      <c r="L166" s="64" t="s">
        <v>1199</v>
      </c>
      <c r="M166" s="64" t="s">
        <v>1339</v>
      </c>
    </row>
    <row r="167" spans="1:13" s="65" customFormat="1" ht="12" customHeight="1" x14ac:dyDescent="0.2">
      <c r="A167" s="78">
        <v>223793</v>
      </c>
      <c r="B167" s="69" t="s">
        <v>220</v>
      </c>
      <c r="C167" s="60" t="s">
        <v>1196</v>
      </c>
      <c r="D167" s="66" t="s">
        <v>1203</v>
      </c>
      <c r="E167" s="66" t="s">
        <v>1342</v>
      </c>
      <c r="F167" s="66" t="s">
        <v>1667</v>
      </c>
      <c r="G167" s="60" t="s">
        <v>8</v>
      </c>
      <c r="H167" s="61">
        <v>0.40416666666666662</v>
      </c>
      <c r="I167" s="61"/>
      <c r="J167" s="62">
        <v>0.40416666666666662</v>
      </c>
      <c r="K167" s="63" t="s">
        <v>1718</v>
      </c>
      <c r="L167" s="64" t="s">
        <v>1203</v>
      </c>
      <c r="M167" s="64" t="s">
        <v>1342</v>
      </c>
    </row>
    <row r="168" spans="1:13" s="65" customFormat="1" ht="12" customHeight="1" x14ac:dyDescent="0.2">
      <c r="A168" s="78">
        <v>223801</v>
      </c>
      <c r="B168" s="69" t="s">
        <v>221</v>
      </c>
      <c r="C168" s="60" t="s">
        <v>1196</v>
      </c>
      <c r="D168" s="66" t="s">
        <v>1198</v>
      </c>
      <c r="E168" s="66" t="s">
        <v>1343</v>
      </c>
      <c r="F168" s="66" t="s">
        <v>1607</v>
      </c>
      <c r="G168" s="60" t="s">
        <v>7</v>
      </c>
      <c r="H168" s="61">
        <v>1.2993055555555555</v>
      </c>
      <c r="I168" s="61">
        <v>1.2993055555555555</v>
      </c>
      <c r="J168" s="62"/>
      <c r="K168" s="63" t="s">
        <v>1718</v>
      </c>
      <c r="L168" s="64" t="s">
        <v>1198</v>
      </c>
      <c r="M168" s="64" t="s">
        <v>1343</v>
      </c>
    </row>
    <row r="169" spans="1:13" s="65" customFormat="1" ht="12" customHeight="1" x14ac:dyDescent="0.2">
      <c r="A169" s="78">
        <v>223821</v>
      </c>
      <c r="B169" s="69" t="s">
        <v>222</v>
      </c>
      <c r="C169" s="60" t="s">
        <v>1196</v>
      </c>
      <c r="D169" s="66" t="s">
        <v>1198</v>
      </c>
      <c r="E169" s="66" t="s">
        <v>1338</v>
      </c>
      <c r="F169" s="66" t="s">
        <v>1664</v>
      </c>
      <c r="G169" s="60" t="s">
        <v>7</v>
      </c>
      <c r="H169" s="61">
        <v>0.17500000000000002</v>
      </c>
      <c r="I169" s="61">
        <v>0.17500000000000002</v>
      </c>
      <c r="J169" s="62"/>
      <c r="K169" s="63" t="s">
        <v>1722</v>
      </c>
      <c r="L169" s="64" t="s">
        <v>1198</v>
      </c>
      <c r="M169" s="64" t="s">
        <v>1338</v>
      </c>
    </row>
    <row r="170" spans="1:13" s="65" customFormat="1" ht="12" customHeight="1" x14ac:dyDescent="0.2">
      <c r="A170" s="78">
        <v>223849</v>
      </c>
      <c r="B170" s="69" t="s">
        <v>223</v>
      </c>
      <c r="C170" s="60" t="s">
        <v>1196</v>
      </c>
      <c r="D170" s="66" t="s">
        <v>1202</v>
      </c>
      <c r="E170" s="66" t="s">
        <v>1344</v>
      </c>
      <c r="F170" s="66" t="s">
        <v>1626</v>
      </c>
      <c r="G170" s="60" t="s">
        <v>8</v>
      </c>
      <c r="H170" s="61">
        <v>3.5534722222222221</v>
      </c>
      <c r="I170" s="61"/>
      <c r="J170" s="62">
        <v>3.5534722222222221</v>
      </c>
      <c r="K170" s="63" t="s">
        <v>1718</v>
      </c>
      <c r="L170" s="64" t="s">
        <v>1202</v>
      </c>
      <c r="M170" s="64" t="s">
        <v>1344</v>
      </c>
    </row>
    <row r="171" spans="1:13" s="65" customFormat="1" ht="12" customHeight="1" x14ac:dyDescent="0.2">
      <c r="A171" s="78">
        <v>223941</v>
      </c>
      <c r="B171" s="69" t="s">
        <v>224</v>
      </c>
      <c r="C171" s="60" t="s">
        <v>1196</v>
      </c>
      <c r="D171" s="66" t="s">
        <v>1203</v>
      </c>
      <c r="E171" s="66" t="s">
        <v>1345</v>
      </c>
      <c r="F171" s="66" t="s">
        <v>1642</v>
      </c>
      <c r="G171" s="60" t="s">
        <v>8</v>
      </c>
      <c r="H171" s="61">
        <v>0.28333333333333333</v>
      </c>
      <c r="I171" s="61"/>
      <c r="J171" s="62">
        <v>0.28333333333333333</v>
      </c>
      <c r="K171" s="63" t="s">
        <v>1718</v>
      </c>
      <c r="L171" s="64" t="s">
        <v>1203</v>
      </c>
      <c r="M171" s="64" t="s">
        <v>1345</v>
      </c>
    </row>
    <row r="172" spans="1:13" s="65" customFormat="1" ht="12" customHeight="1" x14ac:dyDescent="0.2">
      <c r="A172" s="78">
        <v>223942</v>
      </c>
      <c r="B172" s="69" t="s">
        <v>225</v>
      </c>
      <c r="C172" s="60" t="s">
        <v>1196</v>
      </c>
      <c r="D172" s="66" t="s">
        <v>1201</v>
      </c>
      <c r="E172" s="66" t="s">
        <v>1326</v>
      </c>
      <c r="F172" s="66" t="s">
        <v>1608</v>
      </c>
      <c r="G172" s="60" t="s">
        <v>7</v>
      </c>
      <c r="H172" s="61">
        <v>4.9986111111111109</v>
      </c>
      <c r="I172" s="61">
        <v>4.9986111111111109</v>
      </c>
      <c r="J172" s="62"/>
      <c r="K172" s="63" t="s">
        <v>1718</v>
      </c>
      <c r="L172" s="64" t="s">
        <v>1201</v>
      </c>
      <c r="M172" s="64" t="s">
        <v>1326</v>
      </c>
    </row>
    <row r="173" spans="1:13" s="65" customFormat="1" ht="12" customHeight="1" x14ac:dyDescent="0.2">
      <c r="A173" s="78">
        <v>223943</v>
      </c>
      <c r="B173" s="69" t="s">
        <v>226</v>
      </c>
      <c r="C173" s="60" t="s">
        <v>1196</v>
      </c>
      <c r="D173" s="66" t="s">
        <v>1202</v>
      </c>
      <c r="E173" s="66" t="s">
        <v>1295</v>
      </c>
      <c r="F173" s="66" t="s">
        <v>1644</v>
      </c>
      <c r="G173" s="60" t="s">
        <v>8</v>
      </c>
      <c r="H173" s="61">
        <v>7.6159722222222221</v>
      </c>
      <c r="I173" s="61"/>
      <c r="J173" s="62">
        <v>7.6159722222222221</v>
      </c>
      <c r="K173" s="63" t="s">
        <v>1718</v>
      </c>
      <c r="L173" s="64" t="s">
        <v>1202</v>
      </c>
      <c r="M173" s="64" t="s">
        <v>1295</v>
      </c>
    </row>
    <row r="174" spans="1:13" s="65" customFormat="1" ht="12" customHeight="1" x14ac:dyDescent="0.2">
      <c r="A174" s="78">
        <v>223959</v>
      </c>
      <c r="B174" s="69" t="s">
        <v>227</v>
      </c>
      <c r="C174" s="60" t="s">
        <v>1196</v>
      </c>
      <c r="D174" s="66" t="s">
        <v>1205</v>
      </c>
      <c r="E174" s="66" t="s">
        <v>1346</v>
      </c>
      <c r="F174" s="66" t="s">
        <v>1609</v>
      </c>
      <c r="G174" s="60" t="s">
        <v>8</v>
      </c>
      <c r="H174" s="61">
        <v>0.68680555555555556</v>
      </c>
      <c r="I174" s="61"/>
      <c r="J174" s="62">
        <v>0.68680555555555556</v>
      </c>
      <c r="K174" s="63" t="s">
        <v>1718</v>
      </c>
      <c r="L174" s="64" t="s">
        <v>1205</v>
      </c>
      <c r="M174" s="64" t="s">
        <v>1346</v>
      </c>
    </row>
    <row r="175" spans="1:13" s="65" customFormat="1" ht="12" customHeight="1" x14ac:dyDescent="0.2">
      <c r="A175" s="78">
        <v>224001</v>
      </c>
      <c r="B175" s="69" t="s">
        <v>228</v>
      </c>
      <c r="C175" s="60" t="s">
        <v>1196</v>
      </c>
      <c r="D175" s="66" t="s">
        <v>1201</v>
      </c>
      <c r="E175" s="66" t="s">
        <v>1347</v>
      </c>
      <c r="F175" s="66" t="s">
        <v>1616</v>
      </c>
      <c r="G175" s="60" t="s">
        <v>7</v>
      </c>
      <c r="H175" s="61">
        <v>2.7326388888888888</v>
      </c>
      <c r="I175" s="61">
        <v>2.7326388888888888</v>
      </c>
      <c r="J175" s="62"/>
      <c r="K175" s="63" t="s">
        <v>1718</v>
      </c>
      <c r="L175" s="64" t="s">
        <v>1201</v>
      </c>
      <c r="M175" s="64" t="s">
        <v>1347</v>
      </c>
    </row>
    <row r="176" spans="1:13" s="65" customFormat="1" ht="12" customHeight="1" x14ac:dyDescent="0.2">
      <c r="A176" s="78">
        <v>224044</v>
      </c>
      <c r="B176" s="69" t="s">
        <v>229</v>
      </c>
      <c r="C176" s="60" t="s">
        <v>1196</v>
      </c>
      <c r="D176" s="66" t="s">
        <v>1199</v>
      </c>
      <c r="E176" s="66" t="s">
        <v>1348</v>
      </c>
      <c r="F176" s="66" t="s">
        <v>1587</v>
      </c>
      <c r="G176" s="60" t="s">
        <v>7</v>
      </c>
      <c r="H176" s="61">
        <v>0.84513888888888899</v>
      </c>
      <c r="I176" s="61">
        <v>0.84513888888888899</v>
      </c>
      <c r="J176" s="62"/>
      <c r="K176" s="63" t="s">
        <v>1720</v>
      </c>
      <c r="L176" s="64" t="s">
        <v>1199</v>
      </c>
      <c r="M176" s="64" t="s">
        <v>1348</v>
      </c>
    </row>
    <row r="177" spans="1:13" s="65" customFormat="1" ht="12" customHeight="1" x14ac:dyDescent="0.2">
      <c r="A177" s="78">
        <v>224085</v>
      </c>
      <c r="B177" s="69" t="s">
        <v>230</v>
      </c>
      <c r="C177" s="60" t="s">
        <v>1196</v>
      </c>
      <c r="D177" s="66" t="s">
        <v>1205</v>
      </c>
      <c r="E177" s="66" t="s">
        <v>1349</v>
      </c>
      <c r="F177" s="66" t="s">
        <v>1668</v>
      </c>
      <c r="G177" s="60" t="s">
        <v>7</v>
      </c>
      <c r="H177" s="61">
        <v>1.7416666666666667</v>
      </c>
      <c r="I177" s="61">
        <v>1.7416666666666667</v>
      </c>
      <c r="J177" s="62"/>
      <c r="K177" s="63" t="s">
        <v>1722</v>
      </c>
      <c r="L177" s="64" t="s">
        <v>1205</v>
      </c>
      <c r="M177" s="64" t="s">
        <v>1349</v>
      </c>
    </row>
    <row r="178" spans="1:13" s="65" customFormat="1" ht="12" customHeight="1" x14ac:dyDescent="0.2">
      <c r="A178" s="78">
        <v>224123</v>
      </c>
      <c r="B178" s="69" t="s">
        <v>231</v>
      </c>
      <c r="C178" s="60" t="s">
        <v>1196</v>
      </c>
      <c r="D178" s="66" t="s">
        <v>1203</v>
      </c>
      <c r="E178" s="66" t="s">
        <v>1236</v>
      </c>
      <c r="F178" s="66" t="s">
        <v>1603</v>
      </c>
      <c r="G178" s="60" t="s">
        <v>7</v>
      </c>
      <c r="H178" s="61">
        <v>1.6666666666666666E-2</v>
      </c>
      <c r="I178" s="61">
        <v>1.6666666666666666E-2</v>
      </c>
      <c r="J178" s="62"/>
      <c r="K178" s="63" t="s">
        <v>1724</v>
      </c>
      <c r="L178" s="64" t="s">
        <v>1203</v>
      </c>
      <c r="M178" s="64" t="s">
        <v>1236</v>
      </c>
    </row>
    <row r="179" spans="1:13" s="65" customFormat="1" ht="12" customHeight="1" x14ac:dyDescent="0.2">
      <c r="A179" s="78">
        <v>224160</v>
      </c>
      <c r="B179" s="69" t="s">
        <v>232</v>
      </c>
      <c r="C179" s="60" t="s">
        <v>1196</v>
      </c>
      <c r="D179" s="66" t="s">
        <v>1200</v>
      </c>
      <c r="E179" s="66" t="s">
        <v>1350</v>
      </c>
      <c r="F179" s="66" t="s">
        <v>1613</v>
      </c>
      <c r="G179" s="60" t="s">
        <v>7</v>
      </c>
      <c r="H179" s="61">
        <v>0.36249999999999999</v>
      </c>
      <c r="I179" s="61">
        <v>0.36249999999999999</v>
      </c>
      <c r="J179" s="62"/>
      <c r="K179" s="63" t="s">
        <v>1718</v>
      </c>
      <c r="L179" s="64" t="s">
        <v>1200</v>
      </c>
      <c r="M179" s="64" t="s">
        <v>1350</v>
      </c>
    </row>
    <row r="180" spans="1:13" s="65" customFormat="1" ht="12" customHeight="1" x14ac:dyDescent="0.2">
      <c r="A180" s="78">
        <v>224184</v>
      </c>
      <c r="B180" s="69" t="s">
        <v>233</v>
      </c>
      <c r="C180" s="60" t="s">
        <v>1196</v>
      </c>
      <c r="D180" s="66" t="s">
        <v>1199</v>
      </c>
      <c r="E180" s="66" t="s">
        <v>1281</v>
      </c>
      <c r="F180" s="66" t="s">
        <v>1635</v>
      </c>
      <c r="G180" s="60" t="s">
        <v>8</v>
      </c>
      <c r="H180" s="61">
        <v>0.18402777777777779</v>
      </c>
      <c r="I180" s="61"/>
      <c r="J180" s="62">
        <v>0.18402777777777779</v>
      </c>
      <c r="K180" s="63" t="s">
        <v>1722</v>
      </c>
      <c r="L180" s="64" t="s">
        <v>1199</v>
      </c>
      <c r="M180" s="64" t="s">
        <v>1281</v>
      </c>
    </row>
    <row r="181" spans="1:13" s="65" customFormat="1" ht="12" customHeight="1" x14ac:dyDescent="0.2">
      <c r="A181" s="78">
        <v>224226</v>
      </c>
      <c r="B181" s="69" t="s">
        <v>234</v>
      </c>
      <c r="C181" s="60" t="s">
        <v>1196</v>
      </c>
      <c r="D181" s="66" t="s">
        <v>1205</v>
      </c>
      <c r="E181" s="66" t="s">
        <v>1351</v>
      </c>
      <c r="F181" s="66" t="s">
        <v>1594</v>
      </c>
      <c r="G181" s="60" t="s">
        <v>8</v>
      </c>
      <c r="H181" s="61">
        <v>5.2083333333333336E-2</v>
      </c>
      <c r="I181" s="61"/>
      <c r="J181" s="62">
        <v>5.2083333333333336E-2</v>
      </c>
      <c r="K181" s="63" t="s">
        <v>1720</v>
      </c>
      <c r="L181" s="64" t="s">
        <v>1205</v>
      </c>
      <c r="M181" s="64" t="s">
        <v>1351</v>
      </c>
    </row>
    <row r="182" spans="1:13" s="65" customFormat="1" ht="12" customHeight="1" x14ac:dyDescent="0.2">
      <c r="A182" s="78">
        <v>224228</v>
      </c>
      <c r="B182" s="69" t="s">
        <v>235</v>
      </c>
      <c r="C182" s="60" t="s">
        <v>1196</v>
      </c>
      <c r="D182" s="66" t="s">
        <v>1200</v>
      </c>
      <c r="E182" s="66" t="s">
        <v>1213</v>
      </c>
      <c r="F182" s="66" t="s">
        <v>1588</v>
      </c>
      <c r="G182" s="60" t="s">
        <v>7</v>
      </c>
      <c r="H182" s="61">
        <v>2.334027777777778</v>
      </c>
      <c r="I182" s="61">
        <v>2.334027777777778</v>
      </c>
      <c r="J182" s="62"/>
      <c r="K182" s="63" t="s">
        <v>1718</v>
      </c>
      <c r="L182" s="64" t="s">
        <v>1200</v>
      </c>
      <c r="M182" s="64" t="s">
        <v>1213</v>
      </c>
    </row>
    <row r="183" spans="1:13" s="65" customFormat="1" ht="12" customHeight="1" x14ac:dyDescent="0.2">
      <c r="A183" s="78">
        <v>224229</v>
      </c>
      <c r="B183" s="69" t="s">
        <v>236</v>
      </c>
      <c r="C183" s="60" t="s">
        <v>1196</v>
      </c>
      <c r="D183" s="66" t="s">
        <v>1199</v>
      </c>
      <c r="E183" s="66" t="s">
        <v>1352</v>
      </c>
      <c r="F183" s="66" t="s">
        <v>1669</v>
      </c>
      <c r="G183" s="60" t="s">
        <v>7</v>
      </c>
      <c r="H183" s="61">
        <v>0.30624999999999997</v>
      </c>
      <c r="I183" s="61">
        <v>0.30624999999999997</v>
      </c>
      <c r="J183" s="62"/>
      <c r="K183" s="63" t="s">
        <v>1723</v>
      </c>
      <c r="L183" s="64" t="s">
        <v>1199</v>
      </c>
      <c r="M183" s="64" t="s">
        <v>1352</v>
      </c>
    </row>
    <row r="184" spans="1:13" s="65" customFormat="1" ht="12" customHeight="1" x14ac:dyDescent="0.2">
      <c r="A184" s="78">
        <v>224230</v>
      </c>
      <c r="B184" s="69" t="s">
        <v>237</v>
      </c>
      <c r="C184" s="60" t="s">
        <v>1196</v>
      </c>
      <c r="D184" s="66" t="s">
        <v>1199</v>
      </c>
      <c r="E184" s="66" t="s">
        <v>1352</v>
      </c>
      <c r="F184" s="66" t="s">
        <v>1669</v>
      </c>
      <c r="G184" s="60" t="s">
        <v>8</v>
      </c>
      <c r="H184" s="61">
        <v>0.48125000000000001</v>
      </c>
      <c r="I184" s="61"/>
      <c r="J184" s="62">
        <v>0.48125000000000001</v>
      </c>
      <c r="K184" s="63" t="s">
        <v>1722</v>
      </c>
      <c r="L184" s="64" t="s">
        <v>1199</v>
      </c>
      <c r="M184" s="64" t="s">
        <v>1352</v>
      </c>
    </row>
    <row r="185" spans="1:13" s="65" customFormat="1" ht="12" customHeight="1" x14ac:dyDescent="0.2">
      <c r="A185" s="78">
        <v>224240</v>
      </c>
      <c r="B185" s="69" t="s">
        <v>238</v>
      </c>
      <c r="C185" s="60" t="s">
        <v>1196</v>
      </c>
      <c r="D185" s="66" t="s">
        <v>1200</v>
      </c>
      <c r="E185" s="66" t="s">
        <v>1353</v>
      </c>
      <c r="F185" s="66" t="s">
        <v>1598</v>
      </c>
      <c r="G185" s="60" t="s">
        <v>8</v>
      </c>
      <c r="H185" s="61">
        <v>0.1277777777777778</v>
      </c>
      <c r="I185" s="61"/>
      <c r="J185" s="62">
        <v>0.1277777777777778</v>
      </c>
      <c r="K185" s="63" t="s">
        <v>1719</v>
      </c>
      <c r="L185" s="64" t="s">
        <v>1200</v>
      </c>
      <c r="M185" s="64" t="s">
        <v>1353</v>
      </c>
    </row>
    <row r="186" spans="1:13" s="65" customFormat="1" ht="12" customHeight="1" x14ac:dyDescent="0.2">
      <c r="A186" s="78">
        <v>224286</v>
      </c>
      <c r="B186" s="69" t="s">
        <v>239</v>
      </c>
      <c r="C186" s="60" t="s">
        <v>1196</v>
      </c>
      <c r="D186" s="66" t="s">
        <v>1199</v>
      </c>
      <c r="E186" s="66" t="s">
        <v>1323</v>
      </c>
      <c r="F186" s="66" t="s">
        <v>1657</v>
      </c>
      <c r="G186" s="60" t="s">
        <v>8</v>
      </c>
      <c r="H186" s="61">
        <v>1.1395833333333334</v>
      </c>
      <c r="I186" s="61"/>
      <c r="J186" s="62">
        <v>1.1395833333333334</v>
      </c>
      <c r="K186" s="63" t="s">
        <v>1718</v>
      </c>
      <c r="L186" s="64" t="s">
        <v>1199</v>
      </c>
      <c r="M186" s="64" t="s">
        <v>1323</v>
      </c>
    </row>
    <row r="187" spans="1:13" s="65" customFormat="1" ht="12" customHeight="1" x14ac:dyDescent="0.2">
      <c r="A187" s="78">
        <v>224292</v>
      </c>
      <c r="B187" s="69" t="s">
        <v>240</v>
      </c>
      <c r="C187" s="60" t="s">
        <v>1196</v>
      </c>
      <c r="D187" s="66" t="s">
        <v>1199</v>
      </c>
      <c r="E187" s="66" t="s">
        <v>1354</v>
      </c>
      <c r="F187" s="66" t="s">
        <v>1669</v>
      </c>
      <c r="G187" s="60" t="s">
        <v>7</v>
      </c>
      <c r="H187" s="61">
        <v>8.1791666666666671</v>
      </c>
      <c r="I187" s="61">
        <v>8.1791666666666671</v>
      </c>
      <c r="J187" s="62"/>
      <c r="K187" s="63" t="s">
        <v>1718</v>
      </c>
      <c r="L187" s="64" t="s">
        <v>1199</v>
      </c>
      <c r="M187" s="64" t="s">
        <v>1354</v>
      </c>
    </row>
    <row r="188" spans="1:13" s="65" customFormat="1" ht="12" customHeight="1" x14ac:dyDescent="0.2">
      <c r="A188" s="78">
        <v>224294</v>
      </c>
      <c r="B188" s="69" t="s">
        <v>241</v>
      </c>
      <c r="C188" s="60" t="s">
        <v>1196</v>
      </c>
      <c r="D188" s="66" t="s">
        <v>1199</v>
      </c>
      <c r="E188" s="66" t="s">
        <v>1354</v>
      </c>
      <c r="F188" s="66" t="s">
        <v>1669</v>
      </c>
      <c r="G188" s="60" t="s">
        <v>7</v>
      </c>
      <c r="H188" s="61">
        <v>0.17916666666666667</v>
      </c>
      <c r="I188" s="61">
        <v>0.17916666666666667</v>
      </c>
      <c r="J188" s="62"/>
      <c r="K188" s="63" t="s">
        <v>1718</v>
      </c>
      <c r="L188" s="64" t="s">
        <v>1199</v>
      </c>
      <c r="M188" s="64" t="s">
        <v>1354</v>
      </c>
    </row>
    <row r="189" spans="1:13" s="65" customFormat="1" ht="12" customHeight="1" x14ac:dyDescent="0.2">
      <c r="A189" s="78">
        <v>224321</v>
      </c>
      <c r="B189" s="69" t="s">
        <v>242</v>
      </c>
      <c r="C189" s="60" t="s">
        <v>1196</v>
      </c>
      <c r="D189" s="66" t="s">
        <v>1205</v>
      </c>
      <c r="E189" s="66" t="s">
        <v>1355</v>
      </c>
      <c r="F189" s="66" t="s">
        <v>1663</v>
      </c>
      <c r="G189" s="60" t="s">
        <v>8</v>
      </c>
      <c r="H189" s="61">
        <v>0.73541666666666661</v>
      </c>
      <c r="I189" s="61"/>
      <c r="J189" s="62">
        <v>0.73541666666666661</v>
      </c>
      <c r="K189" s="63" t="s">
        <v>1723</v>
      </c>
      <c r="L189" s="64" t="s">
        <v>1205</v>
      </c>
      <c r="M189" s="64" t="s">
        <v>1355</v>
      </c>
    </row>
    <row r="190" spans="1:13" s="65" customFormat="1" ht="12" customHeight="1" x14ac:dyDescent="0.2">
      <c r="A190" s="78">
        <v>224329</v>
      </c>
      <c r="B190" s="69" t="s">
        <v>243</v>
      </c>
      <c r="C190" s="60" t="s">
        <v>1196</v>
      </c>
      <c r="D190" s="66" t="s">
        <v>1203</v>
      </c>
      <c r="E190" s="66" t="s">
        <v>1356</v>
      </c>
      <c r="F190" s="66" t="s">
        <v>1638</v>
      </c>
      <c r="G190" s="60" t="s">
        <v>7</v>
      </c>
      <c r="H190" s="61">
        <v>0.7416666666666667</v>
      </c>
      <c r="I190" s="61">
        <v>0.7416666666666667</v>
      </c>
      <c r="J190" s="62"/>
      <c r="K190" s="63" t="s">
        <v>1718</v>
      </c>
      <c r="L190" s="64" t="s">
        <v>1203</v>
      </c>
      <c r="M190" s="64" t="s">
        <v>1356</v>
      </c>
    </row>
    <row r="191" spans="1:13" s="65" customFormat="1" ht="12" customHeight="1" x14ac:dyDescent="0.2">
      <c r="A191" s="78">
        <v>224380</v>
      </c>
      <c r="B191" s="69" t="s">
        <v>244</v>
      </c>
      <c r="C191" s="60" t="s">
        <v>1196</v>
      </c>
      <c r="D191" s="66" t="s">
        <v>1200</v>
      </c>
      <c r="E191" s="66" t="s">
        <v>1329</v>
      </c>
      <c r="F191" s="66" t="s">
        <v>1627</v>
      </c>
      <c r="G191" s="60" t="s">
        <v>7</v>
      </c>
      <c r="H191" s="61">
        <v>0.61319444444444449</v>
      </c>
      <c r="I191" s="61">
        <v>0.61319444444444449</v>
      </c>
      <c r="J191" s="62"/>
      <c r="K191" s="63" t="s">
        <v>1718</v>
      </c>
      <c r="L191" s="64" t="s">
        <v>1200</v>
      </c>
      <c r="M191" s="64" t="s">
        <v>1329</v>
      </c>
    </row>
    <row r="192" spans="1:13" s="65" customFormat="1" ht="12" customHeight="1" x14ac:dyDescent="0.2">
      <c r="A192" s="78">
        <v>224387</v>
      </c>
      <c r="B192" s="69" t="s">
        <v>245</v>
      </c>
      <c r="C192" s="60" t="s">
        <v>1196</v>
      </c>
      <c r="D192" s="66" t="s">
        <v>1199</v>
      </c>
      <c r="E192" s="66" t="s">
        <v>1307</v>
      </c>
      <c r="F192" s="66" t="s">
        <v>1596</v>
      </c>
      <c r="G192" s="60" t="s">
        <v>8</v>
      </c>
      <c r="H192" s="61">
        <v>0.25069444444444444</v>
      </c>
      <c r="I192" s="61"/>
      <c r="J192" s="62">
        <v>0.25069444444444444</v>
      </c>
      <c r="K192" s="63" t="s">
        <v>1718</v>
      </c>
      <c r="L192" s="64" t="s">
        <v>1199</v>
      </c>
      <c r="M192" s="64" t="s">
        <v>1307</v>
      </c>
    </row>
    <row r="193" spans="1:13" s="65" customFormat="1" ht="12" customHeight="1" x14ac:dyDescent="0.2">
      <c r="A193" s="78">
        <v>224455</v>
      </c>
      <c r="B193" s="69" t="s">
        <v>246</v>
      </c>
      <c r="C193" s="60" t="s">
        <v>1196</v>
      </c>
      <c r="D193" s="66" t="s">
        <v>1197</v>
      </c>
      <c r="E193" s="66" t="s">
        <v>1357</v>
      </c>
      <c r="F193" s="66" t="s">
        <v>1652</v>
      </c>
      <c r="G193" s="60" t="s">
        <v>7</v>
      </c>
      <c r="H193" s="61">
        <v>0.2298611111111111</v>
      </c>
      <c r="I193" s="61">
        <v>0.2298611111111111</v>
      </c>
      <c r="J193" s="62"/>
      <c r="K193" s="63" t="s">
        <v>1718</v>
      </c>
      <c r="L193" s="64" t="s">
        <v>1197</v>
      </c>
      <c r="M193" s="64" t="s">
        <v>1357</v>
      </c>
    </row>
    <row r="194" spans="1:13" s="65" customFormat="1" ht="12" customHeight="1" x14ac:dyDescent="0.2">
      <c r="A194" s="78">
        <v>224461</v>
      </c>
      <c r="B194" s="69" t="s">
        <v>247</v>
      </c>
      <c r="C194" s="60" t="s">
        <v>1196</v>
      </c>
      <c r="D194" s="66" t="s">
        <v>1205</v>
      </c>
      <c r="E194" s="66" t="s">
        <v>1358</v>
      </c>
      <c r="F194" s="66" t="s">
        <v>1594</v>
      </c>
      <c r="G194" s="60" t="s">
        <v>8</v>
      </c>
      <c r="H194" s="61">
        <v>0.48194444444444445</v>
      </c>
      <c r="I194" s="61"/>
      <c r="J194" s="62">
        <v>0.48194444444444445</v>
      </c>
      <c r="K194" s="63" t="s">
        <v>1721</v>
      </c>
      <c r="L194" s="64" t="s">
        <v>1205</v>
      </c>
      <c r="M194" s="64" t="s">
        <v>1358</v>
      </c>
    </row>
    <row r="195" spans="1:13" s="65" customFormat="1" ht="12" customHeight="1" x14ac:dyDescent="0.2">
      <c r="A195" s="78">
        <v>224468</v>
      </c>
      <c r="B195" s="69" t="s">
        <v>248</v>
      </c>
      <c r="C195" s="60" t="s">
        <v>1196</v>
      </c>
      <c r="D195" s="66" t="s">
        <v>1205</v>
      </c>
      <c r="E195" s="66" t="s">
        <v>1242</v>
      </c>
      <c r="F195" s="66" t="s">
        <v>1609</v>
      </c>
      <c r="G195" s="60" t="s">
        <v>7</v>
      </c>
      <c r="H195" s="61">
        <v>1.2979166666666666</v>
      </c>
      <c r="I195" s="61">
        <v>1.2979166666666666</v>
      </c>
      <c r="J195" s="62"/>
      <c r="K195" s="63" t="s">
        <v>1723</v>
      </c>
      <c r="L195" s="64" t="s">
        <v>1205</v>
      </c>
      <c r="M195" s="64" t="s">
        <v>1242</v>
      </c>
    </row>
    <row r="196" spans="1:13" s="65" customFormat="1" ht="12" customHeight="1" x14ac:dyDescent="0.2">
      <c r="A196" s="78">
        <v>224469</v>
      </c>
      <c r="B196" s="69" t="s">
        <v>249</v>
      </c>
      <c r="C196" s="60" t="s">
        <v>1196</v>
      </c>
      <c r="D196" s="66" t="s">
        <v>1205</v>
      </c>
      <c r="E196" s="66" t="s">
        <v>1359</v>
      </c>
      <c r="F196" s="66" t="s">
        <v>1594</v>
      </c>
      <c r="G196" s="60" t="s">
        <v>7</v>
      </c>
      <c r="H196" s="61">
        <v>1.4902777777777778</v>
      </c>
      <c r="I196" s="61">
        <v>1.4902777777777778</v>
      </c>
      <c r="J196" s="62"/>
      <c r="K196" s="63" t="s">
        <v>1721</v>
      </c>
      <c r="L196" s="64" t="s">
        <v>1205</v>
      </c>
      <c r="M196" s="64" t="s">
        <v>1359</v>
      </c>
    </row>
    <row r="197" spans="1:13" s="65" customFormat="1" ht="12" customHeight="1" x14ac:dyDescent="0.2">
      <c r="A197" s="78">
        <v>224472</v>
      </c>
      <c r="B197" s="69" t="s">
        <v>250</v>
      </c>
      <c r="C197" s="60" t="s">
        <v>1196</v>
      </c>
      <c r="D197" s="66" t="s">
        <v>1201</v>
      </c>
      <c r="E197" s="66" t="s">
        <v>1326</v>
      </c>
      <c r="F197" s="66" t="s">
        <v>1608</v>
      </c>
      <c r="G197" s="60" t="s">
        <v>7</v>
      </c>
      <c r="H197" s="61">
        <v>13.975</v>
      </c>
      <c r="I197" s="61">
        <v>13.975</v>
      </c>
      <c r="J197" s="62"/>
      <c r="K197" s="63" t="s">
        <v>1718</v>
      </c>
      <c r="L197" s="64" t="s">
        <v>1201</v>
      </c>
      <c r="M197" s="64" t="s">
        <v>1326</v>
      </c>
    </row>
    <row r="198" spans="1:13" s="65" customFormat="1" ht="12" customHeight="1" x14ac:dyDescent="0.2">
      <c r="A198" s="78">
        <v>224489</v>
      </c>
      <c r="B198" s="69" t="s">
        <v>251</v>
      </c>
      <c r="C198" s="60" t="s">
        <v>1196</v>
      </c>
      <c r="D198" s="66" t="s">
        <v>1199</v>
      </c>
      <c r="E198" s="66" t="s">
        <v>1360</v>
      </c>
      <c r="F198" s="66" t="s">
        <v>1670</v>
      </c>
      <c r="G198" s="60" t="s">
        <v>7</v>
      </c>
      <c r="H198" s="61">
        <v>0.85972222222222217</v>
      </c>
      <c r="I198" s="61">
        <v>0.85972222222222217</v>
      </c>
      <c r="J198" s="62"/>
      <c r="K198" s="63" t="s">
        <v>1723</v>
      </c>
      <c r="L198" s="64" t="s">
        <v>1199</v>
      </c>
      <c r="M198" s="64" t="s">
        <v>1360</v>
      </c>
    </row>
    <row r="199" spans="1:13" s="65" customFormat="1" ht="12" customHeight="1" x14ac:dyDescent="0.2">
      <c r="A199" s="78">
        <v>224507</v>
      </c>
      <c r="B199" s="69" t="s">
        <v>252</v>
      </c>
      <c r="C199" s="60" t="s">
        <v>1196</v>
      </c>
      <c r="D199" s="66" t="s">
        <v>1202</v>
      </c>
      <c r="E199" s="66" t="s">
        <v>1361</v>
      </c>
      <c r="F199" s="66" t="s">
        <v>1654</v>
      </c>
      <c r="G199" s="60" t="s">
        <v>7</v>
      </c>
      <c r="H199" s="61">
        <v>0.5805555555555556</v>
      </c>
      <c r="I199" s="61">
        <v>0.5805555555555556</v>
      </c>
      <c r="J199" s="62"/>
      <c r="K199" s="63" t="s">
        <v>1718</v>
      </c>
      <c r="L199" s="64" t="s">
        <v>1202</v>
      </c>
      <c r="M199" s="64" t="s">
        <v>1361</v>
      </c>
    </row>
    <row r="200" spans="1:13" s="65" customFormat="1" ht="12" customHeight="1" x14ac:dyDescent="0.2">
      <c r="A200" s="78">
        <v>224508</v>
      </c>
      <c r="B200" s="69" t="s">
        <v>253</v>
      </c>
      <c r="C200" s="60" t="s">
        <v>1196</v>
      </c>
      <c r="D200" s="66" t="s">
        <v>1204</v>
      </c>
      <c r="E200" s="66" t="s">
        <v>1246</v>
      </c>
      <c r="F200" s="66" t="s">
        <v>1612</v>
      </c>
      <c r="G200" s="60" t="s">
        <v>8</v>
      </c>
      <c r="H200" s="61">
        <v>0.22222222222222221</v>
      </c>
      <c r="I200" s="61"/>
      <c r="J200" s="62">
        <v>0.22222222222222221</v>
      </c>
      <c r="K200" s="63" t="s">
        <v>1722</v>
      </c>
      <c r="L200" s="64" t="s">
        <v>1204</v>
      </c>
      <c r="M200" s="64" t="s">
        <v>1246</v>
      </c>
    </row>
    <row r="201" spans="1:13" s="65" customFormat="1" ht="12" customHeight="1" x14ac:dyDescent="0.2">
      <c r="A201" s="78">
        <v>224532</v>
      </c>
      <c r="B201" s="69" t="s">
        <v>254</v>
      </c>
      <c r="C201" s="60" t="s">
        <v>1196</v>
      </c>
      <c r="D201" s="66" t="s">
        <v>1202</v>
      </c>
      <c r="E201" s="66" t="s">
        <v>1291</v>
      </c>
      <c r="F201" s="66" t="s">
        <v>1641</v>
      </c>
      <c r="G201" s="60" t="s">
        <v>8</v>
      </c>
      <c r="H201" s="61">
        <v>7.6388888888888886E-3</v>
      </c>
      <c r="I201" s="61"/>
      <c r="J201" s="62">
        <v>7.6388888888888886E-3</v>
      </c>
      <c r="K201" s="63" t="s">
        <v>1723</v>
      </c>
      <c r="L201" s="64" t="s">
        <v>1202</v>
      </c>
      <c r="M201" s="64" t="s">
        <v>1291</v>
      </c>
    </row>
    <row r="202" spans="1:13" s="65" customFormat="1" ht="12" customHeight="1" x14ac:dyDescent="0.2">
      <c r="A202" s="78">
        <v>224548</v>
      </c>
      <c r="B202" s="69" t="s">
        <v>255</v>
      </c>
      <c r="C202" s="60" t="s">
        <v>1196</v>
      </c>
      <c r="D202" s="66" t="s">
        <v>1201</v>
      </c>
      <c r="E202" s="66" t="s">
        <v>1362</v>
      </c>
      <c r="F202" s="66" t="s">
        <v>1601</v>
      </c>
      <c r="G202" s="60" t="s">
        <v>7</v>
      </c>
      <c r="H202" s="61">
        <v>2.495138888888889</v>
      </c>
      <c r="I202" s="61">
        <v>2.495138888888889</v>
      </c>
      <c r="J202" s="62"/>
      <c r="K202" s="63" t="s">
        <v>1718</v>
      </c>
      <c r="L202" s="64" t="s">
        <v>1201</v>
      </c>
      <c r="M202" s="64" t="s">
        <v>1362</v>
      </c>
    </row>
    <row r="203" spans="1:13" s="65" customFormat="1" ht="12" customHeight="1" x14ac:dyDescent="0.2">
      <c r="A203" s="78">
        <v>224554</v>
      </c>
      <c r="B203" s="69" t="s">
        <v>256</v>
      </c>
      <c r="C203" s="60" t="s">
        <v>1196</v>
      </c>
      <c r="D203" s="66" t="s">
        <v>1203</v>
      </c>
      <c r="E203" s="66" t="s">
        <v>1279</v>
      </c>
      <c r="F203" s="66" t="s">
        <v>1633</v>
      </c>
      <c r="G203" s="60" t="s">
        <v>7</v>
      </c>
      <c r="H203" s="61">
        <v>5.6944444444444443E-2</v>
      </c>
      <c r="I203" s="61">
        <v>5.6944444444444443E-2</v>
      </c>
      <c r="J203" s="62"/>
      <c r="K203" s="63" t="s">
        <v>1722</v>
      </c>
      <c r="L203" s="64" t="s">
        <v>1203</v>
      </c>
      <c r="M203" s="64" t="s">
        <v>1279</v>
      </c>
    </row>
    <row r="204" spans="1:13" s="65" customFormat="1" ht="12" customHeight="1" x14ac:dyDescent="0.2">
      <c r="A204" s="78">
        <v>224555</v>
      </c>
      <c r="B204" s="69" t="s">
        <v>257</v>
      </c>
      <c r="C204" s="60" t="s">
        <v>1196</v>
      </c>
      <c r="D204" s="66" t="s">
        <v>1198</v>
      </c>
      <c r="E204" s="66" t="s">
        <v>1363</v>
      </c>
      <c r="F204" s="66" t="s">
        <v>1664</v>
      </c>
      <c r="G204" s="60" t="s">
        <v>8</v>
      </c>
      <c r="H204" s="61">
        <v>0.36041666666666666</v>
      </c>
      <c r="I204" s="61"/>
      <c r="J204" s="62">
        <v>0.36041666666666666</v>
      </c>
      <c r="K204" s="63" t="s">
        <v>1718</v>
      </c>
      <c r="L204" s="64" t="s">
        <v>1198</v>
      </c>
      <c r="M204" s="64" t="s">
        <v>1363</v>
      </c>
    </row>
    <row r="205" spans="1:13" s="65" customFormat="1" ht="12" customHeight="1" x14ac:dyDescent="0.2">
      <c r="A205" s="78">
        <v>224556</v>
      </c>
      <c r="B205" s="69" t="s">
        <v>258</v>
      </c>
      <c r="C205" s="60" t="s">
        <v>1196</v>
      </c>
      <c r="D205" s="66" t="s">
        <v>1205</v>
      </c>
      <c r="E205" s="66" t="s">
        <v>1330</v>
      </c>
      <c r="F205" s="66" t="s">
        <v>1647</v>
      </c>
      <c r="G205" s="60" t="s">
        <v>7</v>
      </c>
      <c r="H205" s="61">
        <v>0.29791666666666666</v>
      </c>
      <c r="I205" s="61">
        <v>0.29791666666666666</v>
      </c>
      <c r="J205" s="62"/>
      <c r="K205" s="63" t="s">
        <v>1718</v>
      </c>
      <c r="L205" s="64" t="s">
        <v>1205</v>
      </c>
      <c r="M205" s="64" t="s">
        <v>1330</v>
      </c>
    </row>
    <row r="206" spans="1:13" s="65" customFormat="1" ht="12" customHeight="1" x14ac:dyDescent="0.2">
      <c r="A206" s="78">
        <v>224559</v>
      </c>
      <c r="B206" s="69" t="s">
        <v>259</v>
      </c>
      <c r="C206" s="60" t="s">
        <v>1196</v>
      </c>
      <c r="D206" s="66" t="s">
        <v>1202</v>
      </c>
      <c r="E206" s="66" t="s">
        <v>1364</v>
      </c>
      <c r="F206" s="66" t="s">
        <v>1671</v>
      </c>
      <c r="G206" s="60" t="s">
        <v>7</v>
      </c>
      <c r="H206" s="61">
        <v>1.0631944444444446</v>
      </c>
      <c r="I206" s="61">
        <v>1.0631944444444446</v>
      </c>
      <c r="J206" s="62"/>
      <c r="K206" s="63" t="s">
        <v>1722</v>
      </c>
      <c r="L206" s="64" t="s">
        <v>1202</v>
      </c>
      <c r="M206" s="64" t="s">
        <v>1364</v>
      </c>
    </row>
    <row r="207" spans="1:13" s="65" customFormat="1" ht="12" customHeight="1" x14ac:dyDescent="0.2">
      <c r="A207" s="78">
        <v>224588</v>
      </c>
      <c r="B207" s="69" t="s">
        <v>260</v>
      </c>
      <c r="C207" s="60" t="s">
        <v>1196</v>
      </c>
      <c r="D207" s="66" t="s">
        <v>1198</v>
      </c>
      <c r="E207" s="66" t="s">
        <v>1365</v>
      </c>
      <c r="F207" s="66" t="s">
        <v>1672</v>
      </c>
      <c r="G207" s="60" t="s">
        <v>8</v>
      </c>
      <c r="H207" s="61">
        <v>1.4388888888888889</v>
      </c>
      <c r="I207" s="61"/>
      <c r="J207" s="62">
        <v>1.4388888888888889</v>
      </c>
      <c r="K207" s="63" t="s">
        <v>1718</v>
      </c>
      <c r="L207" s="64" t="s">
        <v>1198</v>
      </c>
      <c r="M207" s="64" t="s">
        <v>1365</v>
      </c>
    </row>
    <row r="208" spans="1:13" s="65" customFormat="1" ht="12" customHeight="1" x14ac:dyDescent="0.2">
      <c r="A208" s="78">
        <v>224602</v>
      </c>
      <c r="B208" s="69" t="s">
        <v>261</v>
      </c>
      <c r="C208" s="60" t="s">
        <v>1196</v>
      </c>
      <c r="D208" s="66" t="s">
        <v>1205</v>
      </c>
      <c r="E208" s="66" t="s">
        <v>1366</v>
      </c>
      <c r="F208" s="66" t="s">
        <v>1640</v>
      </c>
      <c r="G208" s="60" t="s">
        <v>8</v>
      </c>
      <c r="H208" s="61">
        <v>0.8881944444444444</v>
      </c>
      <c r="I208" s="61"/>
      <c r="J208" s="62">
        <v>0.8881944444444444</v>
      </c>
      <c r="K208" s="63" t="s">
        <v>1718</v>
      </c>
      <c r="L208" s="64" t="s">
        <v>1205</v>
      </c>
      <c r="M208" s="64" t="s">
        <v>1366</v>
      </c>
    </row>
    <row r="209" spans="1:13" s="65" customFormat="1" ht="12" customHeight="1" x14ac:dyDescent="0.2">
      <c r="A209" s="78">
        <v>224785</v>
      </c>
      <c r="B209" s="69" t="s">
        <v>262</v>
      </c>
      <c r="C209" s="60" t="s">
        <v>1196</v>
      </c>
      <c r="D209" s="66" t="s">
        <v>1201</v>
      </c>
      <c r="E209" s="66" t="s">
        <v>1367</v>
      </c>
      <c r="F209" s="66" t="s">
        <v>1673</v>
      </c>
      <c r="G209" s="60" t="s">
        <v>7</v>
      </c>
      <c r="H209" s="61">
        <v>6.9375</v>
      </c>
      <c r="I209" s="61">
        <v>6.9375</v>
      </c>
      <c r="J209" s="62"/>
      <c r="K209" s="63" t="s">
        <v>1718</v>
      </c>
      <c r="L209" s="64" t="s">
        <v>1201</v>
      </c>
      <c r="M209" s="64" t="s">
        <v>1367</v>
      </c>
    </row>
    <row r="210" spans="1:13" s="65" customFormat="1" ht="12" customHeight="1" x14ac:dyDescent="0.2">
      <c r="A210" s="78">
        <v>224789</v>
      </c>
      <c r="B210" s="69" t="s">
        <v>263</v>
      </c>
      <c r="C210" s="60" t="s">
        <v>1196</v>
      </c>
      <c r="D210" s="66" t="s">
        <v>1200</v>
      </c>
      <c r="E210" s="66" t="s">
        <v>1329</v>
      </c>
      <c r="F210" s="66" t="s">
        <v>1627</v>
      </c>
      <c r="G210" s="60" t="s">
        <v>7</v>
      </c>
      <c r="H210" s="61">
        <v>0.10416666666666667</v>
      </c>
      <c r="I210" s="61">
        <v>0.10416666666666667</v>
      </c>
      <c r="J210" s="62"/>
      <c r="K210" s="63" t="s">
        <v>1718</v>
      </c>
      <c r="L210" s="64" t="s">
        <v>1200</v>
      </c>
      <c r="M210" s="64" t="s">
        <v>1329</v>
      </c>
    </row>
    <row r="211" spans="1:13" s="65" customFormat="1" ht="12" customHeight="1" x14ac:dyDescent="0.2">
      <c r="A211" s="78">
        <v>224856</v>
      </c>
      <c r="B211" s="69" t="s">
        <v>264</v>
      </c>
      <c r="C211" s="60" t="s">
        <v>1196</v>
      </c>
      <c r="D211" s="66" t="s">
        <v>1203</v>
      </c>
      <c r="E211" s="66" t="s">
        <v>1368</v>
      </c>
      <c r="F211" s="66" t="s">
        <v>1592</v>
      </c>
      <c r="G211" s="60" t="s">
        <v>8</v>
      </c>
      <c r="H211" s="61">
        <v>0.58194444444444449</v>
      </c>
      <c r="I211" s="61"/>
      <c r="J211" s="62">
        <v>0.58194444444444449</v>
      </c>
      <c r="K211" s="63" t="s">
        <v>1720</v>
      </c>
      <c r="L211" s="64" t="s">
        <v>1203</v>
      </c>
      <c r="M211" s="64" t="s">
        <v>1368</v>
      </c>
    </row>
    <row r="212" spans="1:13" s="65" customFormat="1" ht="12" customHeight="1" x14ac:dyDescent="0.2">
      <c r="A212" s="78">
        <v>224948</v>
      </c>
      <c r="B212" s="69" t="s">
        <v>265</v>
      </c>
      <c r="C212" s="60" t="s">
        <v>1196</v>
      </c>
      <c r="D212" s="66" t="s">
        <v>1203</v>
      </c>
      <c r="E212" s="66" t="s">
        <v>1369</v>
      </c>
      <c r="F212" s="66" t="s">
        <v>1615</v>
      </c>
      <c r="G212" s="60" t="s">
        <v>8</v>
      </c>
      <c r="H212" s="61">
        <v>1.0027777777777778</v>
      </c>
      <c r="I212" s="61"/>
      <c r="J212" s="62">
        <v>1.0027777777777778</v>
      </c>
      <c r="K212" s="63" t="s">
        <v>1718</v>
      </c>
      <c r="L212" s="64" t="s">
        <v>1203</v>
      </c>
      <c r="M212" s="64" t="s">
        <v>1369</v>
      </c>
    </row>
    <row r="213" spans="1:13" s="65" customFormat="1" ht="12" customHeight="1" x14ac:dyDescent="0.2">
      <c r="A213" s="78">
        <v>224949</v>
      </c>
      <c r="B213" s="69" t="s">
        <v>266</v>
      </c>
      <c r="C213" s="60" t="s">
        <v>1196</v>
      </c>
      <c r="D213" s="66" t="s">
        <v>1203</v>
      </c>
      <c r="E213" s="66" t="s">
        <v>1370</v>
      </c>
      <c r="F213" s="66" t="s">
        <v>1603</v>
      </c>
      <c r="G213" s="60" t="s">
        <v>8</v>
      </c>
      <c r="H213" s="61">
        <v>0.44166666666666665</v>
      </c>
      <c r="I213" s="61"/>
      <c r="J213" s="62">
        <v>0.44166666666666665</v>
      </c>
      <c r="K213" s="63" t="s">
        <v>1718</v>
      </c>
      <c r="L213" s="64" t="s">
        <v>1203</v>
      </c>
      <c r="M213" s="64" t="s">
        <v>1370</v>
      </c>
    </row>
    <row r="214" spans="1:13" s="65" customFormat="1" ht="12" customHeight="1" x14ac:dyDescent="0.2">
      <c r="A214" s="78">
        <v>224953</v>
      </c>
      <c r="B214" s="69" t="s">
        <v>267</v>
      </c>
      <c r="C214" s="60" t="s">
        <v>1196</v>
      </c>
      <c r="D214" s="66" t="s">
        <v>1199</v>
      </c>
      <c r="E214" s="66" t="s">
        <v>1341</v>
      </c>
      <c r="F214" s="66" t="s">
        <v>1666</v>
      </c>
      <c r="G214" s="60" t="s">
        <v>8</v>
      </c>
      <c r="H214" s="61">
        <v>0.10416666666666667</v>
      </c>
      <c r="I214" s="61"/>
      <c r="J214" s="62">
        <v>0.10416666666666667</v>
      </c>
      <c r="K214" s="63" t="s">
        <v>1718</v>
      </c>
      <c r="L214" s="64" t="s">
        <v>1199</v>
      </c>
      <c r="M214" s="64" t="s">
        <v>1341</v>
      </c>
    </row>
    <row r="215" spans="1:13" s="65" customFormat="1" ht="12" customHeight="1" x14ac:dyDescent="0.2">
      <c r="A215" s="78">
        <v>224977</v>
      </c>
      <c r="B215" s="69" t="s">
        <v>268</v>
      </c>
      <c r="C215" s="60" t="s">
        <v>1196</v>
      </c>
      <c r="D215" s="66" t="s">
        <v>1203</v>
      </c>
      <c r="E215" s="66" t="s">
        <v>1288</v>
      </c>
      <c r="F215" s="66" t="s">
        <v>1639</v>
      </c>
      <c r="G215" s="60" t="s">
        <v>8</v>
      </c>
      <c r="H215" s="61">
        <v>0.79583333333333339</v>
      </c>
      <c r="I215" s="61"/>
      <c r="J215" s="62">
        <v>0.79583333333333339</v>
      </c>
      <c r="K215" s="63" t="s">
        <v>1723</v>
      </c>
      <c r="L215" s="64" t="s">
        <v>1203</v>
      </c>
      <c r="M215" s="64" t="s">
        <v>1288</v>
      </c>
    </row>
    <row r="216" spans="1:13" s="65" customFormat="1" ht="12" customHeight="1" x14ac:dyDescent="0.2">
      <c r="A216" s="78">
        <v>225046</v>
      </c>
      <c r="B216" s="69" t="s">
        <v>269</v>
      </c>
      <c r="C216" s="60" t="s">
        <v>1196</v>
      </c>
      <c r="D216" s="66" t="s">
        <v>1197</v>
      </c>
      <c r="E216" s="66" t="s">
        <v>1357</v>
      </c>
      <c r="F216" s="66" t="s">
        <v>1652</v>
      </c>
      <c r="G216" s="60" t="s">
        <v>7</v>
      </c>
      <c r="H216" s="61">
        <v>2.0833333333333333E-3</v>
      </c>
      <c r="I216" s="61">
        <v>2.0833333333333333E-3</v>
      </c>
      <c r="J216" s="62"/>
      <c r="K216" s="63" t="s">
        <v>1718</v>
      </c>
      <c r="L216" s="64" t="s">
        <v>1197</v>
      </c>
      <c r="M216" s="64" t="s">
        <v>1357</v>
      </c>
    </row>
    <row r="217" spans="1:13" s="65" customFormat="1" ht="12" customHeight="1" x14ac:dyDescent="0.2">
      <c r="A217" s="78">
        <v>225048</v>
      </c>
      <c r="B217" s="69" t="s">
        <v>270</v>
      </c>
      <c r="C217" s="60" t="s">
        <v>1196</v>
      </c>
      <c r="D217" s="66" t="s">
        <v>1202</v>
      </c>
      <c r="E217" s="66" t="s">
        <v>1295</v>
      </c>
      <c r="F217" s="66" t="s">
        <v>1644</v>
      </c>
      <c r="G217" s="60" t="s">
        <v>7</v>
      </c>
      <c r="H217" s="61">
        <v>0.73958333333333337</v>
      </c>
      <c r="I217" s="61">
        <v>0.73958333333333337</v>
      </c>
      <c r="J217" s="62"/>
      <c r="K217" s="63" t="s">
        <v>1718</v>
      </c>
      <c r="L217" s="64" t="s">
        <v>1202</v>
      </c>
      <c r="M217" s="64" t="s">
        <v>1295</v>
      </c>
    </row>
    <row r="218" spans="1:13" s="65" customFormat="1" ht="12" customHeight="1" x14ac:dyDescent="0.2">
      <c r="A218" s="78">
        <v>225122</v>
      </c>
      <c r="B218" s="69" t="s">
        <v>271</v>
      </c>
      <c r="C218" s="60" t="s">
        <v>1196</v>
      </c>
      <c r="D218" s="66" t="s">
        <v>1205</v>
      </c>
      <c r="E218" s="66" t="s">
        <v>1371</v>
      </c>
      <c r="F218" s="66" t="s">
        <v>1674</v>
      </c>
      <c r="G218" s="60" t="s">
        <v>7</v>
      </c>
      <c r="H218" s="61">
        <v>16.197222222222223</v>
      </c>
      <c r="I218" s="61">
        <v>16.197222222222223</v>
      </c>
      <c r="J218" s="62"/>
      <c r="K218" s="63" t="s">
        <v>1725</v>
      </c>
      <c r="L218" s="64" t="s">
        <v>1205</v>
      </c>
      <c r="M218" s="64" t="s">
        <v>1371</v>
      </c>
    </row>
    <row r="219" spans="1:13" s="65" customFormat="1" ht="12" customHeight="1" x14ac:dyDescent="0.2">
      <c r="A219" s="78">
        <v>225152</v>
      </c>
      <c r="B219" s="69" t="s">
        <v>272</v>
      </c>
      <c r="C219" s="60" t="s">
        <v>1196</v>
      </c>
      <c r="D219" s="66" t="s">
        <v>1201</v>
      </c>
      <c r="E219" s="66" t="s">
        <v>1372</v>
      </c>
      <c r="F219" s="66" t="s">
        <v>1675</v>
      </c>
      <c r="G219" s="60" t="s">
        <v>8</v>
      </c>
      <c r="H219" s="61">
        <v>1.4604166666666665</v>
      </c>
      <c r="I219" s="61"/>
      <c r="J219" s="62">
        <v>1.4604166666666665</v>
      </c>
      <c r="K219" s="63" t="s">
        <v>1718</v>
      </c>
      <c r="L219" s="64" t="s">
        <v>1201</v>
      </c>
      <c r="M219" s="64" t="s">
        <v>1372</v>
      </c>
    </row>
    <row r="220" spans="1:13" s="65" customFormat="1" ht="12" customHeight="1" x14ac:dyDescent="0.2">
      <c r="A220" s="78">
        <v>225154</v>
      </c>
      <c r="B220" s="69" t="s">
        <v>273</v>
      </c>
      <c r="C220" s="60" t="s">
        <v>1196</v>
      </c>
      <c r="D220" s="66" t="s">
        <v>1205</v>
      </c>
      <c r="E220" s="66" t="s">
        <v>1373</v>
      </c>
      <c r="F220" s="66" t="s">
        <v>1676</v>
      </c>
      <c r="G220" s="60" t="s">
        <v>8</v>
      </c>
      <c r="H220" s="61">
        <v>1.0152777777777777</v>
      </c>
      <c r="I220" s="61"/>
      <c r="J220" s="62">
        <v>1.0152777777777777</v>
      </c>
      <c r="K220" s="63" t="s">
        <v>1718</v>
      </c>
      <c r="L220" s="64" t="s">
        <v>1205</v>
      </c>
      <c r="M220" s="64" t="s">
        <v>1373</v>
      </c>
    </row>
    <row r="221" spans="1:13" s="65" customFormat="1" ht="12" customHeight="1" x14ac:dyDescent="0.2">
      <c r="A221" s="78">
        <v>225158</v>
      </c>
      <c r="B221" s="69" t="s">
        <v>274</v>
      </c>
      <c r="C221" s="60" t="s">
        <v>1196</v>
      </c>
      <c r="D221" s="66" t="s">
        <v>1202</v>
      </c>
      <c r="E221" s="66" t="s">
        <v>1374</v>
      </c>
      <c r="F221" s="66" t="s">
        <v>1617</v>
      </c>
      <c r="G221" s="60" t="s">
        <v>7</v>
      </c>
      <c r="H221" s="61">
        <v>1.6770833333333335</v>
      </c>
      <c r="I221" s="61">
        <v>1.6770833333333335</v>
      </c>
      <c r="J221" s="62"/>
      <c r="K221" s="63" t="s">
        <v>1718</v>
      </c>
      <c r="L221" s="64" t="s">
        <v>1202</v>
      </c>
      <c r="M221" s="64" t="s">
        <v>1374</v>
      </c>
    </row>
    <row r="222" spans="1:13" s="65" customFormat="1" ht="12" customHeight="1" x14ac:dyDescent="0.2">
      <c r="A222" s="78">
        <v>225192</v>
      </c>
      <c r="B222" s="69" t="s">
        <v>275</v>
      </c>
      <c r="C222" s="60" t="s">
        <v>1196</v>
      </c>
      <c r="D222" s="66" t="s">
        <v>1200</v>
      </c>
      <c r="E222" s="66" t="s">
        <v>1375</v>
      </c>
      <c r="F222" s="66" t="s">
        <v>1677</v>
      </c>
      <c r="G222" s="60" t="s">
        <v>8</v>
      </c>
      <c r="H222" s="61">
        <v>2.2937499999999997</v>
      </c>
      <c r="I222" s="61"/>
      <c r="J222" s="62">
        <v>2.2937499999999997</v>
      </c>
      <c r="K222" s="63" t="s">
        <v>1718</v>
      </c>
      <c r="L222" s="64" t="s">
        <v>1200</v>
      </c>
      <c r="M222" s="64" t="s">
        <v>1375</v>
      </c>
    </row>
    <row r="223" spans="1:13" s="65" customFormat="1" ht="12" customHeight="1" x14ac:dyDescent="0.2">
      <c r="A223" s="78">
        <v>225194</v>
      </c>
      <c r="B223" s="69" t="s">
        <v>276</v>
      </c>
      <c r="C223" s="60" t="s">
        <v>1196</v>
      </c>
      <c r="D223" s="66" t="s">
        <v>1200</v>
      </c>
      <c r="E223" s="66" t="s">
        <v>1375</v>
      </c>
      <c r="F223" s="66" t="s">
        <v>1677</v>
      </c>
      <c r="G223" s="60" t="s">
        <v>7</v>
      </c>
      <c r="H223" s="61">
        <v>0.76666666666666661</v>
      </c>
      <c r="I223" s="61">
        <v>0.76666666666666661</v>
      </c>
      <c r="J223" s="62"/>
      <c r="K223" s="63" t="s">
        <v>1718</v>
      </c>
      <c r="L223" s="64" t="s">
        <v>1200</v>
      </c>
      <c r="M223" s="64" t="s">
        <v>1375</v>
      </c>
    </row>
    <row r="224" spans="1:13" s="65" customFormat="1" ht="12" customHeight="1" x14ac:dyDescent="0.2">
      <c r="A224" s="78">
        <v>225196</v>
      </c>
      <c r="B224" s="69" t="s">
        <v>277</v>
      </c>
      <c r="C224" s="60" t="s">
        <v>1196</v>
      </c>
      <c r="D224" s="66" t="s">
        <v>1205</v>
      </c>
      <c r="E224" s="66" t="s">
        <v>1376</v>
      </c>
      <c r="F224" s="66" t="s">
        <v>1637</v>
      </c>
      <c r="G224" s="60" t="s">
        <v>8</v>
      </c>
      <c r="H224" s="61">
        <v>0.17083333333333331</v>
      </c>
      <c r="I224" s="61"/>
      <c r="J224" s="62">
        <v>0.17083333333333331</v>
      </c>
      <c r="K224" s="63" t="s">
        <v>1718</v>
      </c>
      <c r="L224" s="64" t="s">
        <v>1205</v>
      </c>
      <c r="M224" s="64" t="s">
        <v>1376</v>
      </c>
    </row>
    <row r="225" spans="1:13" s="65" customFormat="1" ht="12" customHeight="1" x14ac:dyDescent="0.2">
      <c r="A225" s="78">
        <v>225263</v>
      </c>
      <c r="B225" s="69" t="s">
        <v>278</v>
      </c>
      <c r="C225" s="60" t="s">
        <v>1196</v>
      </c>
      <c r="D225" s="66" t="s">
        <v>1200</v>
      </c>
      <c r="E225" s="66" t="s">
        <v>1377</v>
      </c>
      <c r="F225" s="66" t="s">
        <v>1677</v>
      </c>
      <c r="G225" s="60" t="s">
        <v>8</v>
      </c>
      <c r="H225" s="61">
        <v>0.30624999999999997</v>
      </c>
      <c r="I225" s="61"/>
      <c r="J225" s="62">
        <v>0.30624999999999997</v>
      </c>
      <c r="K225" s="63" t="s">
        <v>1725</v>
      </c>
      <c r="L225" s="64" t="s">
        <v>1200</v>
      </c>
      <c r="M225" s="64" t="s">
        <v>1377</v>
      </c>
    </row>
    <row r="226" spans="1:13" s="65" customFormat="1" ht="12" customHeight="1" x14ac:dyDescent="0.2">
      <c r="A226" s="78">
        <v>225266</v>
      </c>
      <c r="B226" s="69" t="s">
        <v>279</v>
      </c>
      <c r="C226" s="60" t="s">
        <v>1196</v>
      </c>
      <c r="D226" s="66" t="s">
        <v>1205</v>
      </c>
      <c r="E226" s="66" t="s">
        <v>1378</v>
      </c>
      <c r="F226" s="66" t="s">
        <v>1676</v>
      </c>
      <c r="G226" s="60" t="s">
        <v>7</v>
      </c>
      <c r="H226" s="61">
        <v>0.28611111111111115</v>
      </c>
      <c r="I226" s="61">
        <v>0.28611111111111115</v>
      </c>
      <c r="J226" s="62"/>
      <c r="K226" s="63" t="s">
        <v>1723</v>
      </c>
      <c r="L226" s="64" t="s">
        <v>1205</v>
      </c>
      <c r="M226" s="64" t="s">
        <v>1378</v>
      </c>
    </row>
    <row r="227" spans="1:13" s="65" customFormat="1" ht="12" customHeight="1" x14ac:dyDescent="0.2">
      <c r="A227" s="78">
        <v>225270</v>
      </c>
      <c r="B227" s="69" t="s">
        <v>280</v>
      </c>
      <c r="C227" s="60" t="s">
        <v>1196</v>
      </c>
      <c r="D227" s="66" t="s">
        <v>1205</v>
      </c>
      <c r="E227" s="66" t="s">
        <v>1378</v>
      </c>
      <c r="F227" s="66" t="s">
        <v>1676</v>
      </c>
      <c r="G227" s="60" t="s">
        <v>7</v>
      </c>
      <c r="H227" s="61">
        <v>0.17500000000000002</v>
      </c>
      <c r="I227" s="61">
        <v>0.17500000000000002</v>
      </c>
      <c r="J227" s="62"/>
      <c r="K227" s="63" t="s">
        <v>1722</v>
      </c>
      <c r="L227" s="64" t="s">
        <v>1205</v>
      </c>
      <c r="M227" s="64" t="s">
        <v>1378</v>
      </c>
    </row>
    <row r="228" spans="1:13" s="65" customFormat="1" ht="12" customHeight="1" x14ac:dyDescent="0.2">
      <c r="A228" s="78">
        <v>225275</v>
      </c>
      <c r="B228" s="69" t="s">
        <v>281</v>
      </c>
      <c r="C228" s="60" t="s">
        <v>1196</v>
      </c>
      <c r="D228" s="66" t="s">
        <v>1201</v>
      </c>
      <c r="E228" s="66" t="s">
        <v>1379</v>
      </c>
      <c r="F228" s="66" t="s">
        <v>1675</v>
      </c>
      <c r="G228" s="60" t="s">
        <v>7</v>
      </c>
      <c r="H228" s="61">
        <v>8.4888888888888889</v>
      </c>
      <c r="I228" s="61">
        <v>8.4888888888888889</v>
      </c>
      <c r="J228" s="62"/>
      <c r="K228" s="63" t="s">
        <v>1722</v>
      </c>
      <c r="L228" s="64" t="s">
        <v>1201</v>
      </c>
      <c r="M228" s="64" t="s">
        <v>1379</v>
      </c>
    </row>
    <row r="229" spans="1:13" s="65" customFormat="1" ht="12" customHeight="1" x14ac:dyDescent="0.2">
      <c r="A229" s="78">
        <v>225288</v>
      </c>
      <c r="B229" s="69" t="s">
        <v>282</v>
      </c>
      <c r="C229" s="60" t="s">
        <v>1196</v>
      </c>
      <c r="D229" s="66" t="s">
        <v>1201</v>
      </c>
      <c r="E229" s="66" t="s">
        <v>1380</v>
      </c>
      <c r="F229" s="66" t="s">
        <v>1614</v>
      </c>
      <c r="G229" s="60" t="s">
        <v>8</v>
      </c>
      <c r="H229" s="61">
        <v>1.7</v>
      </c>
      <c r="I229" s="61"/>
      <c r="J229" s="62">
        <v>1.7</v>
      </c>
      <c r="K229" s="63" t="s">
        <v>1718</v>
      </c>
      <c r="L229" s="64" t="s">
        <v>1201</v>
      </c>
      <c r="M229" s="64" t="s">
        <v>1380</v>
      </c>
    </row>
    <row r="230" spans="1:13" s="65" customFormat="1" ht="12" customHeight="1" x14ac:dyDescent="0.2">
      <c r="A230" s="78">
        <v>225329</v>
      </c>
      <c r="B230" s="69" t="s">
        <v>283</v>
      </c>
      <c r="C230" s="60" t="s">
        <v>1196</v>
      </c>
      <c r="D230" s="66" t="s">
        <v>1201</v>
      </c>
      <c r="E230" s="66" t="s">
        <v>1381</v>
      </c>
      <c r="F230" s="66" t="s">
        <v>1591</v>
      </c>
      <c r="G230" s="60" t="s">
        <v>8</v>
      </c>
      <c r="H230" s="61">
        <v>0.97291666666666676</v>
      </c>
      <c r="I230" s="61"/>
      <c r="J230" s="62">
        <v>0.97291666666666676</v>
      </c>
      <c r="K230" s="63" t="s">
        <v>1720</v>
      </c>
      <c r="L230" s="64" t="s">
        <v>1201</v>
      </c>
      <c r="M230" s="64" t="s">
        <v>1381</v>
      </c>
    </row>
    <row r="231" spans="1:13" s="65" customFormat="1" ht="12" customHeight="1" x14ac:dyDescent="0.2">
      <c r="A231" s="78">
        <v>225332</v>
      </c>
      <c r="B231" s="69" t="s">
        <v>284</v>
      </c>
      <c r="C231" s="60" t="s">
        <v>1196</v>
      </c>
      <c r="D231" s="66" t="s">
        <v>1204</v>
      </c>
      <c r="E231" s="66" t="s">
        <v>1382</v>
      </c>
      <c r="F231" s="66" t="s">
        <v>1593</v>
      </c>
      <c r="G231" s="60" t="s">
        <v>8</v>
      </c>
      <c r="H231" s="61">
        <v>0.3576388888888889</v>
      </c>
      <c r="I231" s="61"/>
      <c r="J231" s="62">
        <v>0.3576388888888889</v>
      </c>
      <c r="K231" s="63" t="s">
        <v>1720</v>
      </c>
      <c r="L231" s="64" t="s">
        <v>1204</v>
      </c>
      <c r="M231" s="64" t="s">
        <v>1382</v>
      </c>
    </row>
    <row r="232" spans="1:13" s="65" customFormat="1" ht="12" customHeight="1" x14ac:dyDescent="0.2">
      <c r="A232" s="78">
        <v>225337</v>
      </c>
      <c r="B232" s="69" t="s">
        <v>285</v>
      </c>
      <c r="C232" s="60" t="s">
        <v>1196</v>
      </c>
      <c r="D232" s="66" t="s">
        <v>1198</v>
      </c>
      <c r="E232" s="66" t="s">
        <v>1383</v>
      </c>
      <c r="F232" s="66" t="s">
        <v>1611</v>
      </c>
      <c r="G232" s="60" t="s">
        <v>8</v>
      </c>
      <c r="H232" s="61">
        <v>1.8680555555555556</v>
      </c>
      <c r="I232" s="61"/>
      <c r="J232" s="62">
        <v>1.8680555555555556</v>
      </c>
      <c r="K232" s="63" t="s">
        <v>1718</v>
      </c>
      <c r="L232" s="64" t="s">
        <v>1198</v>
      </c>
      <c r="M232" s="64" t="s">
        <v>1383</v>
      </c>
    </row>
    <row r="233" spans="1:13" s="65" customFormat="1" ht="12" customHeight="1" x14ac:dyDescent="0.2">
      <c r="A233" s="78">
        <v>225345</v>
      </c>
      <c r="B233" s="69" t="s">
        <v>286</v>
      </c>
      <c r="C233" s="60" t="s">
        <v>1196</v>
      </c>
      <c r="D233" s="66" t="s">
        <v>1199</v>
      </c>
      <c r="E233" s="66" t="s">
        <v>1384</v>
      </c>
      <c r="F233" s="66" t="s">
        <v>1678</v>
      </c>
      <c r="G233" s="60" t="s">
        <v>8</v>
      </c>
      <c r="H233" s="61">
        <v>0.18541666666666667</v>
      </c>
      <c r="I233" s="61"/>
      <c r="J233" s="62">
        <v>0.18541666666666667</v>
      </c>
      <c r="K233" s="63" t="s">
        <v>1718</v>
      </c>
      <c r="L233" s="64" t="s">
        <v>1199</v>
      </c>
      <c r="M233" s="64" t="s">
        <v>1384</v>
      </c>
    </row>
    <row r="234" spans="1:13" s="65" customFormat="1" ht="12" customHeight="1" x14ac:dyDescent="0.2">
      <c r="A234" s="78">
        <v>225392</v>
      </c>
      <c r="B234" s="69" t="s">
        <v>287</v>
      </c>
      <c r="C234" s="60" t="s">
        <v>1196</v>
      </c>
      <c r="D234" s="66" t="s">
        <v>1204</v>
      </c>
      <c r="E234" s="66" t="s">
        <v>1385</v>
      </c>
      <c r="F234" s="66" t="s">
        <v>1679</v>
      </c>
      <c r="G234" s="60" t="s">
        <v>8</v>
      </c>
      <c r="H234" s="61">
        <v>3.4215277777777775</v>
      </c>
      <c r="I234" s="61"/>
      <c r="J234" s="62">
        <v>3.4215277777777775</v>
      </c>
      <c r="K234" s="63" t="s">
        <v>1718</v>
      </c>
      <c r="L234" s="64" t="s">
        <v>1204</v>
      </c>
      <c r="M234" s="64" t="s">
        <v>1385</v>
      </c>
    </row>
    <row r="235" spans="1:13" s="65" customFormat="1" ht="12" customHeight="1" x14ac:dyDescent="0.2">
      <c r="A235" s="78">
        <v>225453</v>
      </c>
      <c r="B235" s="69" t="s">
        <v>288</v>
      </c>
      <c r="C235" s="60" t="s">
        <v>1196</v>
      </c>
      <c r="D235" s="66" t="s">
        <v>1204</v>
      </c>
      <c r="E235" s="66" t="s">
        <v>1386</v>
      </c>
      <c r="F235" s="66" t="s">
        <v>1679</v>
      </c>
      <c r="G235" s="60" t="s">
        <v>7</v>
      </c>
      <c r="H235" s="61">
        <v>8.5354166666666664</v>
      </c>
      <c r="I235" s="61">
        <v>8.5354166666666664</v>
      </c>
      <c r="J235" s="62"/>
      <c r="K235" s="63" t="s">
        <v>1723</v>
      </c>
      <c r="L235" s="64" t="s">
        <v>1204</v>
      </c>
      <c r="M235" s="64" t="s">
        <v>1386</v>
      </c>
    </row>
    <row r="236" spans="1:13" s="65" customFormat="1" ht="12" customHeight="1" x14ac:dyDescent="0.2">
      <c r="A236" s="78">
        <v>225454</v>
      </c>
      <c r="B236" s="69" t="s">
        <v>289</v>
      </c>
      <c r="C236" s="60" t="s">
        <v>1196</v>
      </c>
      <c r="D236" s="66" t="s">
        <v>1204</v>
      </c>
      <c r="E236" s="66" t="s">
        <v>1386</v>
      </c>
      <c r="F236" s="66" t="s">
        <v>1679</v>
      </c>
      <c r="G236" s="60" t="s">
        <v>7</v>
      </c>
      <c r="H236" s="61">
        <v>5.4083333333333332</v>
      </c>
      <c r="I236" s="61">
        <v>5.4083333333333332</v>
      </c>
      <c r="J236" s="62"/>
      <c r="K236" s="63" t="s">
        <v>1722</v>
      </c>
      <c r="L236" s="64" t="s">
        <v>1204</v>
      </c>
      <c r="M236" s="64" t="s">
        <v>1386</v>
      </c>
    </row>
    <row r="237" spans="1:13" s="65" customFormat="1" ht="12" customHeight="1" x14ac:dyDescent="0.2">
      <c r="A237" s="78">
        <v>225462</v>
      </c>
      <c r="B237" s="69" t="s">
        <v>290</v>
      </c>
      <c r="C237" s="60" t="s">
        <v>1196</v>
      </c>
      <c r="D237" s="66" t="s">
        <v>1204</v>
      </c>
      <c r="E237" s="66" t="s">
        <v>1327</v>
      </c>
      <c r="F237" s="66" t="s">
        <v>1656</v>
      </c>
      <c r="G237" s="60" t="s">
        <v>8</v>
      </c>
      <c r="H237" s="61">
        <v>7.2222222222222229E-2</v>
      </c>
      <c r="I237" s="61"/>
      <c r="J237" s="62">
        <v>7.2222222222222229E-2</v>
      </c>
      <c r="K237" s="63" t="s">
        <v>1723</v>
      </c>
      <c r="L237" s="64" t="s">
        <v>1204</v>
      </c>
      <c r="M237" s="64" t="s">
        <v>1327</v>
      </c>
    </row>
    <row r="238" spans="1:13" s="65" customFormat="1" ht="12" customHeight="1" x14ac:dyDescent="0.2">
      <c r="A238" s="78">
        <v>225474</v>
      </c>
      <c r="B238" s="69" t="s">
        <v>291</v>
      </c>
      <c r="C238" s="60" t="s">
        <v>1196</v>
      </c>
      <c r="D238" s="66" t="s">
        <v>1202</v>
      </c>
      <c r="E238" s="66" t="s">
        <v>1325</v>
      </c>
      <c r="F238" s="66" t="s">
        <v>1659</v>
      </c>
      <c r="G238" s="60" t="s">
        <v>8</v>
      </c>
      <c r="H238" s="61">
        <v>10.75</v>
      </c>
      <c r="I238" s="61"/>
      <c r="J238" s="62">
        <v>10.75</v>
      </c>
      <c r="K238" s="63" t="s">
        <v>1722</v>
      </c>
      <c r="L238" s="64" t="s">
        <v>1202</v>
      </c>
      <c r="M238" s="64" t="s">
        <v>1325</v>
      </c>
    </row>
    <row r="239" spans="1:13" s="65" customFormat="1" ht="12" customHeight="1" x14ac:dyDescent="0.2">
      <c r="A239" s="78">
        <v>225492</v>
      </c>
      <c r="B239" s="69" t="s">
        <v>292</v>
      </c>
      <c r="C239" s="60" t="s">
        <v>1196</v>
      </c>
      <c r="D239" s="66" t="s">
        <v>1203</v>
      </c>
      <c r="E239" s="66" t="s">
        <v>1387</v>
      </c>
      <c r="F239" s="66" t="s">
        <v>1615</v>
      </c>
      <c r="G239" s="60" t="s">
        <v>7</v>
      </c>
      <c r="H239" s="61">
        <v>4.5833333333333337E-2</v>
      </c>
      <c r="I239" s="61">
        <v>4.5833333333333337E-2</v>
      </c>
      <c r="J239" s="62"/>
      <c r="K239" s="63" t="s">
        <v>1718</v>
      </c>
      <c r="L239" s="64" t="s">
        <v>1203</v>
      </c>
      <c r="M239" s="64" t="s">
        <v>1387</v>
      </c>
    </row>
    <row r="240" spans="1:13" s="65" customFormat="1" ht="12" customHeight="1" x14ac:dyDescent="0.2">
      <c r="A240" s="78">
        <v>225494</v>
      </c>
      <c r="B240" s="69" t="s">
        <v>293</v>
      </c>
      <c r="C240" s="60" t="s">
        <v>1196</v>
      </c>
      <c r="D240" s="66" t="s">
        <v>1205</v>
      </c>
      <c r="E240" s="66" t="s">
        <v>1330</v>
      </c>
      <c r="F240" s="66" t="s">
        <v>1647</v>
      </c>
      <c r="G240" s="60" t="s">
        <v>8</v>
      </c>
      <c r="H240" s="61">
        <v>4.1666666666666666E-3</v>
      </c>
      <c r="I240" s="61"/>
      <c r="J240" s="62">
        <v>4.1666666666666666E-3</v>
      </c>
      <c r="K240" s="63" t="s">
        <v>1718</v>
      </c>
      <c r="L240" s="64" t="s">
        <v>1205</v>
      </c>
      <c r="M240" s="64" t="s">
        <v>1330</v>
      </c>
    </row>
    <row r="241" spans="1:13" s="65" customFormat="1" ht="12" customHeight="1" x14ac:dyDescent="0.2">
      <c r="A241" s="78">
        <v>225501</v>
      </c>
      <c r="B241" s="69" t="s">
        <v>294</v>
      </c>
      <c r="C241" s="60" t="s">
        <v>1196</v>
      </c>
      <c r="D241" s="66" t="s">
        <v>1198</v>
      </c>
      <c r="E241" s="66" t="s">
        <v>1244</v>
      </c>
      <c r="F241" s="66" t="s">
        <v>1611</v>
      </c>
      <c r="G241" s="60" t="s">
        <v>7</v>
      </c>
      <c r="H241" s="61">
        <v>0.10347222222222223</v>
      </c>
      <c r="I241" s="61">
        <v>0.10347222222222223</v>
      </c>
      <c r="J241" s="62"/>
      <c r="K241" s="63" t="s">
        <v>1722</v>
      </c>
      <c r="L241" s="64" t="s">
        <v>1198</v>
      </c>
      <c r="M241" s="64" t="s">
        <v>1244</v>
      </c>
    </row>
    <row r="242" spans="1:13" s="65" customFormat="1" ht="12" customHeight="1" x14ac:dyDescent="0.2">
      <c r="A242" s="78">
        <v>225515</v>
      </c>
      <c r="B242" s="69" t="s">
        <v>295</v>
      </c>
      <c r="C242" s="60" t="s">
        <v>1196</v>
      </c>
      <c r="D242" s="66" t="s">
        <v>1197</v>
      </c>
      <c r="E242" s="66" t="s">
        <v>1357</v>
      </c>
      <c r="F242" s="66" t="s">
        <v>1652</v>
      </c>
      <c r="G242" s="60" t="s">
        <v>7</v>
      </c>
      <c r="H242" s="61">
        <v>0.11944444444444445</v>
      </c>
      <c r="I242" s="61">
        <v>0.11944444444444445</v>
      </c>
      <c r="J242" s="62"/>
      <c r="K242" s="63" t="s">
        <v>1718</v>
      </c>
      <c r="L242" s="64" t="s">
        <v>1197</v>
      </c>
      <c r="M242" s="64" t="s">
        <v>1357</v>
      </c>
    </row>
    <row r="243" spans="1:13" s="65" customFormat="1" ht="12" customHeight="1" x14ac:dyDescent="0.2">
      <c r="A243" s="78">
        <v>225521</v>
      </c>
      <c r="B243" s="69" t="s">
        <v>296</v>
      </c>
      <c r="C243" s="60" t="s">
        <v>1196</v>
      </c>
      <c r="D243" s="66" t="s">
        <v>1201</v>
      </c>
      <c r="E243" s="66" t="s">
        <v>1326</v>
      </c>
      <c r="F243" s="66" t="s">
        <v>1608</v>
      </c>
      <c r="G243" s="60" t="s">
        <v>7</v>
      </c>
      <c r="H243" s="61">
        <v>16.633333333333333</v>
      </c>
      <c r="I243" s="61">
        <v>16.633333333333333</v>
      </c>
      <c r="J243" s="62"/>
      <c r="K243" s="63" t="s">
        <v>1718</v>
      </c>
      <c r="L243" s="64" t="s">
        <v>1201</v>
      </c>
      <c r="M243" s="64" t="s">
        <v>1326</v>
      </c>
    </row>
    <row r="244" spans="1:13" s="65" customFormat="1" ht="12" customHeight="1" x14ac:dyDescent="0.2">
      <c r="A244" s="78">
        <v>225539</v>
      </c>
      <c r="B244" s="69" t="s">
        <v>297</v>
      </c>
      <c r="C244" s="60" t="s">
        <v>1196</v>
      </c>
      <c r="D244" s="66" t="s">
        <v>1204</v>
      </c>
      <c r="E244" s="66" t="s">
        <v>1388</v>
      </c>
      <c r="F244" s="66" t="s">
        <v>1612</v>
      </c>
      <c r="G244" s="60" t="s">
        <v>7</v>
      </c>
      <c r="H244" s="61">
        <v>0.34861111111111115</v>
      </c>
      <c r="I244" s="61">
        <v>0.34861111111111115</v>
      </c>
      <c r="J244" s="62"/>
      <c r="K244" s="63" t="s">
        <v>1718</v>
      </c>
      <c r="L244" s="64" t="s">
        <v>1204</v>
      </c>
      <c r="M244" s="64" t="s">
        <v>1388</v>
      </c>
    </row>
    <row r="245" spans="1:13" s="65" customFormat="1" ht="12" customHeight="1" x14ac:dyDescent="0.2">
      <c r="A245" s="78">
        <v>225540</v>
      </c>
      <c r="B245" s="69" t="s">
        <v>298</v>
      </c>
      <c r="C245" s="60" t="s">
        <v>1196</v>
      </c>
      <c r="D245" s="66" t="s">
        <v>1202</v>
      </c>
      <c r="E245" s="66" t="s">
        <v>1389</v>
      </c>
      <c r="F245" s="66" t="s">
        <v>1671</v>
      </c>
      <c r="G245" s="60" t="s">
        <v>7</v>
      </c>
      <c r="H245" s="61">
        <v>3.7131944444444445</v>
      </c>
      <c r="I245" s="61">
        <v>3.7131944444444445</v>
      </c>
      <c r="J245" s="62"/>
      <c r="K245" s="63" t="s">
        <v>1718</v>
      </c>
      <c r="L245" s="64" t="s">
        <v>1202</v>
      </c>
      <c r="M245" s="64" t="s">
        <v>1389</v>
      </c>
    </row>
    <row r="246" spans="1:13" s="65" customFormat="1" ht="12" customHeight="1" x14ac:dyDescent="0.2">
      <c r="A246" s="78">
        <v>225543</v>
      </c>
      <c r="B246" s="69" t="s">
        <v>299</v>
      </c>
      <c r="C246" s="60" t="s">
        <v>1196</v>
      </c>
      <c r="D246" s="66" t="s">
        <v>1204</v>
      </c>
      <c r="E246" s="66" t="s">
        <v>1390</v>
      </c>
      <c r="F246" s="66" t="s">
        <v>1593</v>
      </c>
      <c r="G246" s="60" t="s">
        <v>8</v>
      </c>
      <c r="H246" s="61">
        <v>0.54097222222222219</v>
      </c>
      <c r="I246" s="61"/>
      <c r="J246" s="62">
        <v>0.54097222222222219</v>
      </c>
      <c r="K246" s="63" t="s">
        <v>1720</v>
      </c>
      <c r="L246" s="64" t="s">
        <v>1204</v>
      </c>
      <c r="M246" s="64" t="s">
        <v>1390</v>
      </c>
    </row>
    <row r="247" spans="1:13" s="65" customFormat="1" ht="12" customHeight="1" x14ac:dyDescent="0.2">
      <c r="A247" s="78">
        <v>225545</v>
      </c>
      <c r="B247" s="69" t="s">
        <v>300</v>
      </c>
      <c r="C247" s="60" t="s">
        <v>1196</v>
      </c>
      <c r="D247" s="66" t="s">
        <v>1200</v>
      </c>
      <c r="E247" s="66" t="s">
        <v>1271</v>
      </c>
      <c r="F247" s="66" t="s">
        <v>1627</v>
      </c>
      <c r="G247" s="60" t="s">
        <v>7</v>
      </c>
      <c r="H247" s="61">
        <v>0.56041666666666667</v>
      </c>
      <c r="I247" s="61">
        <v>0.56041666666666667</v>
      </c>
      <c r="J247" s="62"/>
      <c r="K247" s="63" t="s">
        <v>1723</v>
      </c>
      <c r="L247" s="64" t="s">
        <v>1200</v>
      </c>
      <c r="M247" s="64" t="s">
        <v>1271</v>
      </c>
    </row>
    <row r="248" spans="1:13" s="65" customFormat="1" ht="12" customHeight="1" x14ac:dyDescent="0.2">
      <c r="A248" s="78">
        <v>225547</v>
      </c>
      <c r="B248" s="69" t="s">
        <v>301</v>
      </c>
      <c r="C248" s="60" t="s">
        <v>1196</v>
      </c>
      <c r="D248" s="66" t="s">
        <v>1205</v>
      </c>
      <c r="E248" s="66" t="s">
        <v>1391</v>
      </c>
      <c r="F248" s="66" t="s">
        <v>1620</v>
      </c>
      <c r="G248" s="60" t="s">
        <v>8</v>
      </c>
      <c r="H248" s="61">
        <v>1.2958333333333334</v>
      </c>
      <c r="I248" s="61"/>
      <c r="J248" s="62">
        <v>1.2958333333333334</v>
      </c>
      <c r="K248" s="63" t="s">
        <v>1718</v>
      </c>
      <c r="L248" s="64" t="s">
        <v>1205</v>
      </c>
      <c r="M248" s="64" t="s">
        <v>1391</v>
      </c>
    </row>
    <row r="249" spans="1:13" s="65" customFormat="1" ht="12" customHeight="1" x14ac:dyDescent="0.2">
      <c r="A249" s="78">
        <v>225600</v>
      </c>
      <c r="B249" s="69" t="s">
        <v>302</v>
      </c>
      <c r="C249" s="60" t="s">
        <v>1196</v>
      </c>
      <c r="D249" s="66" t="s">
        <v>1203</v>
      </c>
      <c r="E249" s="66" t="s">
        <v>1387</v>
      </c>
      <c r="F249" s="66" t="s">
        <v>1615</v>
      </c>
      <c r="G249" s="60" t="s">
        <v>7</v>
      </c>
      <c r="H249" s="61">
        <v>3.567361111111111</v>
      </c>
      <c r="I249" s="61">
        <v>3.567361111111111</v>
      </c>
      <c r="J249" s="62"/>
      <c r="K249" s="63" t="s">
        <v>1718</v>
      </c>
      <c r="L249" s="64" t="s">
        <v>1203</v>
      </c>
      <c r="M249" s="64" t="s">
        <v>1387</v>
      </c>
    </row>
    <row r="250" spans="1:13" s="65" customFormat="1" ht="12" customHeight="1" x14ac:dyDescent="0.2">
      <c r="A250" s="78">
        <v>225602</v>
      </c>
      <c r="B250" s="69" t="s">
        <v>303</v>
      </c>
      <c r="C250" s="60" t="s">
        <v>1196</v>
      </c>
      <c r="D250" s="66" t="s">
        <v>1198</v>
      </c>
      <c r="E250" s="66" t="s">
        <v>1392</v>
      </c>
      <c r="F250" s="66" t="s">
        <v>1625</v>
      </c>
      <c r="G250" s="60" t="s">
        <v>8</v>
      </c>
      <c r="H250" s="61">
        <v>0.12708333333333333</v>
      </c>
      <c r="I250" s="61"/>
      <c r="J250" s="62">
        <v>0.12708333333333333</v>
      </c>
      <c r="K250" s="63" t="s">
        <v>1718</v>
      </c>
      <c r="L250" s="64" t="s">
        <v>1198</v>
      </c>
      <c r="M250" s="64" t="s">
        <v>1392</v>
      </c>
    </row>
    <row r="251" spans="1:13" s="65" customFormat="1" ht="12" customHeight="1" x14ac:dyDescent="0.2">
      <c r="A251" s="78">
        <v>225622</v>
      </c>
      <c r="B251" s="69" t="s">
        <v>304</v>
      </c>
      <c r="C251" s="60" t="s">
        <v>1196</v>
      </c>
      <c r="D251" s="66" t="s">
        <v>1204</v>
      </c>
      <c r="E251" s="66" t="s">
        <v>1393</v>
      </c>
      <c r="F251" s="66" t="s">
        <v>1680</v>
      </c>
      <c r="G251" s="60" t="s">
        <v>7</v>
      </c>
      <c r="H251" s="61">
        <v>0.49236111111111108</v>
      </c>
      <c r="I251" s="61">
        <v>0.49236111111111108</v>
      </c>
      <c r="J251" s="62"/>
      <c r="K251" s="63" t="s">
        <v>1718</v>
      </c>
      <c r="L251" s="64" t="s">
        <v>1204</v>
      </c>
      <c r="M251" s="64" t="s">
        <v>1393</v>
      </c>
    </row>
    <row r="252" spans="1:13" s="65" customFormat="1" ht="12" customHeight="1" x14ac:dyDescent="0.2">
      <c r="A252" s="78">
        <v>225679</v>
      </c>
      <c r="B252" s="69" t="s">
        <v>305</v>
      </c>
      <c r="C252" s="60" t="s">
        <v>1196</v>
      </c>
      <c r="D252" s="66" t="s">
        <v>1204</v>
      </c>
      <c r="E252" s="66" t="s">
        <v>1394</v>
      </c>
      <c r="F252" s="66" t="s">
        <v>1681</v>
      </c>
      <c r="G252" s="60" t="s">
        <v>8</v>
      </c>
      <c r="H252" s="61">
        <v>0.92013888888888884</v>
      </c>
      <c r="I252" s="61"/>
      <c r="J252" s="62">
        <v>0.92013888888888884</v>
      </c>
      <c r="K252" s="63" t="s">
        <v>1718</v>
      </c>
      <c r="L252" s="64" t="s">
        <v>1204</v>
      </c>
      <c r="M252" s="64" t="s">
        <v>1394</v>
      </c>
    </row>
    <row r="253" spans="1:13" s="65" customFormat="1" ht="12" customHeight="1" x14ac:dyDescent="0.2">
      <c r="A253" s="78">
        <v>225681</v>
      </c>
      <c r="B253" s="69" t="s">
        <v>306</v>
      </c>
      <c r="C253" s="60" t="s">
        <v>1196</v>
      </c>
      <c r="D253" s="66" t="s">
        <v>1197</v>
      </c>
      <c r="E253" s="66" t="s">
        <v>1395</v>
      </c>
      <c r="F253" s="66" t="s">
        <v>1634</v>
      </c>
      <c r="G253" s="60" t="s">
        <v>8</v>
      </c>
      <c r="H253" s="61">
        <v>2.0055555555555555</v>
      </c>
      <c r="I253" s="61"/>
      <c r="J253" s="62">
        <v>2.0055555555555555</v>
      </c>
      <c r="K253" s="63" t="s">
        <v>1718</v>
      </c>
      <c r="L253" s="64" t="s">
        <v>1197</v>
      </c>
      <c r="M253" s="64" t="s">
        <v>1395</v>
      </c>
    </row>
    <row r="254" spans="1:13" s="65" customFormat="1" ht="12" customHeight="1" x14ac:dyDescent="0.2">
      <c r="A254" s="78">
        <v>225689</v>
      </c>
      <c r="B254" s="69" t="s">
        <v>307</v>
      </c>
      <c r="C254" s="60" t="s">
        <v>1196</v>
      </c>
      <c r="D254" s="66" t="s">
        <v>1198</v>
      </c>
      <c r="E254" s="66" t="s">
        <v>1363</v>
      </c>
      <c r="F254" s="66" t="s">
        <v>1664</v>
      </c>
      <c r="G254" s="60" t="s">
        <v>8</v>
      </c>
      <c r="H254" s="61">
        <v>0.94791666666666663</v>
      </c>
      <c r="I254" s="61"/>
      <c r="J254" s="62">
        <v>0.94791666666666663</v>
      </c>
      <c r="K254" s="63" t="s">
        <v>1718</v>
      </c>
      <c r="L254" s="64" t="s">
        <v>1198</v>
      </c>
      <c r="M254" s="64" t="s">
        <v>1363</v>
      </c>
    </row>
    <row r="255" spans="1:13" s="65" customFormat="1" ht="12" customHeight="1" x14ac:dyDescent="0.2">
      <c r="A255" s="78">
        <v>225762</v>
      </c>
      <c r="B255" s="69" t="s">
        <v>308</v>
      </c>
      <c r="C255" s="60" t="s">
        <v>1196</v>
      </c>
      <c r="D255" s="66" t="s">
        <v>1200</v>
      </c>
      <c r="E255" s="66" t="s">
        <v>1350</v>
      </c>
      <c r="F255" s="66" t="s">
        <v>1613</v>
      </c>
      <c r="G255" s="60" t="s">
        <v>7</v>
      </c>
      <c r="H255" s="61">
        <v>3.4131944444444446</v>
      </c>
      <c r="I255" s="61">
        <v>3.4131944444444446</v>
      </c>
      <c r="J255" s="62"/>
      <c r="K255" s="63" t="s">
        <v>1718</v>
      </c>
      <c r="L255" s="64" t="s">
        <v>1200</v>
      </c>
      <c r="M255" s="64" t="s">
        <v>1350</v>
      </c>
    </row>
    <row r="256" spans="1:13" s="65" customFormat="1" ht="12" customHeight="1" x14ac:dyDescent="0.2">
      <c r="A256" s="78">
        <v>225764</v>
      </c>
      <c r="B256" s="69" t="s">
        <v>309</v>
      </c>
      <c r="C256" s="60" t="s">
        <v>1196</v>
      </c>
      <c r="D256" s="66" t="s">
        <v>1205</v>
      </c>
      <c r="E256" s="66" t="s">
        <v>1396</v>
      </c>
      <c r="F256" s="66" t="s">
        <v>1682</v>
      </c>
      <c r="G256" s="60" t="s">
        <v>8</v>
      </c>
      <c r="H256" s="61">
        <v>1.8749999999999999E-2</v>
      </c>
      <c r="I256" s="61"/>
      <c r="J256" s="62">
        <v>1.8749999999999999E-2</v>
      </c>
      <c r="K256" s="63" t="s">
        <v>1718</v>
      </c>
      <c r="L256" s="64" t="s">
        <v>1205</v>
      </c>
      <c r="M256" s="64" t="s">
        <v>1396</v>
      </c>
    </row>
    <row r="257" spans="1:13" s="65" customFormat="1" ht="12" customHeight="1" x14ac:dyDescent="0.2">
      <c r="A257" s="78">
        <v>225791</v>
      </c>
      <c r="B257" s="69" t="s">
        <v>310</v>
      </c>
      <c r="C257" s="60" t="s">
        <v>1196</v>
      </c>
      <c r="D257" s="66" t="s">
        <v>1205</v>
      </c>
      <c r="E257" s="66" t="s">
        <v>1289</v>
      </c>
      <c r="F257" s="66" t="s">
        <v>1640</v>
      </c>
      <c r="G257" s="60" t="s">
        <v>8</v>
      </c>
      <c r="H257" s="61">
        <v>0.21458333333333335</v>
      </c>
      <c r="I257" s="61"/>
      <c r="J257" s="62">
        <v>0.21458333333333335</v>
      </c>
      <c r="K257" s="63" t="s">
        <v>1723</v>
      </c>
      <c r="L257" s="64" t="s">
        <v>1205</v>
      </c>
      <c r="M257" s="64" t="s">
        <v>1289</v>
      </c>
    </row>
    <row r="258" spans="1:13" s="65" customFormat="1" ht="12" customHeight="1" x14ac:dyDescent="0.2">
      <c r="A258" s="78">
        <v>225852</v>
      </c>
      <c r="B258" s="69" t="s">
        <v>311</v>
      </c>
      <c r="C258" s="60" t="s">
        <v>1196</v>
      </c>
      <c r="D258" s="66" t="s">
        <v>1205</v>
      </c>
      <c r="E258" s="66" t="s">
        <v>1397</v>
      </c>
      <c r="F258" s="66" t="s">
        <v>1631</v>
      </c>
      <c r="G258" s="60" t="s">
        <v>7</v>
      </c>
      <c r="H258" s="61">
        <v>6.458333333333334E-2</v>
      </c>
      <c r="I258" s="61">
        <v>6.458333333333334E-2</v>
      </c>
      <c r="J258" s="62"/>
      <c r="K258" s="63" t="s">
        <v>1718</v>
      </c>
      <c r="L258" s="64" t="s">
        <v>1205</v>
      </c>
      <c r="M258" s="64" t="s">
        <v>1397</v>
      </c>
    </row>
    <row r="259" spans="1:13" s="65" customFormat="1" ht="12" customHeight="1" x14ac:dyDescent="0.2">
      <c r="A259" s="78">
        <v>225892</v>
      </c>
      <c r="B259" s="69" t="s">
        <v>312</v>
      </c>
      <c r="C259" s="60" t="s">
        <v>1196</v>
      </c>
      <c r="D259" s="66" t="s">
        <v>1205</v>
      </c>
      <c r="E259" s="66" t="s">
        <v>1398</v>
      </c>
      <c r="F259" s="66" t="s">
        <v>1683</v>
      </c>
      <c r="G259" s="60" t="s">
        <v>8</v>
      </c>
      <c r="H259" s="61">
        <v>0.54097222222222219</v>
      </c>
      <c r="I259" s="61"/>
      <c r="J259" s="62">
        <v>0.54097222222222219</v>
      </c>
      <c r="K259" s="63" t="s">
        <v>1723</v>
      </c>
      <c r="L259" s="64" t="s">
        <v>1205</v>
      </c>
      <c r="M259" s="64" t="s">
        <v>1398</v>
      </c>
    </row>
    <row r="260" spans="1:13" s="65" customFormat="1" ht="12" customHeight="1" x14ac:dyDescent="0.2">
      <c r="A260" s="78">
        <v>225904</v>
      </c>
      <c r="B260" s="69" t="s">
        <v>313</v>
      </c>
      <c r="C260" s="60" t="s">
        <v>1196</v>
      </c>
      <c r="D260" s="66" t="s">
        <v>1201</v>
      </c>
      <c r="E260" s="66" t="s">
        <v>1399</v>
      </c>
      <c r="F260" s="66" t="s">
        <v>1673</v>
      </c>
      <c r="G260" s="60" t="s">
        <v>7</v>
      </c>
      <c r="H260" s="61">
        <v>8.9180555555555561</v>
      </c>
      <c r="I260" s="61">
        <v>8.9180555555555561</v>
      </c>
      <c r="J260" s="62"/>
      <c r="K260" s="63" t="s">
        <v>1722</v>
      </c>
      <c r="L260" s="64" t="s">
        <v>1201</v>
      </c>
      <c r="M260" s="64" t="s">
        <v>1399</v>
      </c>
    </row>
    <row r="261" spans="1:13" s="65" customFormat="1" ht="12" customHeight="1" x14ac:dyDescent="0.2">
      <c r="A261" s="78">
        <v>225905</v>
      </c>
      <c r="B261" s="69" t="s">
        <v>314</v>
      </c>
      <c r="C261" s="60" t="s">
        <v>1196</v>
      </c>
      <c r="D261" s="66" t="s">
        <v>1199</v>
      </c>
      <c r="E261" s="66" t="s">
        <v>1400</v>
      </c>
      <c r="F261" s="66" t="s">
        <v>1610</v>
      </c>
      <c r="G261" s="60" t="s">
        <v>7</v>
      </c>
      <c r="H261" s="61">
        <v>0.19375000000000001</v>
      </c>
      <c r="I261" s="61">
        <v>0.19375000000000001</v>
      </c>
      <c r="J261" s="62"/>
      <c r="K261" s="63" t="s">
        <v>1718</v>
      </c>
      <c r="L261" s="64" t="s">
        <v>1199</v>
      </c>
      <c r="M261" s="64" t="s">
        <v>1400</v>
      </c>
    </row>
    <row r="262" spans="1:13" s="65" customFormat="1" ht="12" customHeight="1" x14ac:dyDescent="0.2">
      <c r="A262" s="78">
        <v>225908</v>
      </c>
      <c r="B262" s="69" t="s">
        <v>315</v>
      </c>
      <c r="C262" s="60" t="s">
        <v>1196</v>
      </c>
      <c r="D262" s="66" t="s">
        <v>1203</v>
      </c>
      <c r="E262" s="66" t="s">
        <v>1370</v>
      </c>
      <c r="F262" s="66" t="s">
        <v>1603</v>
      </c>
      <c r="G262" s="60" t="s">
        <v>8</v>
      </c>
      <c r="H262" s="61">
        <v>0.30138888888888887</v>
      </c>
      <c r="I262" s="61"/>
      <c r="J262" s="62">
        <v>0.30138888888888887</v>
      </c>
      <c r="K262" s="63" t="s">
        <v>1718</v>
      </c>
      <c r="L262" s="64" t="s">
        <v>1203</v>
      </c>
      <c r="M262" s="64" t="s">
        <v>1370</v>
      </c>
    </row>
    <row r="263" spans="1:13" s="65" customFormat="1" ht="12" customHeight="1" x14ac:dyDescent="0.2">
      <c r="A263" s="78">
        <v>229319</v>
      </c>
      <c r="B263" s="69" t="s">
        <v>316</v>
      </c>
      <c r="C263" s="60" t="s">
        <v>1196</v>
      </c>
      <c r="D263" s="66" t="s">
        <v>1203</v>
      </c>
      <c r="E263" s="66" t="s">
        <v>1300</v>
      </c>
      <c r="F263" s="66" t="s">
        <v>1648</v>
      </c>
      <c r="G263" s="60" t="s">
        <v>7</v>
      </c>
      <c r="H263" s="61">
        <v>11.516666666666667</v>
      </c>
      <c r="I263" s="61">
        <v>11.516666666666667</v>
      </c>
      <c r="J263" s="62"/>
      <c r="K263" s="63" t="s">
        <v>1723</v>
      </c>
      <c r="L263" s="64" t="s">
        <v>1203</v>
      </c>
      <c r="M263" s="64" t="s">
        <v>1300</v>
      </c>
    </row>
    <row r="264" spans="1:13" s="65" customFormat="1" ht="12" customHeight="1" x14ac:dyDescent="0.2">
      <c r="A264" s="78">
        <v>229366</v>
      </c>
      <c r="B264" s="69" t="s">
        <v>317</v>
      </c>
      <c r="C264" s="60" t="s">
        <v>1196</v>
      </c>
      <c r="D264" s="66" t="s">
        <v>1201</v>
      </c>
      <c r="E264" s="66" t="s">
        <v>1362</v>
      </c>
      <c r="F264" s="66" t="s">
        <v>1601</v>
      </c>
      <c r="G264" s="60" t="s">
        <v>7</v>
      </c>
      <c r="H264" s="61">
        <v>2.4805555555555556</v>
      </c>
      <c r="I264" s="61">
        <v>2.4805555555555556</v>
      </c>
      <c r="J264" s="62"/>
      <c r="K264" s="63" t="s">
        <v>1718</v>
      </c>
      <c r="L264" s="64" t="s">
        <v>1201</v>
      </c>
      <c r="M264" s="64" t="s">
        <v>1362</v>
      </c>
    </row>
    <row r="265" spans="1:13" s="65" customFormat="1" ht="12" customHeight="1" x14ac:dyDescent="0.2">
      <c r="A265" s="78">
        <v>229385</v>
      </c>
      <c r="B265" s="69" t="s">
        <v>318</v>
      </c>
      <c r="C265" s="60" t="s">
        <v>1196</v>
      </c>
      <c r="D265" s="66" t="s">
        <v>1204</v>
      </c>
      <c r="E265" s="66" t="s">
        <v>1237</v>
      </c>
      <c r="F265" s="66" t="s">
        <v>1604</v>
      </c>
      <c r="G265" s="60" t="s">
        <v>8</v>
      </c>
      <c r="H265" s="61">
        <v>0.44513888888888892</v>
      </c>
      <c r="I265" s="61"/>
      <c r="J265" s="62">
        <v>0.44513888888888892</v>
      </c>
      <c r="K265" s="63" t="s">
        <v>1723</v>
      </c>
      <c r="L265" s="64" t="s">
        <v>1204</v>
      </c>
      <c r="M265" s="64" t="s">
        <v>1237</v>
      </c>
    </row>
    <row r="266" spans="1:13" s="65" customFormat="1" ht="12" customHeight="1" x14ac:dyDescent="0.2">
      <c r="A266" s="78">
        <v>229386</v>
      </c>
      <c r="B266" s="69" t="s">
        <v>319</v>
      </c>
      <c r="C266" s="60" t="s">
        <v>1196</v>
      </c>
      <c r="D266" s="66" t="s">
        <v>1199</v>
      </c>
      <c r="E266" s="66" t="s">
        <v>1401</v>
      </c>
      <c r="F266" s="66" t="s">
        <v>1645</v>
      </c>
      <c r="G266" s="60" t="s">
        <v>7</v>
      </c>
      <c r="H266" s="61">
        <v>1.3479166666666667</v>
      </c>
      <c r="I266" s="61">
        <v>1.3479166666666667</v>
      </c>
      <c r="J266" s="62"/>
      <c r="K266" s="63" t="s">
        <v>1718</v>
      </c>
      <c r="L266" s="64" t="s">
        <v>1199</v>
      </c>
      <c r="M266" s="64" t="s">
        <v>1401</v>
      </c>
    </row>
    <row r="267" spans="1:13" s="65" customFormat="1" ht="12" customHeight="1" x14ac:dyDescent="0.2">
      <c r="A267" s="78">
        <v>229395</v>
      </c>
      <c r="B267" s="69" t="s">
        <v>320</v>
      </c>
      <c r="C267" s="60" t="s">
        <v>1196</v>
      </c>
      <c r="D267" s="66" t="s">
        <v>1199</v>
      </c>
      <c r="E267" s="66" t="s">
        <v>1354</v>
      </c>
      <c r="F267" s="66" t="s">
        <v>1669</v>
      </c>
      <c r="G267" s="60" t="s">
        <v>8</v>
      </c>
      <c r="H267" s="61">
        <v>0.75902777777777775</v>
      </c>
      <c r="I267" s="61"/>
      <c r="J267" s="62">
        <v>0.75902777777777775</v>
      </c>
      <c r="K267" s="63" t="s">
        <v>1718</v>
      </c>
      <c r="L267" s="64" t="s">
        <v>1199</v>
      </c>
      <c r="M267" s="64" t="s">
        <v>1354</v>
      </c>
    </row>
    <row r="268" spans="1:13" s="65" customFormat="1" ht="12" customHeight="1" x14ac:dyDescent="0.2">
      <c r="A268" s="78">
        <v>229397</v>
      </c>
      <c r="B268" s="69" t="s">
        <v>321</v>
      </c>
      <c r="C268" s="60" t="s">
        <v>1196</v>
      </c>
      <c r="D268" s="66" t="s">
        <v>1201</v>
      </c>
      <c r="E268" s="66" t="s">
        <v>1402</v>
      </c>
      <c r="F268" s="66" t="s">
        <v>1591</v>
      </c>
      <c r="G268" s="60" t="s">
        <v>8</v>
      </c>
      <c r="H268" s="61">
        <v>0.99722222222222223</v>
      </c>
      <c r="I268" s="61"/>
      <c r="J268" s="62">
        <v>0.99722222222222223</v>
      </c>
      <c r="K268" s="63" t="s">
        <v>1721</v>
      </c>
      <c r="L268" s="64" t="s">
        <v>1201</v>
      </c>
      <c r="M268" s="64" t="s">
        <v>1402</v>
      </c>
    </row>
    <row r="269" spans="1:13" s="65" customFormat="1" ht="12" customHeight="1" x14ac:dyDescent="0.2">
      <c r="A269" s="78">
        <v>229410</v>
      </c>
      <c r="B269" s="69" t="s">
        <v>322</v>
      </c>
      <c r="C269" s="60" t="s">
        <v>1196</v>
      </c>
      <c r="D269" s="66" t="s">
        <v>1204</v>
      </c>
      <c r="E269" s="66" t="s">
        <v>1403</v>
      </c>
      <c r="F269" s="66" t="s">
        <v>1602</v>
      </c>
      <c r="G269" s="60" t="s">
        <v>8</v>
      </c>
      <c r="H269" s="61">
        <v>0.28680555555555554</v>
      </c>
      <c r="I269" s="61"/>
      <c r="J269" s="62">
        <v>0.28680555555555554</v>
      </c>
      <c r="K269" s="63" t="s">
        <v>1718</v>
      </c>
      <c r="L269" s="64" t="s">
        <v>1204</v>
      </c>
      <c r="M269" s="64" t="s">
        <v>1403</v>
      </c>
    </row>
    <row r="270" spans="1:13" s="65" customFormat="1" ht="12" customHeight="1" x14ac:dyDescent="0.2">
      <c r="A270" s="78">
        <v>229419</v>
      </c>
      <c r="B270" s="69" t="s">
        <v>323</v>
      </c>
      <c r="C270" s="60" t="s">
        <v>1196</v>
      </c>
      <c r="D270" s="66" t="s">
        <v>1200</v>
      </c>
      <c r="E270" s="66" t="s">
        <v>1322</v>
      </c>
      <c r="F270" s="66" t="s">
        <v>1653</v>
      </c>
      <c r="G270" s="60" t="s">
        <v>8</v>
      </c>
      <c r="H270" s="61">
        <v>6.9444444444444441E-3</v>
      </c>
      <c r="I270" s="61"/>
      <c r="J270" s="62">
        <v>6.9444444444444441E-3</v>
      </c>
      <c r="K270" s="63" t="s">
        <v>1725</v>
      </c>
      <c r="L270" s="64" t="s">
        <v>1200</v>
      </c>
      <c r="M270" s="64" t="s">
        <v>1322</v>
      </c>
    </row>
    <row r="271" spans="1:13" s="65" customFormat="1" ht="12" customHeight="1" x14ac:dyDescent="0.2">
      <c r="A271" s="78">
        <v>229441</v>
      </c>
      <c r="B271" s="69" t="s">
        <v>324</v>
      </c>
      <c r="C271" s="60" t="s">
        <v>1196</v>
      </c>
      <c r="D271" s="66" t="s">
        <v>1197</v>
      </c>
      <c r="E271" s="66" t="s">
        <v>1206</v>
      </c>
      <c r="F271" s="66" t="s">
        <v>1585</v>
      </c>
      <c r="G271" s="60" t="s">
        <v>8</v>
      </c>
      <c r="H271" s="61">
        <v>0.5229166666666667</v>
      </c>
      <c r="I271" s="61"/>
      <c r="J271" s="62">
        <v>0.5229166666666667</v>
      </c>
      <c r="K271" s="63" t="s">
        <v>1718</v>
      </c>
      <c r="L271" s="64" t="s">
        <v>1197</v>
      </c>
      <c r="M271" s="64" t="s">
        <v>1206</v>
      </c>
    </row>
    <row r="272" spans="1:13" s="65" customFormat="1" ht="12" customHeight="1" x14ac:dyDescent="0.2">
      <c r="A272" s="78">
        <v>229447</v>
      </c>
      <c r="B272" s="69" t="s">
        <v>325</v>
      </c>
      <c r="C272" s="60" t="s">
        <v>1196</v>
      </c>
      <c r="D272" s="66" t="s">
        <v>1204</v>
      </c>
      <c r="E272" s="66" t="s">
        <v>1385</v>
      </c>
      <c r="F272" s="66" t="s">
        <v>1679</v>
      </c>
      <c r="G272" s="60" t="s">
        <v>8</v>
      </c>
      <c r="H272" s="61">
        <v>2.7180555555555554</v>
      </c>
      <c r="I272" s="61"/>
      <c r="J272" s="62">
        <v>2.7180555555555554</v>
      </c>
      <c r="K272" s="63" t="s">
        <v>1718</v>
      </c>
      <c r="L272" s="64" t="s">
        <v>1204</v>
      </c>
      <c r="M272" s="64" t="s">
        <v>1385</v>
      </c>
    </row>
    <row r="273" spans="1:13" s="65" customFormat="1" ht="12" customHeight="1" x14ac:dyDescent="0.2">
      <c r="A273" s="78">
        <v>229450</v>
      </c>
      <c r="B273" s="69" t="s">
        <v>326</v>
      </c>
      <c r="C273" s="60" t="s">
        <v>1196</v>
      </c>
      <c r="D273" s="66" t="s">
        <v>1197</v>
      </c>
      <c r="E273" s="66" t="s">
        <v>1206</v>
      </c>
      <c r="F273" s="66" t="s">
        <v>1585</v>
      </c>
      <c r="G273" s="60" t="s">
        <v>7</v>
      </c>
      <c r="H273" s="61">
        <v>0.46527777777777773</v>
      </c>
      <c r="I273" s="61">
        <v>0.46527777777777773</v>
      </c>
      <c r="J273" s="62"/>
      <c r="K273" s="63" t="s">
        <v>1718</v>
      </c>
      <c r="L273" s="64" t="s">
        <v>1197</v>
      </c>
      <c r="M273" s="64" t="s">
        <v>1206</v>
      </c>
    </row>
    <row r="274" spans="1:13" s="65" customFormat="1" ht="12" customHeight="1" x14ac:dyDescent="0.2">
      <c r="A274" s="78">
        <v>229504</v>
      </c>
      <c r="B274" s="69" t="s">
        <v>327</v>
      </c>
      <c r="C274" s="60" t="s">
        <v>1196</v>
      </c>
      <c r="D274" s="66" t="s">
        <v>1197</v>
      </c>
      <c r="E274" s="66" t="s">
        <v>1404</v>
      </c>
      <c r="F274" s="66" t="s">
        <v>1595</v>
      </c>
      <c r="G274" s="60" t="s">
        <v>7</v>
      </c>
      <c r="H274" s="61">
        <v>1.6625000000000001</v>
      </c>
      <c r="I274" s="61">
        <v>1.6625000000000001</v>
      </c>
      <c r="J274" s="62"/>
      <c r="K274" s="63" t="s">
        <v>1720</v>
      </c>
      <c r="L274" s="64" t="s">
        <v>1197</v>
      </c>
      <c r="M274" s="64" t="s">
        <v>1404</v>
      </c>
    </row>
    <row r="275" spans="1:13" s="65" customFormat="1" ht="12" customHeight="1" x14ac:dyDescent="0.2">
      <c r="A275" s="78">
        <v>229535</v>
      </c>
      <c r="B275" s="69" t="s">
        <v>328</v>
      </c>
      <c r="C275" s="60" t="s">
        <v>1196</v>
      </c>
      <c r="D275" s="66" t="s">
        <v>1203</v>
      </c>
      <c r="E275" s="66" t="s">
        <v>1318</v>
      </c>
      <c r="F275" s="66" t="s">
        <v>1633</v>
      </c>
      <c r="G275" s="60" t="s">
        <v>7</v>
      </c>
      <c r="H275" s="61">
        <v>0.52430555555555558</v>
      </c>
      <c r="I275" s="61">
        <v>0.52430555555555558</v>
      </c>
      <c r="J275" s="62"/>
      <c r="K275" s="63" t="s">
        <v>1718</v>
      </c>
      <c r="L275" s="64" t="s">
        <v>1203</v>
      </c>
      <c r="M275" s="64" t="s">
        <v>1318</v>
      </c>
    </row>
    <row r="276" spans="1:13" s="65" customFormat="1" ht="12" customHeight="1" x14ac:dyDescent="0.2">
      <c r="A276" s="78">
        <v>229582</v>
      </c>
      <c r="B276" s="69" t="s">
        <v>329</v>
      </c>
      <c r="C276" s="60" t="s">
        <v>1196</v>
      </c>
      <c r="D276" s="66" t="s">
        <v>1202</v>
      </c>
      <c r="E276" s="66" t="s">
        <v>1405</v>
      </c>
      <c r="F276" s="66" t="s">
        <v>1684</v>
      </c>
      <c r="G276" s="60" t="s">
        <v>8</v>
      </c>
      <c r="H276" s="61">
        <v>1.1270833333333334</v>
      </c>
      <c r="I276" s="61"/>
      <c r="J276" s="62">
        <v>1.1270833333333334</v>
      </c>
      <c r="K276" s="63" t="s">
        <v>1726</v>
      </c>
      <c r="L276" s="64" t="s">
        <v>1202</v>
      </c>
      <c r="M276" s="64" t="s">
        <v>1405</v>
      </c>
    </row>
    <row r="277" spans="1:13" s="65" customFormat="1" ht="12" customHeight="1" x14ac:dyDescent="0.2">
      <c r="A277" s="78">
        <v>229584</v>
      </c>
      <c r="B277" s="69" t="s">
        <v>330</v>
      </c>
      <c r="C277" s="60" t="s">
        <v>1196</v>
      </c>
      <c r="D277" s="66" t="s">
        <v>1204</v>
      </c>
      <c r="E277" s="66" t="s">
        <v>1237</v>
      </c>
      <c r="F277" s="66" t="s">
        <v>1604</v>
      </c>
      <c r="G277" s="60" t="s">
        <v>8</v>
      </c>
      <c r="H277" s="61">
        <v>0.4145833333333333</v>
      </c>
      <c r="I277" s="61"/>
      <c r="J277" s="62">
        <v>0.4145833333333333</v>
      </c>
      <c r="K277" s="63" t="s">
        <v>1723</v>
      </c>
      <c r="L277" s="64" t="s">
        <v>1204</v>
      </c>
      <c r="M277" s="64" t="s">
        <v>1237</v>
      </c>
    </row>
    <row r="278" spans="1:13" s="65" customFormat="1" ht="12" customHeight="1" x14ac:dyDescent="0.2">
      <c r="A278" s="78">
        <v>229602</v>
      </c>
      <c r="B278" s="69" t="s">
        <v>331</v>
      </c>
      <c r="C278" s="60" t="s">
        <v>1196</v>
      </c>
      <c r="D278" s="66" t="s">
        <v>1202</v>
      </c>
      <c r="E278" s="66" t="s">
        <v>1361</v>
      </c>
      <c r="F278" s="66" t="s">
        <v>1654</v>
      </c>
      <c r="G278" s="60" t="s">
        <v>8</v>
      </c>
      <c r="H278" s="61">
        <v>1.5506944444444446</v>
      </c>
      <c r="I278" s="61"/>
      <c r="J278" s="62">
        <v>1.5506944444444446</v>
      </c>
      <c r="K278" s="63" t="s">
        <v>1718</v>
      </c>
      <c r="L278" s="64" t="s">
        <v>1202</v>
      </c>
      <c r="M278" s="64" t="s">
        <v>1361</v>
      </c>
    </row>
    <row r="279" spans="1:13" s="65" customFormat="1" ht="12" customHeight="1" x14ac:dyDescent="0.2">
      <c r="A279" s="78">
        <v>229614</v>
      </c>
      <c r="B279" s="69" t="s">
        <v>332</v>
      </c>
      <c r="C279" s="60" t="s">
        <v>1196</v>
      </c>
      <c r="D279" s="66" t="s">
        <v>1198</v>
      </c>
      <c r="E279" s="66" t="s">
        <v>1406</v>
      </c>
      <c r="F279" s="66" t="s">
        <v>1685</v>
      </c>
      <c r="G279" s="60" t="s">
        <v>7</v>
      </c>
      <c r="H279" s="61">
        <v>0.76041666666666663</v>
      </c>
      <c r="I279" s="61">
        <v>0.76041666666666663</v>
      </c>
      <c r="J279" s="62"/>
      <c r="K279" s="63" t="s">
        <v>1723</v>
      </c>
      <c r="L279" s="64" t="s">
        <v>1198</v>
      </c>
      <c r="M279" s="64" t="s">
        <v>1406</v>
      </c>
    </row>
    <row r="280" spans="1:13" s="65" customFormat="1" ht="12" customHeight="1" x14ac:dyDescent="0.2">
      <c r="A280" s="78">
        <v>229668</v>
      </c>
      <c r="B280" s="69" t="s">
        <v>333</v>
      </c>
      <c r="C280" s="60" t="s">
        <v>1196</v>
      </c>
      <c r="D280" s="66" t="s">
        <v>1202</v>
      </c>
      <c r="E280" s="66" t="s">
        <v>1253</v>
      </c>
      <c r="F280" s="66" t="s">
        <v>1617</v>
      </c>
      <c r="G280" s="60" t="s">
        <v>7</v>
      </c>
      <c r="H280" s="61">
        <v>4.4111111111111114</v>
      </c>
      <c r="I280" s="61">
        <v>4.4111111111111114</v>
      </c>
      <c r="J280" s="62"/>
      <c r="K280" s="63" t="s">
        <v>1723</v>
      </c>
      <c r="L280" s="64" t="s">
        <v>1202</v>
      </c>
      <c r="M280" s="64" t="s">
        <v>1253</v>
      </c>
    </row>
    <row r="281" spans="1:13" s="65" customFormat="1" ht="12" customHeight="1" x14ac:dyDescent="0.2">
      <c r="A281" s="78">
        <v>229679</v>
      </c>
      <c r="B281" s="69" t="s">
        <v>334</v>
      </c>
      <c r="C281" s="60" t="s">
        <v>1196</v>
      </c>
      <c r="D281" s="66" t="s">
        <v>1197</v>
      </c>
      <c r="E281" s="66" t="s">
        <v>1312</v>
      </c>
      <c r="F281" s="66" t="s">
        <v>1600</v>
      </c>
      <c r="G281" s="60" t="s">
        <v>7</v>
      </c>
      <c r="H281" s="61">
        <v>3.1284722222222223</v>
      </c>
      <c r="I281" s="61">
        <v>3.1284722222222223</v>
      </c>
      <c r="J281" s="62"/>
      <c r="K281" s="63" t="s">
        <v>1718</v>
      </c>
      <c r="L281" s="64" t="s">
        <v>1197</v>
      </c>
      <c r="M281" s="64" t="s">
        <v>1312</v>
      </c>
    </row>
    <row r="282" spans="1:13" s="65" customFormat="1" ht="12" customHeight="1" x14ac:dyDescent="0.2">
      <c r="A282" s="78">
        <v>229691</v>
      </c>
      <c r="B282" s="69" t="s">
        <v>335</v>
      </c>
      <c r="C282" s="60" t="s">
        <v>1196</v>
      </c>
      <c r="D282" s="66" t="s">
        <v>1199</v>
      </c>
      <c r="E282" s="66" t="s">
        <v>1407</v>
      </c>
      <c r="F282" s="66" t="s">
        <v>1686</v>
      </c>
      <c r="G282" s="60" t="s">
        <v>8</v>
      </c>
      <c r="H282" s="61">
        <v>0.41180555555555554</v>
      </c>
      <c r="I282" s="61"/>
      <c r="J282" s="62">
        <v>0.41180555555555554</v>
      </c>
      <c r="K282" s="63" t="s">
        <v>1723</v>
      </c>
      <c r="L282" s="64" t="s">
        <v>1199</v>
      </c>
      <c r="M282" s="64" t="s">
        <v>1407</v>
      </c>
    </row>
    <row r="283" spans="1:13" s="65" customFormat="1" ht="12" customHeight="1" x14ac:dyDescent="0.2">
      <c r="A283" s="78">
        <v>229701</v>
      </c>
      <c r="B283" s="69" t="s">
        <v>336</v>
      </c>
      <c r="C283" s="60" t="s">
        <v>1196</v>
      </c>
      <c r="D283" s="66" t="s">
        <v>1204</v>
      </c>
      <c r="E283" s="66" t="s">
        <v>1408</v>
      </c>
      <c r="F283" s="66" t="s">
        <v>1687</v>
      </c>
      <c r="G283" s="60" t="s">
        <v>7</v>
      </c>
      <c r="H283" s="61">
        <v>7.9736111111111114</v>
      </c>
      <c r="I283" s="61">
        <v>7.9736111111111114</v>
      </c>
      <c r="J283" s="62"/>
      <c r="K283" s="63" t="s">
        <v>1718</v>
      </c>
      <c r="L283" s="64" t="s">
        <v>1204</v>
      </c>
      <c r="M283" s="64" t="s">
        <v>1408</v>
      </c>
    </row>
    <row r="284" spans="1:13" s="65" customFormat="1" ht="12" customHeight="1" x14ac:dyDescent="0.2">
      <c r="A284" s="78">
        <v>229718</v>
      </c>
      <c r="B284" s="69" t="s">
        <v>337</v>
      </c>
      <c r="C284" s="60" t="s">
        <v>1196</v>
      </c>
      <c r="D284" s="66" t="s">
        <v>1203</v>
      </c>
      <c r="E284" s="66" t="s">
        <v>1409</v>
      </c>
      <c r="F284" s="66" t="s">
        <v>1615</v>
      </c>
      <c r="G284" s="60" t="s">
        <v>7</v>
      </c>
      <c r="H284" s="61">
        <v>33.256250000000001</v>
      </c>
      <c r="I284" s="61">
        <v>33.256250000000001</v>
      </c>
      <c r="J284" s="62"/>
      <c r="K284" s="63" t="s">
        <v>1723</v>
      </c>
      <c r="L284" s="64" t="s">
        <v>1203</v>
      </c>
      <c r="M284" s="64" t="s">
        <v>1409</v>
      </c>
    </row>
    <row r="285" spans="1:13" s="65" customFormat="1" ht="12" customHeight="1" x14ac:dyDescent="0.2">
      <c r="A285" s="78">
        <v>229745</v>
      </c>
      <c r="B285" s="69" t="s">
        <v>338</v>
      </c>
      <c r="C285" s="60" t="s">
        <v>1196</v>
      </c>
      <c r="D285" s="66" t="s">
        <v>1205</v>
      </c>
      <c r="E285" s="66" t="s">
        <v>1336</v>
      </c>
      <c r="F285" s="66" t="s">
        <v>1663</v>
      </c>
      <c r="G285" s="60" t="s">
        <v>8</v>
      </c>
      <c r="H285" s="61">
        <v>7.2222222222222229E-2</v>
      </c>
      <c r="I285" s="61"/>
      <c r="J285" s="62">
        <v>7.2222222222222229E-2</v>
      </c>
      <c r="K285" s="63" t="s">
        <v>1718</v>
      </c>
      <c r="L285" s="64" t="s">
        <v>1205</v>
      </c>
      <c r="M285" s="64" t="s">
        <v>1336</v>
      </c>
    </row>
    <row r="286" spans="1:13" s="65" customFormat="1" ht="12" customHeight="1" x14ac:dyDescent="0.2">
      <c r="A286" s="78">
        <v>229753</v>
      </c>
      <c r="B286" s="69" t="s">
        <v>339</v>
      </c>
      <c r="C286" s="60" t="s">
        <v>1196</v>
      </c>
      <c r="D286" s="66" t="s">
        <v>1197</v>
      </c>
      <c r="E286" s="66" t="s">
        <v>1395</v>
      </c>
      <c r="F286" s="66" t="s">
        <v>1634</v>
      </c>
      <c r="G286" s="60" t="s">
        <v>7</v>
      </c>
      <c r="H286" s="61">
        <v>9.4423611111111114</v>
      </c>
      <c r="I286" s="61">
        <v>9.4423611111111114</v>
      </c>
      <c r="J286" s="62"/>
      <c r="K286" s="63" t="s">
        <v>1718</v>
      </c>
      <c r="L286" s="64" t="s">
        <v>1197</v>
      </c>
      <c r="M286" s="64" t="s">
        <v>1395</v>
      </c>
    </row>
    <row r="287" spans="1:13" s="65" customFormat="1" ht="12" customHeight="1" x14ac:dyDescent="0.2">
      <c r="A287" s="78">
        <v>229770</v>
      </c>
      <c r="B287" s="69" t="s">
        <v>340</v>
      </c>
      <c r="C287" s="60" t="s">
        <v>1196</v>
      </c>
      <c r="D287" s="66" t="s">
        <v>1204</v>
      </c>
      <c r="E287" s="66" t="s">
        <v>1410</v>
      </c>
      <c r="F287" s="66" t="s">
        <v>1593</v>
      </c>
      <c r="G287" s="60" t="s">
        <v>8</v>
      </c>
      <c r="H287" s="61">
        <v>1.2388888888888889</v>
      </c>
      <c r="I287" s="61"/>
      <c r="J287" s="62">
        <v>1.2388888888888889</v>
      </c>
      <c r="K287" s="63" t="s">
        <v>1720</v>
      </c>
      <c r="L287" s="64" t="s">
        <v>1204</v>
      </c>
      <c r="M287" s="64" t="s">
        <v>1410</v>
      </c>
    </row>
    <row r="288" spans="1:13" s="65" customFormat="1" ht="12" customHeight="1" x14ac:dyDescent="0.2">
      <c r="A288" s="78">
        <v>229774</v>
      </c>
      <c r="B288" s="69" t="s">
        <v>341</v>
      </c>
      <c r="C288" s="60" t="s">
        <v>1196</v>
      </c>
      <c r="D288" s="66" t="s">
        <v>1198</v>
      </c>
      <c r="E288" s="66" t="s">
        <v>1411</v>
      </c>
      <c r="F288" s="66" t="s">
        <v>1685</v>
      </c>
      <c r="G288" s="60" t="s">
        <v>8</v>
      </c>
      <c r="H288" s="61">
        <v>0.71944444444444444</v>
      </c>
      <c r="I288" s="61"/>
      <c r="J288" s="62">
        <v>0.71944444444444444</v>
      </c>
      <c r="K288" s="63" t="s">
        <v>1718</v>
      </c>
      <c r="L288" s="64" t="s">
        <v>1198</v>
      </c>
      <c r="M288" s="64" t="s">
        <v>1411</v>
      </c>
    </row>
    <row r="289" spans="1:13" s="65" customFormat="1" ht="12" customHeight="1" x14ac:dyDescent="0.2">
      <c r="A289" s="78">
        <v>229785</v>
      </c>
      <c r="B289" s="69" t="s">
        <v>342</v>
      </c>
      <c r="C289" s="60" t="s">
        <v>1196</v>
      </c>
      <c r="D289" s="66" t="s">
        <v>1198</v>
      </c>
      <c r="E289" s="66" t="s">
        <v>1412</v>
      </c>
      <c r="F289" s="66" t="s">
        <v>1586</v>
      </c>
      <c r="G289" s="60" t="s">
        <v>8</v>
      </c>
      <c r="H289" s="61">
        <v>0.3034722222222222</v>
      </c>
      <c r="I289" s="61"/>
      <c r="J289" s="62">
        <v>0.3034722222222222</v>
      </c>
      <c r="K289" s="63" t="s">
        <v>1720</v>
      </c>
      <c r="L289" s="64" t="s">
        <v>1198</v>
      </c>
      <c r="M289" s="64" t="s">
        <v>1412</v>
      </c>
    </row>
    <row r="290" spans="1:13" s="65" customFormat="1" ht="12" customHeight="1" x14ac:dyDescent="0.2">
      <c r="A290" s="78">
        <v>229805</v>
      </c>
      <c r="B290" s="69" t="s">
        <v>343</v>
      </c>
      <c r="C290" s="60" t="s">
        <v>1196</v>
      </c>
      <c r="D290" s="66" t="s">
        <v>1202</v>
      </c>
      <c r="E290" s="66" t="s">
        <v>1413</v>
      </c>
      <c r="F290" s="66" t="s">
        <v>1641</v>
      </c>
      <c r="G290" s="60" t="s">
        <v>8</v>
      </c>
      <c r="H290" s="61">
        <v>0.15416666666666667</v>
      </c>
      <c r="I290" s="61"/>
      <c r="J290" s="62">
        <v>0.15416666666666667</v>
      </c>
      <c r="K290" s="63" t="s">
        <v>1718</v>
      </c>
      <c r="L290" s="64" t="s">
        <v>1202</v>
      </c>
      <c r="M290" s="64" t="s">
        <v>1413</v>
      </c>
    </row>
    <row r="291" spans="1:13" s="65" customFormat="1" ht="12" customHeight="1" x14ac:dyDescent="0.2">
      <c r="A291" s="78">
        <v>229823</v>
      </c>
      <c r="B291" s="69" t="s">
        <v>344</v>
      </c>
      <c r="C291" s="60" t="s">
        <v>1196</v>
      </c>
      <c r="D291" s="66" t="s">
        <v>1197</v>
      </c>
      <c r="E291" s="66" t="s">
        <v>1229</v>
      </c>
      <c r="F291" s="66" t="s">
        <v>1585</v>
      </c>
      <c r="G291" s="60" t="s">
        <v>7</v>
      </c>
      <c r="H291" s="61">
        <v>1.04375</v>
      </c>
      <c r="I291" s="61">
        <v>1.04375</v>
      </c>
      <c r="J291" s="62"/>
      <c r="K291" s="63" t="s">
        <v>1723</v>
      </c>
      <c r="L291" s="64" t="s">
        <v>1197</v>
      </c>
      <c r="M291" s="64" t="s">
        <v>1229</v>
      </c>
    </row>
    <row r="292" spans="1:13" s="65" customFormat="1" ht="12" customHeight="1" x14ac:dyDescent="0.2">
      <c r="A292" s="78">
        <v>229826</v>
      </c>
      <c r="B292" s="69" t="s">
        <v>345</v>
      </c>
      <c r="C292" s="60" t="s">
        <v>1196</v>
      </c>
      <c r="D292" s="66" t="s">
        <v>1200</v>
      </c>
      <c r="E292" s="66" t="s">
        <v>1414</v>
      </c>
      <c r="F292" s="66" t="s">
        <v>1688</v>
      </c>
      <c r="G292" s="60" t="s">
        <v>8</v>
      </c>
      <c r="H292" s="61">
        <v>1.9048611111111111</v>
      </c>
      <c r="I292" s="61"/>
      <c r="J292" s="62">
        <v>1.9048611111111111</v>
      </c>
      <c r="K292" s="63" t="s">
        <v>1723</v>
      </c>
      <c r="L292" s="64" t="s">
        <v>1200</v>
      </c>
      <c r="M292" s="64" t="s">
        <v>1414</v>
      </c>
    </row>
    <row r="293" spans="1:13" s="65" customFormat="1" ht="12" customHeight="1" x14ac:dyDescent="0.2">
      <c r="A293" s="78">
        <v>229828</v>
      </c>
      <c r="B293" s="69" t="s">
        <v>346</v>
      </c>
      <c r="C293" s="60" t="s">
        <v>1196</v>
      </c>
      <c r="D293" s="66" t="s">
        <v>1205</v>
      </c>
      <c r="E293" s="66" t="s">
        <v>1415</v>
      </c>
      <c r="F293" s="66" t="s">
        <v>1683</v>
      </c>
      <c r="G293" s="60" t="s">
        <v>7</v>
      </c>
      <c r="H293" s="61">
        <v>1.2611111111111111</v>
      </c>
      <c r="I293" s="61">
        <v>1.2611111111111111</v>
      </c>
      <c r="J293" s="62"/>
      <c r="K293" s="63" t="s">
        <v>1718</v>
      </c>
      <c r="L293" s="64" t="s">
        <v>1205</v>
      </c>
      <c r="M293" s="64" t="s">
        <v>1415</v>
      </c>
    </row>
    <row r="294" spans="1:13" s="65" customFormat="1" ht="12" customHeight="1" x14ac:dyDescent="0.2">
      <c r="A294" s="78">
        <v>229844</v>
      </c>
      <c r="B294" s="69" t="s">
        <v>347</v>
      </c>
      <c r="C294" s="60" t="s">
        <v>1196</v>
      </c>
      <c r="D294" s="66" t="s">
        <v>1205</v>
      </c>
      <c r="E294" s="66" t="s">
        <v>1416</v>
      </c>
      <c r="F294" s="66" t="s">
        <v>1689</v>
      </c>
      <c r="G294" s="60" t="s">
        <v>7</v>
      </c>
      <c r="H294" s="61">
        <v>0.23819444444444446</v>
      </c>
      <c r="I294" s="61">
        <v>0.23819444444444446</v>
      </c>
      <c r="J294" s="62"/>
      <c r="K294" s="63" t="s">
        <v>1722</v>
      </c>
      <c r="L294" s="64" t="s">
        <v>1205</v>
      </c>
      <c r="M294" s="64" t="s">
        <v>1416</v>
      </c>
    </row>
    <row r="295" spans="1:13" s="65" customFormat="1" ht="12" customHeight="1" x14ac:dyDescent="0.2">
      <c r="A295" s="78">
        <v>229847</v>
      </c>
      <c r="B295" s="69" t="s">
        <v>348</v>
      </c>
      <c r="C295" s="60" t="s">
        <v>1196</v>
      </c>
      <c r="D295" s="66" t="s">
        <v>1204</v>
      </c>
      <c r="E295" s="66" t="s">
        <v>1388</v>
      </c>
      <c r="F295" s="66" t="s">
        <v>1612</v>
      </c>
      <c r="G295" s="60" t="s">
        <v>8</v>
      </c>
      <c r="H295" s="61">
        <v>0.18333333333333335</v>
      </c>
      <c r="I295" s="61"/>
      <c r="J295" s="62">
        <v>0.18333333333333335</v>
      </c>
      <c r="K295" s="63" t="s">
        <v>1718</v>
      </c>
      <c r="L295" s="64" t="s">
        <v>1204</v>
      </c>
      <c r="M295" s="64" t="s">
        <v>1388</v>
      </c>
    </row>
    <row r="296" spans="1:13" s="65" customFormat="1" ht="12" customHeight="1" x14ac:dyDescent="0.2">
      <c r="A296" s="78">
        <v>229850</v>
      </c>
      <c r="B296" s="69" t="s">
        <v>349</v>
      </c>
      <c r="C296" s="60" t="s">
        <v>1196</v>
      </c>
      <c r="D296" s="66" t="s">
        <v>1205</v>
      </c>
      <c r="E296" s="66" t="s">
        <v>1417</v>
      </c>
      <c r="F296" s="66" t="s">
        <v>1594</v>
      </c>
      <c r="G296" s="60" t="s">
        <v>8</v>
      </c>
      <c r="H296" s="61">
        <v>0.55694444444444446</v>
      </c>
      <c r="I296" s="61"/>
      <c r="J296" s="62">
        <v>0.55694444444444446</v>
      </c>
      <c r="K296" s="63" t="s">
        <v>1720</v>
      </c>
      <c r="L296" s="64" t="s">
        <v>1205</v>
      </c>
      <c r="M296" s="64" t="s">
        <v>1417</v>
      </c>
    </row>
    <row r="297" spans="1:13" s="65" customFormat="1" ht="12" customHeight="1" x14ac:dyDescent="0.2">
      <c r="A297" s="78">
        <v>229853</v>
      </c>
      <c r="B297" s="69" t="s">
        <v>350</v>
      </c>
      <c r="C297" s="60" t="s">
        <v>1196</v>
      </c>
      <c r="D297" s="66" t="s">
        <v>1198</v>
      </c>
      <c r="E297" s="66" t="s">
        <v>1305</v>
      </c>
      <c r="F297" s="66" t="s">
        <v>1651</v>
      </c>
      <c r="G297" s="60" t="s">
        <v>7</v>
      </c>
      <c r="H297" s="61">
        <v>5.6250000000000001E-2</v>
      </c>
      <c r="I297" s="61">
        <v>5.6250000000000001E-2</v>
      </c>
      <c r="J297" s="62"/>
      <c r="K297" s="63" t="s">
        <v>1722</v>
      </c>
      <c r="L297" s="64" t="s">
        <v>1198</v>
      </c>
      <c r="M297" s="64" t="s">
        <v>1305</v>
      </c>
    </row>
    <row r="298" spans="1:13" s="65" customFormat="1" ht="12" customHeight="1" x14ac:dyDescent="0.2">
      <c r="A298" s="78">
        <v>229864</v>
      </c>
      <c r="B298" s="69" t="s">
        <v>351</v>
      </c>
      <c r="C298" s="60" t="s">
        <v>1196</v>
      </c>
      <c r="D298" s="66" t="s">
        <v>1205</v>
      </c>
      <c r="E298" s="66" t="s">
        <v>1366</v>
      </c>
      <c r="F298" s="66" t="s">
        <v>1640</v>
      </c>
      <c r="G298" s="60" t="s">
        <v>7</v>
      </c>
      <c r="H298" s="61">
        <v>0.90486111111111101</v>
      </c>
      <c r="I298" s="61">
        <v>0.90486111111111101</v>
      </c>
      <c r="J298" s="62"/>
      <c r="K298" s="63" t="s">
        <v>1718</v>
      </c>
      <c r="L298" s="64" t="s">
        <v>1205</v>
      </c>
      <c r="M298" s="64" t="s">
        <v>1366</v>
      </c>
    </row>
    <row r="299" spans="1:13" s="65" customFormat="1" ht="12" customHeight="1" x14ac:dyDescent="0.2">
      <c r="A299" s="78">
        <v>229872</v>
      </c>
      <c r="B299" s="69" t="s">
        <v>352</v>
      </c>
      <c r="C299" s="60" t="s">
        <v>1196</v>
      </c>
      <c r="D299" s="66" t="s">
        <v>1204</v>
      </c>
      <c r="E299" s="66" t="s">
        <v>1418</v>
      </c>
      <c r="F299" s="66" t="s">
        <v>1621</v>
      </c>
      <c r="G299" s="60" t="s">
        <v>7</v>
      </c>
      <c r="H299" s="61">
        <v>1.1555555555555554</v>
      </c>
      <c r="I299" s="61">
        <v>1.1555555555555554</v>
      </c>
      <c r="J299" s="62"/>
      <c r="K299" s="63" t="s">
        <v>1718</v>
      </c>
      <c r="L299" s="64" t="s">
        <v>1204</v>
      </c>
      <c r="M299" s="64" t="s">
        <v>1418</v>
      </c>
    </row>
    <row r="300" spans="1:13" s="65" customFormat="1" ht="12" customHeight="1" x14ac:dyDescent="0.2">
      <c r="A300" s="78">
        <v>229877</v>
      </c>
      <c r="B300" s="69" t="s">
        <v>353</v>
      </c>
      <c r="C300" s="60" t="s">
        <v>1196</v>
      </c>
      <c r="D300" s="66" t="s">
        <v>1200</v>
      </c>
      <c r="E300" s="66" t="s">
        <v>1419</v>
      </c>
      <c r="F300" s="66" t="s">
        <v>1588</v>
      </c>
      <c r="G300" s="60" t="s">
        <v>8</v>
      </c>
      <c r="H300" s="61">
        <v>0.40902777777777777</v>
      </c>
      <c r="I300" s="61"/>
      <c r="J300" s="62">
        <v>0.40902777777777777</v>
      </c>
      <c r="K300" s="63" t="s">
        <v>1722</v>
      </c>
      <c r="L300" s="64" t="s">
        <v>1200</v>
      </c>
      <c r="M300" s="64" t="s">
        <v>1419</v>
      </c>
    </row>
    <row r="301" spans="1:13" s="65" customFormat="1" ht="12" customHeight="1" x14ac:dyDescent="0.2">
      <c r="A301" s="78">
        <v>229919</v>
      </c>
      <c r="B301" s="69" t="s">
        <v>354</v>
      </c>
      <c r="C301" s="60" t="s">
        <v>1196</v>
      </c>
      <c r="D301" s="66" t="s">
        <v>1205</v>
      </c>
      <c r="E301" s="66" t="s">
        <v>1396</v>
      </c>
      <c r="F301" s="66" t="s">
        <v>1682</v>
      </c>
      <c r="G301" s="60" t="s">
        <v>8</v>
      </c>
      <c r="H301" s="61">
        <v>0.45277777777777778</v>
      </c>
      <c r="I301" s="61"/>
      <c r="J301" s="62">
        <v>0.45277777777777778</v>
      </c>
      <c r="K301" s="63" t="s">
        <v>1718</v>
      </c>
      <c r="L301" s="64" t="s">
        <v>1205</v>
      </c>
      <c r="M301" s="64" t="s">
        <v>1396</v>
      </c>
    </row>
    <row r="302" spans="1:13" s="65" customFormat="1" ht="12" customHeight="1" x14ac:dyDescent="0.2">
      <c r="A302" s="78">
        <v>229924</v>
      </c>
      <c r="B302" s="69" t="s">
        <v>355</v>
      </c>
      <c r="C302" s="60" t="s">
        <v>1196</v>
      </c>
      <c r="D302" s="66" t="s">
        <v>1205</v>
      </c>
      <c r="E302" s="66" t="s">
        <v>1355</v>
      </c>
      <c r="F302" s="66" t="s">
        <v>1663</v>
      </c>
      <c r="G302" s="60" t="s">
        <v>7</v>
      </c>
      <c r="H302" s="61">
        <v>0.35069444444444442</v>
      </c>
      <c r="I302" s="61">
        <v>0.35069444444444442</v>
      </c>
      <c r="J302" s="62"/>
      <c r="K302" s="63" t="s">
        <v>1722</v>
      </c>
      <c r="L302" s="64" t="s">
        <v>1205</v>
      </c>
      <c r="M302" s="64" t="s">
        <v>1355</v>
      </c>
    </row>
    <row r="303" spans="1:13" s="65" customFormat="1" ht="12" customHeight="1" x14ac:dyDescent="0.2">
      <c r="A303" s="78">
        <v>229948</v>
      </c>
      <c r="B303" s="69" t="s">
        <v>356</v>
      </c>
      <c r="C303" s="60" t="s">
        <v>1196</v>
      </c>
      <c r="D303" s="66" t="s">
        <v>1203</v>
      </c>
      <c r="E303" s="66" t="s">
        <v>1279</v>
      </c>
      <c r="F303" s="66" t="s">
        <v>1633</v>
      </c>
      <c r="G303" s="60" t="s">
        <v>8</v>
      </c>
      <c r="H303" s="61">
        <v>0.55694444444444446</v>
      </c>
      <c r="I303" s="61"/>
      <c r="J303" s="62">
        <v>0.55694444444444446</v>
      </c>
      <c r="K303" s="63" t="s">
        <v>1723</v>
      </c>
      <c r="L303" s="64" t="s">
        <v>1203</v>
      </c>
      <c r="M303" s="64" t="s">
        <v>1279</v>
      </c>
    </row>
    <row r="304" spans="1:13" s="65" customFormat="1" ht="12" customHeight="1" x14ac:dyDescent="0.2">
      <c r="A304" s="78">
        <v>229949</v>
      </c>
      <c r="B304" s="69" t="s">
        <v>357</v>
      </c>
      <c r="C304" s="60" t="s">
        <v>1196</v>
      </c>
      <c r="D304" s="66" t="s">
        <v>1201</v>
      </c>
      <c r="E304" s="66" t="s">
        <v>1326</v>
      </c>
      <c r="F304" s="66" t="s">
        <v>1608</v>
      </c>
      <c r="G304" s="60" t="s">
        <v>7</v>
      </c>
      <c r="H304" s="61">
        <v>8.3340277777777771</v>
      </c>
      <c r="I304" s="61">
        <v>8.3340277777777771</v>
      </c>
      <c r="J304" s="62"/>
      <c r="K304" s="63" t="s">
        <v>1718</v>
      </c>
      <c r="L304" s="64" t="s">
        <v>1201</v>
      </c>
      <c r="M304" s="64" t="s">
        <v>1326</v>
      </c>
    </row>
    <row r="305" spans="1:13" s="65" customFormat="1" ht="12" customHeight="1" x14ac:dyDescent="0.2">
      <c r="A305" s="78">
        <v>229954</v>
      </c>
      <c r="B305" s="69" t="s">
        <v>358</v>
      </c>
      <c r="C305" s="60" t="s">
        <v>1196</v>
      </c>
      <c r="D305" s="66" t="s">
        <v>1203</v>
      </c>
      <c r="E305" s="66" t="s">
        <v>1370</v>
      </c>
      <c r="F305" s="66" t="s">
        <v>1603</v>
      </c>
      <c r="G305" s="60" t="s">
        <v>8</v>
      </c>
      <c r="H305" s="61">
        <v>0.18194444444444444</v>
      </c>
      <c r="I305" s="61"/>
      <c r="J305" s="62">
        <v>0.18194444444444444</v>
      </c>
      <c r="K305" s="63" t="s">
        <v>1718</v>
      </c>
      <c r="L305" s="64" t="s">
        <v>1203</v>
      </c>
      <c r="M305" s="64" t="s">
        <v>1370</v>
      </c>
    </row>
    <row r="306" spans="1:13" s="65" customFormat="1" ht="12" customHeight="1" x14ac:dyDescent="0.2">
      <c r="A306" s="78">
        <v>229986</v>
      </c>
      <c r="B306" s="69" t="s">
        <v>359</v>
      </c>
      <c r="C306" s="60" t="s">
        <v>1196</v>
      </c>
      <c r="D306" s="66" t="s">
        <v>1203</v>
      </c>
      <c r="E306" s="66" t="s">
        <v>1311</v>
      </c>
      <c r="F306" s="66" t="s">
        <v>1632</v>
      </c>
      <c r="G306" s="60" t="s">
        <v>8</v>
      </c>
      <c r="H306" s="61">
        <v>0.63263888888888886</v>
      </c>
      <c r="I306" s="61"/>
      <c r="J306" s="62">
        <v>0.63263888888888886</v>
      </c>
      <c r="K306" s="63" t="s">
        <v>1718</v>
      </c>
      <c r="L306" s="64" t="s">
        <v>1203</v>
      </c>
      <c r="M306" s="64" t="s">
        <v>1311</v>
      </c>
    </row>
    <row r="307" spans="1:13" s="65" customFormat="1" ht="12" customHeight="1" x14ac:dyDescent="0.2">
      <c r="A307" s="78">
        <v>229987</v>
      </c>
      <c r="B307" s="69" t="s">
        <v>360</v>
      </c>
      <c r="C307" s="60" t="s">
        <v>1196</v>
      </c>
      <c r="D307" s="66" t="s">
        <v>1199</v>
      </c>
      <c r="E307" s="66" t="s">
        <v>1420</v>
      </c>
      <c r="F307" s="66" t="s">
        <v>1670</v>
      </c>
      <c r="G307" s="60" t="s">
        <v>8</v>
      </c>
      <c r="H307" s="61">
        <v>0.9</v>
      </c>
      <c r="I307" s="61"/>
      <c r="J307" s="62">
        <v>0.9</v>
      </c>
      <c r="K307" s="63" t="s">
        <v>1718</v>
      </c>
      <c r="L307" s="64" t="s">
        <v>1199</v>
      </c>
      <c r="M307" s="64" t="s">
        <v>1420</v>
      </c>
    </row>
    <row r="308" spans="1:13" s="65" customFormat="1" ht="12" customHeight="1" x14ac:dyDescent="0.2">
      <c r="A308" s="78">
        <v>230000</v>
      </c>
      <c r="B308" s="69" t="s">
        <v>361</v>
      </c>
      <c r="C308" s="60" t="s">
        <v>1196</v>
      </c>
      <c r="D308" s="66" t="s">
        <v>1201</v>
      </c>
      <c r="E308" s="66" t="s">
        <v>1367</v>
      </c>
      <c r="F308" s="66" t="s">
        <v>1673</v>
      </c>
      <c r="G308" s="60" t="s">
        <v>7</v>
      </c>
      <c r="H308" s="61">
        <v>5.4291666666666671</v>
      </c>
      <c r="I308" s="61">
        <v>5.4291666666666671</v>
      </c>
      <c r="J308" s="62"/>
      <c r="K308" s="63" t="s">
        <v>1718</v>
      </c>
      <c r="L308" s="64" t="s">
        <v>1201</v>
      </c>
      <c r="M308" s="64" t="s">
        <v>1367</v>
      </c>
    </row>
    <row r="309" spans="1:13" s="65" customFormat="1" ht="12" customHeight="1" x14ac:dyDescent="0.2">
      <c r="A309" s="78">
        <v>230001</v>
      </c>
      <c r="B309" s="69" t="s">
        <v>362</v>
      </c>
      <c r="C309" s="60" t="s">
        <v>1196</v>
      </c>
      <c r="D309" s="66" t="s">
        <v>1201</v>
      </c>
      <c r="E309" s="66" t="s">
        <v>1367</v>
      </c>
      <c r="F309" s="66" t="s">
        <v>1673</v>
      </c>
      <c r="G309" s="60" t="s">
        <v>7</v>
      </c>
      <c r="H309" s="61">
        <v>3.3618055555555557</v>
      </c>
      <c r="I309" s="61">
        <v>3.3618055555555557</v>
      </c>
      <c r="J309" s="62"/>
      <c r="K309" s="63" t="s">
        <v>1718</v>
      </c>
      <c r="L309" s="64" t="s">
        <v>1201</v>
      </c>
      <c r="M309" s="64" t="s">
        <v>1367</v>
      </c>
    </row>
    <row r="310" spans="1:13" s="65" customFormat="1" ht="12" customHeight="1" x14ac:dyDescent="0.2">
      <c r="A310" s="78">
        <v>230020</v>
      </c>
      <c r="B310" s="69" t="s">
        <v>363</v>
      </c>
      <c r="C310" s="60" t="s">
        <v>1196</v>
      </c>
      <c r="D310" s="66" t="s">
        <v>1198</v>
      </c>
      <c r="E310" s="66" t="s">
        <v>1421</v>
      </c>
      <c r="F310" s="66" t="s">
        <v>1586</v>
      </c>
      <c r="G310" s="60" t="s">
        <v>8</v>
      </c>
      <c r="H310" s="61">
        <v>0.14791666666666667</v>
      </c>
      <c r="I310" s="61"/>
      <c r="J310" s="62">
        <v>0.14791666666666667</v>
      </c>
      <c r="K310" s="63" t="s">
        <v>1720</v>
      </c>
      <c r="L310" s="64" t="s">
        <v>1198</v>
      </c>
      <c r="M310" s="64" t="s">
        <v>1421</v>
      </c>
    </row>
    <row r="311" spans="1:13" s="65" customFormat="1" ht="12" customHeight="1" x14ac:dyDescent="0.2">
      <c r="A311" s="78">
        <v>230025</v>
      </c>
      <c r="B311" s="69" t="s">
        <v>364</v>
      </c>
      <c r="C311" s="60" t="s">
        <v>1196</v>
      </c>
      <c r="D311" s="66" t="s">
        <v>1202</v>
      </c>
      <c r="E311" s="66" t="s">
        <v>1422</v>
      </c>
      <c r="F311" s="66" t="s">
        <v>1684</v>
      </c>
      <c r="G311" s="60" t="s">
        <v>7</v>
      </c>
      <c r="H311" s="61">
        <v>0.83611111111111114</v>
      </c>
      <c r="I311" s="61">
        <v>0.83611111111111114</v>
      </c>
      <c r="J311" s="62"/>
      <c r="K311" s="63" t="s">
        <v>1718</v>
      </c>
      <c r="L311" s="64" t="s">
        <v>1202</v>
      </c>
      <c r="M311" s="64" t="s">
        <v>1422</v>
      </c>
    </row>
    <row r="312" spans="1:13" s="65" customFormat="1" ht="12" customHeight="1" x14ac:dyDescent="0.2">
      <c r="A312" s="78">
        <v>230026</v>
      </c>
      <c r="B312" s="69" t="s">
        <v>365</v>
      </c>
      <c r="C312" s="60" t="s">
        <v>1196</v>
      </c>
      <c r="D312" s="66" t="s">
        <v>1198</v>
      </c>
      <c r="E312" s="66" t="s">
        <v>1423</v>
      </c>
      <c r="F312" s="66" t="s">
        <v>1655</v>
      </c>
      <c r="G312" s="60" t="s">
        <v>7</v>
      </c>
      <c r="H312" s="61">
        <v>1.2916666666666667</v>
      </c>
      <c r="I312" s="61">
        <v>1.2916666666666667</v>
      </c>
      <c r="J312" s="62"/>
      <c r="K312" s="63" t="s">
        <v>1723</v>
      </c>
      <c r="L312" s="64" t="s">
        <v>1198</v>
      </c>
      <c r="M312" s="64" t="s">
        <v>1423</v>
      </c>
    </row>
    <row r="313" spans="1:13" s="65" customFormat="1" ht="12" customHeight="1" x14ac:dyDescent="0.2">
      <c r="A313" s="78">
        <v>230034</v>
      </c>
      <c r="B313" s="69" t="s">
        <v>366</v>
      </c>
      <c r="C313" s="60" t="s">
        <v>1196</v>
      </c>
      <c r="D313" s="66" t="s">
        <v>1200</v>
      </c>
      <c r="E313" s="66" t="s">
        <v>1424</v>
      </c>
      <c r="F313" s="66" t="s">
        <v>1597</v>
      </c>
      <c r="G313" s="60" t="s">
        <v>8</v>
      </c>
      <c r="H313" s="61">
        <v>1.2618055555555556</v>
      </c>
      <c r="I313" s="61"/>
      <c r="J313" s="62">
        <v>1.2618055555555556</v>
      </c>
      <c r="K313" s="63" t="s">
        <v>1718</v>
      </c>
      <c r="L313" s="64" t="s">
        <v>1200</v>
      </c>
      <c r="M313" s="64" t="s">
        <v>1424</v>
      </c>
    </row>
    <row r="314" spans="1:13" s="65" customFormat="1" ht="12" customHeight="1" x14ac:dyDescent="0.2">
      <c r="A314" s="78">
        <v>230040</v>
      </c>
      <c r="B314" s="69" t="s">
        <v>367</v>
      </c>
      <c r="C314" s="60" t="s">
        <v>1196</v>
      </c>
      <c r="D314" s="66" t="s">
        <v>1204</v>
      </c>
      <c r="E314" s="66" t="s">
        <v>1425</v>
      </c>
      <c r="F314" s="66" t="s">
        <v>1690</v>
      </c>
      <c r="G314" s="60" t="s">
        <v>8</v>
      </c>
      <c r="H314" s="61">
        <v>0.29791666666666666</v>
      </c>
      <c r="I314" s="61"/>
      <c r="J314" s="62">
        <v>0.29791666666666666</v>
      </c>
      <c r="K314" s="63" t="s">
        <v>1718</v>
      </c>
      <c r="L314" s="64" t="s">
        <v>1204</v>
      </c>
      <c r="M314" s="64" t="s">
        <v>1425</v>
      </c>
    </row>
    <row r="315" spans="1:13" s="65" customFormat="1" ht="12" customHeight="1" x14ac:dyDescent="0.2">
      <c r="A315" s="78">
        <v>230063</v>
      </c>
      <c r="B315" s="69" t="s">
        <v>368</v>
      </c>
      <c r="C315" s="60" t="s">
        <v>1196</v>
      </c>
      <c r="D315" s="66" t="s">
        <v>1201</v>
      </c>
      <c r="E315" s="66" t="s">
        <v>1257</v>
      </c>
      <c r="F315" s="66" t="s">
        <v>1619</v>
      </c>
      <c r="G315" s="60" t="s">
        <v>7</v>
      </c>
      <c r="H315" s="61">
        <v>5.5006944444444441</v>
      </c>
      <c r="I315" s="61">
        <v>5.5006944444444441</v>
      </c>
      <c r="J315" s="62"/>
      <c r="K315" s="63" t="s">
        <v>1723</v>
      </c>
      <c r="L315" s="64" t="s">
        <v>1201</v>
      </c>
      <c r="M315" s="64" t="s">
        <v>1257</v>
      </c>
    </row>
    <row r="316" spans="1:13" s="65" customFormat="1" ht="12" customHeight="1" x14ac:dyDescent="0.2">
      <c r="A316" s="78">
        <v>230067</v>
      </c>
      <c r="B316" s="69" t="s">
        <v>369</v>
      </c>
      <c r="C316" s="60" t="s">
        <v>1196</v>
      </c>
      <c r="D316" s="66" t="s">
        <v>1201</v>
      </c>
      <c r="E316" s="66" t="s">
        <v>1372</v>
      </c>
      <c r="F316" s="66" t="s">
        <v>1675</v>
      </c>
      <c r="G316" s="60" t="s">
        <v>7</v>
      </c>
      <c r="H316" s="61">
        <v>0.64930555555555558</v>
      </c>
      <c r="I316" s="61">
        <v>0.64930555555555558</v>
      </c>
      <c r="J316" s="62"/>
      <c r="K316" s="63" t="s">
        <v>1718</v>
      </c>
      <c r="L316" s="64" t="s">
        <v>1201</v>
      </c>
      <c r="M316" s="64" t="s">
        <v>1372</v>
      </c>
    </row>
    <row r="317" spans="1:13" s="65" customFormat="1" ht="12" customHeight="1" x14ac:dyDescent="0.2">
      <c r="A317" s="78">
        <v>230069</v>
      </c>
      <c r="B317" s="69" t="s">
        <v>370</v>
      </c>
      <c r="C317" s="60" t="s">
        <v>1196</v>
      </c>
      <c r="D317" s="66" t="s">
        <v>1201</v>
      </c>
      <c r="E317" s="66" t="s">
        <v>1426</v>
      </c>
      <c r="F317" s="66" t="s">
        <v>1591</v>
      </c>
      <c r="G317" s="60" t="s">
        <v>8</v>
      </c>
      <c r="H317" s="61">
        <v>2.4305555555555556E-2</v>
      </c>
      <c r="I317" s="61"/>
      <c r="J317" s="62">
        <v>2.4305555555555556E-2</v>
      </c>
      <c r="K317" s="63" t="s">
        <v>1720</v>
      </c>
      <c r="L317" s="64" t="s">
        <v>1201</v>
      </c>
      <c r="M317" s="64" t="s">
        <v>1426</v>
      </c>
    </row>
    <row r="318" spans="1:13" s="65" customFormat="1" ht="12" customHeight="1" x14ac:dyDescent="0.2">
      <c r="A318" s="78">
        <v>230145</v>
      </c>
      <c r="B318" s="69" t="s">
        <v>371</v>
      </c>
      <c r="C318" s="60" t="s">
        <v>1196</v>
      </c>
      <c r="D318" s="66" t="s">
        <v>1201</v>
      </c>
      <c r="E318" s="66" t="s">
        <v>1399</v>
      </c>
      <c r="F318" s="66" t="s">
        <v>1673</v>
      </c>
      <c r="G318" s="60" t="s">
        <v>7</v>
      </c>
      <c r="H318" s="61">
        <v>15.647916666666667</v>
      </c>
      <c r="I318" s="61">
        <v>15.647916666666667</v>
      </c>
      <c r="J318" s="62"/>
      <c r="K318" s="63" t="s">
        <v>1723</v>
      </c>
      <c r="L318" s="64" t="s">
        <v>1201</v>
      </c>
      <c r="M318" s="64" t="s">
        <v>1399</v>
      </c>
    </row>
    <row r="319" spans="1:13" s="65" customFormat="1" ht="12" customHeight="1" x14ac:dyDescent="0.2">
      <c r="A319" s="78">
        <v>230181</v>
      </c>
      <c r="B319" s="69" t="s">
        <v>372</v>
      </c>
      <c r="C319" s="60" t="s">
        <v>1196</v>
      </c>
      <c r="D319" s="66" t="s">
        <v>1202</v>
      </c>
      <c r="E319" s="66" t="s">
        <v>1374</v>
      </c>
      <c r="F319" s="66" t="s">
        <v>1617</v>
      </c>
      <c r="G319" s="60" t="s">
        <v>7</v>
      </c>
      <c r="H319" s="61">
        <v>2.8659722222222221</v>
      </c>
      <c r="I319" s="61">
        <v>2.8659722222222221</v>
      </c>
      <c r="J319" s="62"/>
      <c r="K319" s="63" t="s">
        <v>1718</v>
      </c>
      <c r="L319" s="64" t="s">
        <v>1202</v>
      </c>
      <c r="M319" s="64" t="s">
        <v>1374</v>
      </c>
    </row>
    <row r="320" spans="1:13" s="65" customFormat="1" ht="12" customHeight="1" x14ac:dyDescent="0.2">
      <c r="A320" s="78">
        <v>230182</v>
      </c>
      <c r="B320" s="69" t="s">
        <v>373</v>
      </c>
      <c r="C320" s="60" t="s">
        <v>1196</v>
      </c>
      <c r="D320" s="66" t="s">
        <v>1203</v>
      </c>
      <c r="E320" s="66" t="s">
        <v>1427</v>
      </c>
      <c r="F320" s="66" t="s">
        <v>1643</v>
      </c>
      <c r="G320" s="60" t="s">
        <v>7</v>
      </c>
      <c r="H320" s="61">
        <v>0.87361111111111101</v>
      </c>
      <c r="I320" s="61">
        <v>0.87361111111111101</v>
      </c>
      <c r="J320" s="62"/>
      <c r="K320" s="63" t="s">
        <v>1718</v>
      </c>
      <c r="L320" s="64" t="s">
        <v>1203</v>
      </c>
      <c r="M320" s="64" t="s">
        <v>1427</v>
      </c>
    </row>
    <row r="321" spans="1:13" s="65" customFormat="1" ht="12" customHeight="1" x14ac:dyDescent="0.2">
      <c r="A321" s="78">
        <v>230257</v>
      </c>
      <c r="B321" s="69" t="s">
        <v>374</v>
      </c>
      <c r="C321" s="60" t="s">
        <v>1196</v>
      </c>
      <c r="D321" s="66" t="s">
        <v>1199</v>
      </c>
      <c r="E321" s="66" t="s">
        <v>1384</v>
      </c>
      <c r="F321" s="66" t="s">
        <v>1678</v>
      </c>
      <c r="G321" s="60" t="s">
        <v>8</v>
      </c>
      <c r="H321" s="61">
        <v>0.1423611111111111</v>
      </c>
      <c r="I321" s="61"/>
      <c r="J321" s="62">
        <v>0.1423611111111111</v>
      </c>
      <c r="K321" s="63" t="s">
        <v>1718</v>
      </c>
      <c r="L321" s="64" t="s">
        <v>1199</v>
      </c>
      <c r="M321" s="64" t="s">
        <v>1384</v>
      </c>
    </row>
    <row r="322" spans="1:13" s="65" customFormat="1" ht="12" customHeight="1" x14ac:dyDescent="0.2">
      <c r="A322" s="78">
        <v>230259</v>
      </c>
      <c r="B322" s="69" t="s">
        <v>375</v>
      </c>
      <c r="C322" s="60" t="s">
        <v>1196</v>
      </c>
      <c r="D322" s="66" t="s">
        <v>1200</v>
      </c>
      <c r="E322" s="66" t="s">
        <v>1350</v>
      </c>
      <c r="F322" s="66" t="s">
        <v>1613</v>
      </c>
      <c r="G322" s="60" t="s">
        <v>8</v>
      </c>
      <c r="H322" s="61">
        <v>0.58124999999999993</v>
      </c>
      <c r="I322" s="61"/>
      <c r="J322" s="62">
        <v>0.58124999999999993</v>
      </c>
      <c r="K322" s="63" t="s">
        <v>1718</v>
      </c>
      <c r="L322" s="64" t="s">
        <v>1200</v>
      </c>
      <c r="M322" s="64" t="s">
        <v>1350</v>
      </c>
    </row>
    <row r="323" spans="1:13" s="65" customFormat="1" ht="12" customHeight="1" x14ac:dyDescent="0.2">
      <c r="A323" s="78">
        <v>230261</v>
      </c>
      <c r="B323" s="69" t="s">
        <v>376</v>
      </c>
      <c r="C323" s="60" t="s">
        <v>1196</v>
      </c>
      <c r="D323" s="66" t="s">
        <v>1204</v>
      </c>
      <c r="E323" s="66" t="s">
        <v>1321</v>
      </c>
      <c r="F323" s="66" t="s">
        <v>1656</v>
      </c>
      <c r="G323" s="60" t="s">
        <v>8</v>
      </c>
      <c r="H323" s="61">
        <v>0.24583333333333335</v>
      </c>
      <c r="I323" s="61"/>
      <c r="J323" s="62">
        <v>0.24583333333333335</v>
      </c>
      <c r="K323" s="63" t="s">
        <v>1718</v>
      </c>
      <c r="L323" s="64" t="s">
        <v>1204</v>
      </c>
      <c r="M323" s="64" t="s">
        <v>1321</v>
      </c>
    </row>
    <row r="324" spans="1:13" s="65" customFormat="1" ht="12" customHeight="1" x14ac:dyDescent="0.2">
      <c r="A324" s="78">
        <v>230262</v>
      </c>
      <c r="B324" s="69" t="s">
        <v>377</v>
      </c>
      <c r="C324" s="60" t="s">
        <v>1196</v>
      </c>
      <c r="D324" s="66" t="s">
        <v>1198</v>
      </c>
      <c r="E324" s="66" t="s">
        <v>1428</v>
      </c>
      <c r="F324" s="66" t="s">
        <v>1691</v>
      </c>
      <c r="G324" s="60" t="s">
        <v>7</v>
      </c>
      <c r="H324" s="61">
        <v>0.39166666666666666</v>
      </c>
      <c r="I324" s="61">
        <v>0.39166666666666666</v>
      </c>
      <c r="J324" s="62"/>
      <c r="K324" s="63" t="s">
        <v>1718</v>
      </c>
      <c r="L324" s="64" t="s">
        <v>1198</v>
      </c>
      <c r="M324" s="64" t="s">
        <v>1428</v>
      </c>
    </row>
    <row r="325" spans="1:13" s="65" customFormat="1" ht="12" customHeight="1" x14ac:dyDescent="0.2">
      <c r="A325" s="78">
        <v>230275</v>
      </c>
      <c r="B325" s="69" t="s">
        <v>378</v>
      </c>
      <c r="C325" s="60" t="s">
        <v>1196</v>
      </c>
      <c r="D325" s="66" t="s">
        <v>1202</v>
      </c>
      <c r="E325" s="66" t="s">
        <v>1429</v>
      </c>
      <c r="F325" s="66" t="s">
        <v>1590</v>
      </c>
      <c r="G325" s="60" t="s">
        <v>7</v>
      </c>
      <c r="H325" s="61">
        <v>0.23750000000000002</v>
      </c>
      <c r="I325" s="61">
        <v>0.23750000000000002</v>
      </c>
      <c r="J325" s="62"/>
      <c r="K325" s="63" t="s">
        <v>1720</v>
      </c>
      <c r="L325" s="64" t="s">
        <v>1202</v>
      </c>
      <c r="M325" s="64" t="s">
        <v>1429</v>
      </c>
    </row>
    <row r="326" spans="1:13" s="65" customFormat="1" ht="12" customHeight="1" x14ac:dyDescent="0.2">
      <c r="A326" s="78">
        <v>230276</v>
      </c>
      <c r="B326" s="69" t="s">
        <v>379</v>
      </c>
      <c r="C326" s="60" t="s">
        <v>1196</v>
      </c>
      <c r="D326" s="66" t="s">
        <v>1204</v>
      </c>
      <c r="E326" s="66" t="s">
        <v>1430</v>
      </c>
      <c r="F326" s="66" t="s">
        <v>1593</v>
      </c>
      <c r="G326" s="60" t="s">
        <v>8</v>
      </c>
      <c r="H326" s="61">
        <v>0.67361111111111116</v>
      </c>
      <c r="I326" s="61"/>
      <c r="J326" s="62">
        <v>0.67361111111111116</v>
      </c>
      <c r="K326" s="63" t="s">
        <v>1720</v>
      </c>
      <c r="L326" s="64" t="s">
        <v>1204</v>
      </c>
      <c r="M326" s="64" t="s">
        <v>1430</v>
      </c>
    </row>
    <row r="327" spans="1:13" s="65" customFormat="1" ht="12" customHeight="1" x14ac:dyDescent="0.2">
      <c r="A327" s="78">
        <v>230277</v>
      </c>
      <c r="B327" s="69" t="s">
        <v>380</v>
      </c>
      <c r="C327" s="60" t="s">
        <v>1196</v>
      </c>
      <c r="D327" s="66" t="s">
        <v>1204</v>
      </c>
      <c r="E327" s="66" t="s">
        <v>1321</v>
      </c>
      <c r="F327" s="66" t="s">
        <v>1656</v>
      </c>
      <c r="G327" s="60" t="s">
        <v>7</v>
      </c>
      <c r="H327" s="61">
        <v>8.5416666666666655E-2</v>
      </c>
      <c r="I327" s="61">
        <v>8.5416666666666655E-2</v>
      </c>
      <c r="J327" s="62"/>
      <c r="K327" s="63" t="s">
        <v>1718</v>
      </c>
      <c r="L327" s="64" t="s">
        <v>1204</v>
      </c>
      <c r="M327" s="64" t="s">
        <v>1321</v>
      </c>
    </row>
    <row r="328" spans="1:13" s="65" customFormat="1" ht="12" customHeight="1" x14ac:dyDescent="0.2">
      <c r="A328" s="78">
        <v>230304</v>
      </c>
      <c r="B328" s="69" t="s">
        <v>381</v>
      </c>
      <c r="C328" s="60" t="s">
        <v>1196</v>
      </c>
      <c r="D328" s="66" t="s">
        <v>1200</v>
      </c>
      <c r="E328" s="66" t="s">
        <v>1329</v>
      </c>
      <c r="F328" s="66" t="s">
        <v>1627</v>
      </c>
      <c r="G328" s="60" t="s">
        <v>8</v>
      </c>
      <c r="H328" s="61">
        <v>0.50555555555555554</v>
      </c>
      <c r="I328" s="61"/>
      <c r="J328" s="62">
        <v>0.50555555555555554</v>
      </c>
      <c r="K328" s="63" t="s">
        <v>1718</v>
      </c>
      <c r="L328" s="64" t="s">
        <v>1200</v>
      </c>
      <c r="M328" s="64" t="s">
        <v>1329</v>
      </c>
    </row>
    <row r="329" spans="1:13" s="65" customFormat="1" ht="12" customHeight="1" x14ac:dyDescent="0.2">
      <c r="A329" s="78">
        <v>230363</v>
      </c>
      <c r="B329" s="69" t="s">
        <v>382</v>
      </c>
      <c r="C329" s="60" t="s">
        <v>1196</v>
      </c>
      <c r="D329" s="66" t="s">
        <v>1203</v>
      </c>
      <c r="E329" s="66" t="s">
        <v>1311</v>
      </c>
      <c r="F329" s="66" t="s">
        <v>1632</v>
      </c>
      <c r="G329" s="60" t="s">
        <v>8</v>
      </c>
      <c r="H329" s="61">
        <v>0.23819444444444446</v>
      </c>
      <c r="I329" s="61"/>
      <c r="J329" s="62">
        <v>0.23819444444444446</v>
      </c>
      <c r="K329" s="63" t="s">
        <v>1718</v>
      </c>
      <c r="L329" s="64" t="s">
        <v>1203</v>
      </c>
      <c r="M329" s="64" t="s">
        <v>1311</v>
      </c>
    </row>
    <row r="330" spans="1:13" s="65" customFormat="1" ht="12" customHeight="1" x14ac:dyDescent="0.2">
      <c r="A330" s="78">
        <v>230374</v>
      </c>
      <c r="B330" s="69" t="s">
        <v>383</v>
      </c>
      <c r="C330" s="60" t="s">
        <v>1196</v>
      </c>
      <c r="D330" s="66" t="s">
        <v>1200</v>
      </c>
      <c r="E330" s="66" t="s">
        <v>1431</v>
      </c>
      <c r="F330" s="66" t="s">
        <v>1692</v>
      </c>
      <c r="G330" s="60" t="s">
        <v>8</v>
      </c>
      <c r="H330" s="61">
        <v>0.5854166666666667</v>
      </c>
      <c r="I330" s="61"/>
      <c r="J330" s="62">
        <v>0.5854166666666667</v>
      </c>
      <c r="K330" s="63" t="s">
        <v>1718</v>
      </c>
      <c r="L330" s="64" t="s">
        <v>1200</v>
      </c>
      <c r="M330" s="64" t="s">
        <v>1431</v>
      </c>
    </row>
    <row r="331" spans="1:13" s="65" customFormat="1" ht="12" customHeight="1" x14ac:dyDescent="0.2">
      <c r="A331" s="78">
        <v>230381</v>
      </c>
      <c r="B331" s="69" t="s">
        <v>384</v>
      </c>
      <c r="C331" s="60" t="s">
        <v>1196</v>
      </c>
      <c r="D331" s="66" t="s">
        <v>1199</v>
      </c>
      <c r="E331" s="66" t="s">
        <v>1315</v>
      </c>
      <c r="F331" s="66" t="s">
        <v>1635</v>
      </c>
      <c r="G331" s="60" t="s">
        <v>8</v>
      </c>
      <c r="H331" s="61">
        <v>0.32569444444444445</v>
      </c>
      <c r="I331" s="61"/>
      <c r="J331" s="62">
        <v>0.32569444444444445</v>
      </c>
      <c r="K331" s="63" t="s">
        <v>1718</v>
      </c>
      <c r="L331" s="64" t="s">
        <v>1199</v>
      </c>
      <c r="M331" s="64" t="s">
        <v>1315</v>
      </c>
    </row>
    <row r="332" spans="1:13" s="65" customFormat="1" ht="12" customHeight="1" x14ac:dyDescent="0.2">
      <c r="A332" s="78">
        <v>230386</v>
      </c>
      <c r="B332" s="69" t="s">
        <v>385</v>
      </c>
      <c r="C332" s="60" t="s">
        <v>1196</v>
      </c>
      <c r="D332" s="66" t="s">
        <v>1205</v>
      </c>
      <c r="E332" s="66" t="s">
        <v>1366</v>
      </c>
      <c r="F332" s="66" t="s">
        <v>1640</v>
      </c>
      <c r="G332" s="60" t="s">
        <v>7</v>
      </c>
      <c r="H332" s="61">
        <v>6.4833333333333334</v>
      </c>
      <c r="I332" s="61">
        <v>6.4833333333333334</v>
      </c>
      <c r="J332" s="62"/>
      <c r="K332" s="63" t="s">
        <v>1718</v>
      </c>
      <c r="L332" s="64" t="s">
        <v>1205</v>
      </c>
      <c r="M332" s="64" t="s">
        <v>1366</v>
      </c>
    </row>
    <row r="333" spans="1:13" s="65" customFormat="1" ht="12" customHeight="1" x14ac:dyDescent="0.2">
      <c r="A333" s="78">
        <v>230388</v>
      </c>
      <c r="B333" s="69" t="s">
        <v>386</v>
      </c>
      <c r="C333" s="60" t="s">
        <v>1196</v>
      </c>
      <c r="D333" s="66" t="s">
        <v>1205</v>
      </c>
      <c r="E333" s="66" t="s">
        <v>1346</v>
      </c>
      <c r="F333" s="66" t="s">
        <v>1609</v>
      </c>
      <c r="G333" s="60" t="s">
        <v>7</v>
      </c>
      <c r="H333" s="61">
        <v>2.3416666666666668</v>
      </c>
      <c r="I333" s="61">
        <v>2.3416666666666668</v>
      </c>
      <c r="J333" s="62"/>
      <c r="K333" s="63" t="s">
        <v>1718</v>
      </c>
      <c r="L333" s="64" t="s">
        <v>1205</v>
      </c>
      <c r="M333" s="64" t="s">
        <v>1346</v>
      </c>
    </row>
    <row r="334" spans="1:13" s="65" customFormat="1" ht="12" customHeight="1" x14ac:dyDescent="0.2">
      <c r="A334" s="78">
        <v>230390</v>
      </c>
      <c r="B334" s="69" t="s">
        <v>387</v>
      </c>
      <c r="C334" s="60" t="s">
        <v>1196</v>
      </c>
      <c r="D334" s="66" t="s">
        <v>1198</v>
      </c>
      <c r="E334" s="66" t="s">
        <v>1432</v>
      </c>
      <c r="F334" s="66" t="s">
        <v>1586</v>
      </c>
      <c r="G334" s="60" t="s">
        <v>7</v>
      </c>
      <c r="H334" s="61">
        <v>2.2222222222222223E-2</v>
      </c>
      <c r="I334" s="61">
        <v>2.2222222222222223E-2</v>
      </c>
      <c r="J334" s="62"/>
      <c r="K334" s="63" t="s">
        <v>1720</v>
      </c>
      <c r="L334" s="64" t="s">
        <v>1198</v>
      </c>
      <c r="M334" s="64" t="s">
        <v>1432</v>
      </c>
    </row>
    <row r="335" spans="1:13" s="65" customFormat="1" ht="12" customHeight="1" x14ac:dyDescent="0.2">
      <c r="A335" s="78">
        <v>230391</v>
      </c>
      <c r="B335" s="69" t="s">
        <v>388</v>
      </c>
      <c r="C335" s="60" t="s">
        <v>1196</v>
      </c>
      <c r="D335" s="66" t="s">
        <v>1198</v>
      </c>
      <c r="E335" s="66" t="s">
        <v>1392</v>
      </c>
      <c r="F335" s="66" t="s">
        <v>1625</v>
      </c>
      <c r="G335" s="60" t="s">
        <v>8</v>
      </c>
      <c r="H335" s="61">
        <v>0.96666666666666667</v>
      </c>
      <c r="I335" s="61"/>
      <c r="J335" s="62">
        <v>0.96666666666666667</v>
      </c>
      <c r="K335" s="63" t="s">
        <v>1718</v>
      </c>
      <c r="L335" s="64" t="s">
        <v>1198</v>
      </c>
      <c r="M335" s="64" t="s">
        <v>1392</v>
      </c>
    </row>
    <row r="336" spans="1:13" s="65" customFormat="1" ht="12" customHeight="1" x14ac:dyDescent="0.2">
      <c r="A336" s="78">
        <v>230403</v>
      </c>
      <c r="B336" s="69" t="s">
        <v>389</v>
      </c>
      <c r="C336" s="60" t="s">
        <v>1196</v>
      </c>
      <c r="D336" s="66" t="s">
        <v>1205</v>
      </c>
      <c r="E336" s="66" t="s">
        <v>1346</v>
      </c>
      <c r="F336" s="66" t="s">
        <v>1609</v>
      </c>
      <c r="G336" s="60" t="s">
        <v>7</v>
      </c>
      <c r="H336" s="61">
        <v>1.6381944444444443</v>
      </c>
      <c r="I336" s="61">
        <v>1.6381944444444443</v>
      </c>
      <c r="J336" s="62"/>
      <c r="K336" s="63" t="s">
        <v>1718</v>
      </c>
      <c r="L336" s="64" t="s">
        <v>1205</v>
      </c>
      <c r="M336" s="64" t="s">
        <v>1346</v>
      </c>
    </row>
    <row r="337" spans="1:13" s="65" customFormat="1" ht="12" customHeight="1" x14ac:dyDescent="0.2">
      <c r="A337" s="78">
        <v>230421</v>
      </c>
      <c r="B337" s="69" t="s">
        <v>390</v>
      </c>
      <c r="C337" s="60" t="s">
        <v>1196</v>
      </c>
      <c r="D337" s="66" t="s">
        <v>1200</v>
      </c>
      <c r="E337" s="66" t="s">
        <v>1322</v>
      </c>
      <c r="F337" s="66" t="s">
        <v>1653</v>
      </c>
      <c r="G337" s="60" t="s">
        <v>8</v>
      </c>
      <c r="H337" s="61">
        <v>7.6388888888888886E-3</v>
      </c>
      <c r="I337" s="61"/>
      <c r="J337" s="62">
        <v>7.6388888888888886E-3</v>
      </c>
      <c r="K337" s="63" t="s">
        <v>1723</v>
      </c>
      <c r="L337" s="64" t="s">
        <v>1200</v>
      </c>
      <c r="M337" s="64" t="s">
        <v>1322</v>
      </c>
    </row>
    <row r="338" spans="1:13" s="65" customFormat="1" ht="12" customHeight="1" x14ac:dyDescent="0.2">
      <c r="A338" s="78">
        <v>230428</v>
      </c>
      <c r="B338" s="69" t="s">
        <v>391</v>
      </c>
      <c r="C338" s="60" t="s">
        <v>1196</v>
      </c>
      <c r="D338" s="66" t="s">
        <v>1202</v>
      </c>
      <c r="E338" s="66" t="s">
        <v>1433</v>
      </c>
      <c r="F338" s="66" t="s">
        <v>1693</v>
      </c>
      <c r="G338" s="60" t="s">
        <v>7</v>
      </c>
      <c r="H338" s="61">
        <v>6.4576388888888889</v>
      </c>
      <c r="I338" s="61">
        <v>6.4576388888888889</v>
      </c>
      <c r="J338" s="62"/>
      <c r="K338" s="63" t="s">
        <v>1718</v>
      </c>
      <c r="L338" s="64" t="s">
        <v>1202</v>
      </c>
      <c r="M338" s="64" t="s">
        <v>1433</v>
      </c>
    </row>
    <row r="339" spans="1:13" s="65" customFormat="1" ht="12" customHeight="1" x14ac:dyDescent="0.2">
      <c r="A339" s="78">
        <v>230437</v>
      </c>
      <c r="B339" s="69" t="s">
        <v>392</v>
      </c>
      <c r="C339" s="60" t="s">
        <v>1196</v>
      </c>
      <c r="D339" s="66" t="s">
        <v>1197</v>
      </c>
      <c r="E339" s="66" t="s">
        <v>1206</v>
      </c>
      <c r="F339" s="66" t="s">
        <v>1585</v>
      </c>
      <c r="G339" s="60" t="s">
        <v>8</v>
      </c>
      <c r="H339" s="61">
        <v>0.34861111111111115</v>
      </c>
      <c r="I339" s="61"/>
      <c r="J339" s="62">
        <v>0.34861111111111115</v>
      </c>
      <c r="K339" s="63" t="s">
        <v>1718</v>
      </c>
      <c r="L339" s="64" t="s">
        <v>1197</v>
      </c>
      <c r="M339" s="64" t="s">
        <v>1206</v>
      </c>
    </row>
    <row r="340" spans="1:13" s="65" customFormat="1" ht="12" customHeight="1" x14ac:dyDescent="0.2">
      <c r="A340" s="78">
        <v>230461</v>
      </c>
      <c r="B340" s="69" t="s">
        <v>393</v>
      </c>
      <c r="C340" s="60" t="s">
        <v>1196</v>
      </c>
      <c r="D340" s="66" t="s">
        <v>1204</v>
      </c>
      <c r="E340" s="66" t="s">
        <v>1403</v>
      </c>
      <c r="F340" s="66" t="s">
        <v>1602</v>
      </c>
      <c r="G340" s="60" t="s">
        <v>8</v>
      </c>
      <c r="H340" s="61">
        <v>0.39444444444444443</v>
      </c>
      <c r="I340" s="61"/>
      <c r="J340" s="62">
        <v>0.39444444444444443</v>
      </c>
      <c r="K340" s="63" t="s">
        <v>1718</v>
      </c>
      <c r="L340" s="64" t="s">
        <v>1204</v>
      </c>
      <c r="M340" s="64" t="s">
        <v>1403</v>
      </c>
    </row>
    <row r="341" spans="1:13" s="65" customFormat="1" ht="12" customHeight="1" x14ac:dyDescent="0.2">
      <c r="A341" s="78">
        <v>230462</v>
      </c>
      <c r="B341" s="69" t="s">
        <v>394</v>
      </c>
      <c r="C341" s="60" t="s">
        <v>1196</v>
      </c>
      <c r="D341" s="66" t="s">
        <v>1201</v>
      </c>
      <c r="E341" s="66" t="s">
        <v>1434</v>
      </c>
      <c r="F341" s="66" t="s">
        <v>1694</v>
      </c>
      <c r="G341" s="60" t="s">
        <v>8</v>
      </c>
      <c r="H341" s="61">
        <v>0.37222222222222223</v>
      </c>
      <c r="I341" s="61"/>
      <c r="J341" s="62">
        <v>0.37222222222222223</v>
      </c>
      <c r="K341" s="63" t="s">
        <v>1718</v>
      </c>
      <c r="L341" s="64" t="s">
        <v>1201</v>
      </c>
      <c r="M341" s="64" t="s">
        <v>1434</v>
      </c>
    </row>
    <row r="342" spans="1:13" s="65" customFormat="1" ht="12" customHeight="1" x14ac:dyDescent="0.2">
      <c r="A342" s="78">
        <v>230476</v>
      </c>
      <c r="B342" s="69" t="s">
        <v>395</v>
      </c>
      <c r="C342" s="60" t="s">
        <v>1196</v>
      </c>
      <c r="D342" s="66" t="s">
        <v>1201</v>
      </c>
      <c r="E342" s="66" t="s">
        <v>1434</v>
      </c>
      <c r="F342" s="66" t="s">
        <v>1694</v>
      </c>
      <c r="G342" s="60" t="s">
        <v>8</v>
      </c>
      <c r="H342" s="61">
        <v>1.5673611111111112</v>
      </c>
      <c r="I342" s="61"/>
      <c r="J342" s="62">
        <v>1.5673611111111112</v>
      </c>
      <c r="K342" s="63" t="s">
        <v>1718</v>
      </c>
      <c r="L342" s="64" t="s">
        <v>1201</v>
      </c>
      <c r="M342" s="64" t="s">
        <v>1434</v>
      </c>
    </row>
    <row r="343" spans="1:13" s="65" customFormat="1" ht="12" customHeight="1" x14ac:dyDescent="0.2">
      <c r="A343" s="78">
        <v>230516</v>
      </c>
      <c r="B343" s="69" t="s">
        <v>396</v>
      </c>
      <c r="C343" s="60" t="s">
        <v>1196</v>
      </c>
      <c r="D343" s="66" t="s">
        <v>1202</v>
      </c>
      <c r="E343" s="66" t="s">
        <v>1413</v>
      </c>
      <c r="F343" s="66" t="s">
        <v>1641</v>
      </c>
      <c r="G343" s="60" t="s">
        <v>8</v>
      </c>
      <c r="H343" s="61">
        <v>0.4375</v>
      </c>
      <c r="I343" s="61"/>
      <c r="J343" s="62">
        <v>0.4375</v>
      </c>
      <c r="K343" s="63" t="s">
        <v>1718</v>
      </c>
      <c r="L343" s="64" t="s">
        <v>1202</v>
      </c>
      <c r="M343" s="64" t="s">
        <v>1413</v>
      </c>
    </row>
    <row r="344" spans="1:13" s="65" customFormat="1" ht="12" customHeight="1" x14ac:dyDescent="0.2">
      <c r="A344" s="78">
        <v>230518</v>
      </c>
      <c r="B344" s="69" t="s">
        <v>397</v>
      </c>
      <c r="C344" s="60" t="s">
        <v>1196</v>
      </c>
      <c r="D344" s="66" t="s">
        <v>1205</v>
      </c>
      <c r="E344" s="66" t="s">
        <v>1435</v>
      </c>
      <c r="F344" s="66" t="s">
        <v>1695</v>
      </c>
      <c r="G344" s="60" t="s">
        <v>7</v>
      </c>
      <c r="H344" s="61">
        <v>3.5944444444444446</v>
      </c>
      <c r="I344" s="61">
        <v>3.5944444444444446</v>
      </c>
      <c r="J344" s="62"/>
      <c r="K344" s="63" t="s">
        <v>1718</v>
      </c>
      <c r="L344" s="64" t="s">
        <v>1205</v>
      </c>
      <c r="M344" s="64" t="s">
        <v>1435</v>
      </c>
    </row>
    <row r="345" spans="1:13" s="65" customFormat="1" ht="12" customHeight="1" x14ac:dyDescent="0.2">
      <c r="A345" s="78">
        <v>230559</v>
      </c>
      <c r="B345" s="69" t="s">
        <v>398</v>
      </c>
      <c r="C345" s="60" t="s">
        <v>1196</v>
      </c>
      <c r="D345" s="66" t="s">
        <v>1205</v>
      </c>
      <c r="E345" s="66" t="s">
        <v>1346</v>
      </c>
      <c r="F345" s="66" t="s">
        <v>1609</v>
      </c>
      <c r="G345" s="60" t="s">
        <v>7</v>
      </c>
      <c r="H345" s="61">
        <v>2.3166666666666664</v>
      </c>
      <c r="I345" s="61">
        <v>2.3166666666666664</v>
      </c>
      <c r="J345" s="62"/>
      <c r="K345" s="63" t="s">
        <v>1718</v>
      </c>
      <c r="L345" s="64" t="s">
        <v>1205</v>
      </c>
      <c r="M345" s="64" t="s">
        <v>1346</v>
      </c>
    </row>
    <row r="346" spans="1:13" s="65" customFormat="1" ht="12" customHeight="1" x14ac:dyDescent="0.2">
      <c r="A346" s="78">
        <v>230573</v>
      </c>
      <c r="B346" s="69" t="s">
        <v>399</v>
      </c>
      <c r="C346" s="60" t="s">
        <v>1196</v>
      </c>
      <c r="D346" s="66" t="s">
        <v>1203</v>
      </c>
      <c r="E346" s="66" t="s">
        <v>1436</v>
      </c>
      <c r="F346" s="66" t="s">
        <v>1696</v>
      </c>
      <c r="G346" s="60" t="s">
        <v>7</v>
      </c>
      <c r="H346" s="61">
        <v>0.30972222222222223</v>
      </c>
      <c r="I346" s="61">
        <v>0.30972222222222223</v>
      </c>
      <c r="J346" s="62"/>
      <c r="K346" s="63" t="s">
        <v>1723</v>
      </c>
      <c r="L346" s="64" t="s">
        <v>1203</v>
      </c>
      <c r="M346" s="64" t="s">
        <v>1436</v>
      </c>
    </row>
    <row r="347" spans="1:13" s="65" customFormat="1" ht="12" customHeight="1" x14ac:dyDescent="0.2">
      <c r="A347" s="78">
        <v>230574</v>
      </c>
      <c r="B347" s="69" t="s">
        <v>400</v>
      </c>
      <c r="C347" s="60" t="s">
        <v>1196</v>
      </c>
      <c r="D347" s="66" t="s">
        <v>1198</v>
      </c>
      <c r="E347" s="66" t="s">
        <v>1309</v>
      </c>
      <c r="F347" s="66" t="s">
        <v>1651</v>
      </c>
      <c r="G347" s="60" t="s">
        <v>8</v>
      </c>
      <c r="H347" s="61">
        <v>1.2701388888888889</v>
      </c>
      <c r="I347" s="61"/>
      <c r="J347" s="62">
        <v>1.2701388888888889</v>
      </c>
      <c r="K347" s="63" t="s">
        <v>1718</v>
      </c>
      <c r="L347" s="64" t="s">
        <v>1198</v>
      </c>
      <c r="M347" s="64" t="s">
        <v>1309</v>
      </c>
    </row>
    <row r="348" spans="1:13" s="65" customFormat="1" ht="12" customHeight="1" x14ac:dyDescent="0.2">
      <c r="A348" s="78">
        <v>230583</v>
      </c>
      <c r="B348" s="69" t="s">
        <v>401</v>
      </c>
      <c r="C348" s="60" t="s">
        <v>1196</v>
      </c>
      <c r="D348" s="66" t="s">
        <v>1205</v>
      </c>
      <c r="E348" s="66" t="s">
        <v>1376</v>
      </c>
      <c r="F348" s="66" t="s">
        <v>1637</v>
      </c>
      <c r="G348" s="60" t="s">
        <v>7</v>
      </c>
      <c r="H348" s="61">
        <v>4.7861111111111114</v>
      </c>
      <c r="I348" s="61">
        <v>4.7861111111111114</v>
      </c>
      <c r="J348" s="62"/>
      <c r="K348" s="63" t="s">
        <v>1718</v>
      </c>
      <c r="L348" s="64" t="s">
        <v>1205</v>
      </c>
      <c r="M348" s="64" t="s">
        <v>1376</v>
      </c>
    </row>
    <row r="349" spans="1:13" s="65" customFormat="1" ht="12" customHeight="1" x14ac:dyDescent="0.2">
      <c r="A349" s="78">
        <v>230584</v>
      </c>
      <c r="B349" s="69" t="s">
        <v>402</v>
      </c>
      <c r="C349" s="60" t="s">
        <v>1196</v>
      </c>
      <c r="D349" s="66" t="s">
        <v>1200</v>
      </c>
      <c r="E349" s="66" t="s">
        <v>1271</v>
      </c>
      <c r="F349" s="66" t="s">
        <v>1627</v>
      </c>
      <c r="G349" s="60" t="s">
        <v>7</v>
      </c>
      <c r="H349" s="61">
        <v>1.3291666666666666</v>
      </c>
      <c r="I349" s="61">
        <v>1.3291666666666666</v>
      </c>
      <c r="J349" s="62"/>
      <c r="K349" s="63" t="s">
        <v>1722</v>
      </c>
      <c r="L349" s="64" t="s">
        <v>1200</v>
      </c>
      <c r="M349" s="64" t="s">
        <v>1271</v>
      </c>
    </row>
    <row r="350" spans="1:13" s="65" customFormat="1" ht="12" customHeight="1" x14ac:dyDescent="0.2">
      <c r="A350" s="78">
        <v>230587</v>
      </c>
      <c r="B350" s="69" t="s">
        <v>403</v>
      </c>
      <c r="C350" s="60" t="s">
        <v>1196</v>
      </c>
      <c r="D350" s="66" t="s">
        <v>1200</v>
      </c>
      <c r="E350" s="66" t="s">
        <v>1424</v>
      </c>
      <c r="F350" s="66" t="s">
        <v>1597</v>
      </c>
      <c r="G350" s="60" t="s">
        <v>8</v>
      </c>
      <c r="H350" s="61">
        <v>0.68402777777777779</v>
      </c>
      <c r="I350" s="61"/>
      <c r="J350" s="62">
        <v>0.68402777777777779</v>
      </c>
      <c r="K350" s="63" t="s">
        <v>1718</v>
      </c>
      <c r="L350" s="64" t="s">
        <v>1200</v>
      </c>
      <c r="M350" s="64" t="s">
        <v>1424</v>
      </c>
    </row>
    <row r="351" spans="1:13" s="65" customFormat="1" ht="12" customHeight="1" x14ac:dyDescent="0.2">
      <c r="A351" s="78">
        <v>230618</v>
      </c>
      <c r="B351" s="69" t="s">
        <v>404</v>
      </c>
      <c r="C351" s="60" t="s">
        <v>1196</v>
      </c>
      <c r="D351" s="66" t="s">
        <v>1203</v>
      </c>
      <c r="E351" s="66" t="s">
        <v>1342</v>
      </c>
      <c r="F351" s="66" t="s">
        <v>1667</v>
      </c>
      <c r="G351" s="60" t="s">
        <v>8</v>
      </c>
      <c r="H351" s="61">
        <v>4.2361111111111106E-2</v>
      </c>
      <c r="I351" s="61"/>
      <c r="J351" s="62">
        <v>4.2361111111111106E-2</v>
      </c>
      <c r="K351" s="63" t="s">
        <v>1718</v>
      </c>
      <c r="L351" s="64" t="s">
        <v>1203</v>
      </c>
      <c r="M351" s="64" t="s">
        <v>1342</v>
      </c>
    </row>
    <row r="352" spans="1:13" s="65" customFormat="1" ht="12" customHeight="1" x14ac:dyDescent="0.2">
      <c r="A352" s="78">
        <v>230634</v>
      </c>
      <c r="B352" s="69" t="s">
        <v>405</v>
      </c>
      <c r="C352" s="60" t="s">
        <v>1196</v>
      </c>
      <c r="D352" s="66" t="s">
        <v>1200</v>
      </c>
      <c r="E352" s="66" t="s">
        <v>1437</v>
      </c>
      <c r="F352" s="66" t="s">
        <v>1588</v>
      </c>
      <c r="G352" s="60" t="s">
        <v>7</v>
      </c>
      <c r="H352" s="61">
        <v>1.3194444444444444</v>
      </c>
      <c r="I352" s="61">
        <v>1.3194444444444444</v>
      </c>
      <c r="J352" s="62"/>
      <c r="K352" s="63" t="s">
        <v>1718</v>
      </c>
      <c r="L352" s="64" t="s">
        <v>1200</v>
      </c>
      <c r="M352" s="64" t="s">
        <v>1437</v>
      </c>
    </row>
    <row r="353" spans="1:13" s="65" customFormat="1" ht="12" customHeight="1" x14ac:dyDescent="0.2">
      <c r="A353" s="78">
        <v>230636</v>
      </c>
      <c r="B353" s="69" t="s">
        <v>406</v>
      </c>
      <c r="C353" s="60" t="s">
        <v>1196</v>
      </c>
      <c r="D353" s="66" t="s">
        <v>1205</v>
      </c>
      <c r="E353" s="66" t="s">
        <v>1438</v>
      </c>
      <c r="F353" s="66" t="s">
        <v>1689</v>
      </c>
      <c r="G353" s="60" t="s">
        <v>7</v>
      </c>
      <c r="H353" s="61">
        <v>0.6972222222222223</v>
      </c>
      <c r="I353" s="61">
        <v>0.6972222222222223</v>
      </c>
      <c r="J353" s="62"/>
      <c r="K353" s="63" t="s">
        <v>1718</v>
      </c>
      <c r="L353" s="64" t="s">
        <v>1205</v>
      </c>
      <c r="M353" s="64" t="s">
        <v>1438</v>
      </c>
    </row>
    <row r="354" spans="1:13" s="65" customFormat="1" ht="12" customHeight="1" x14ac:dyDescent="0.2">
      <c r="A354" s="78">
        <v>230648</v>
      </c>
      <c r="B354" s="69" t="s">
        <v>407</v>
      </c>
      <c r="C354" s="60" t="s">
        <v>1196</v>
      </c>
      <c r="D354" s="66" t="s">
        <v>1205</v>
      </c>
      <c r="E354" s="66" t="s">
        <v>1439</v>
      </c>
      <c r="F354" s="66" t="s">
        <v>1689</v>
      </c>
      <c r="G354" s="60" t="s">
        <v>7</v>
      </c>
      <c r="H354" s="61">
        <v>1.0798611111111112</v>
      </c>
      <c r="I354" s="61">
        <v>1.0798611111111112</v>
      </c>
      <c r="J354" s="62"/>
      <c r="K354" s="63" t="s">
        <v>1723</v>
      </c>
      <c r="L354" s="64" t="s">
        <v>1205</v>
      </c>
      <c r="M354" s="64" t="s">
        <v>1439</v>
      </c>
    </row>
    <row r="355" spans="1:13" s="65" customFormat="1" ht="12" customHeight="1" x14ac:dyDescent="0.2">
      <c r="A355" s="78">
        <v>230669</v>
      </c>
      <c r="B355" s="69" t="s">
        <v>408</v>
      </c>
      <c r="C355" s="60" t="s">
        <v>1196</v>
      </c>
      <c r="D355" s="66" t="s">
        <v>1203</v>
      </c>
      <c r="E355" s="66" t="s">
        <v>1440</v>
      </c>
      <c r="F355" s="66" t="s">
        <v>1696</v>
      </c>
      <c r="G355" s="60" t="s">
        <v>8</v>
      </c>
      <c r="H355" s="61">
        <v>0.18333333333333335</v>
      </c>
      <c r="I355" s="61"/>
      <c r="J355" s="62">
        <v>0.18333333333333335</v>
      </c>
      <c r="K355" s="63" t="s">
        <v>1718</v>
      </c>
      <c r="L355" s="64" t="s">
        <v>1203</v>
      </c>
      <c r="M355" s="64" t="s">
        <v>1440</v>
      </c>
    </row>
    <row r="356" spans="1:13" s="65" customFormat="1" ht="12" customHeight="1" x14ac:dyDescent="0.2">
      <c r="A356" s="78">
        <v>230739</v>
      </c>
      <c r="B356" s="69" t="s">
        <v>409</v>
      </c>
      <c r="C356" s="60" t="s">
        <v>1196</v>
      </c>
      <c r="D356" s="66" t="s">
        <v>1204</v>
      </c>
      <c r="E356" s="66" t="s">
        <v>1393</v>
      </c>
      <c r="F356" s="66" t="s">
        <v>1680</v>
      </c>
      <c r="G356" s="60" t="s">
        <v>8</v>
      </c>
      <c r="H356" s="61">
        <v>0.35625000000000001</v>
      </c>
      <c r="I356" s="61"/>
      <c r="J356" s="62">
        <v>0.35625000000000001</v>
      </c>
      <c r="K356" s="63" t="s">
        <v>1718</v>
      </c>
      <c r="L356" s="64" t="s">
        <v>1204</v>
      </c>
      <c r="M356" s="64" t="s">
        <v>1393</v>
      </c>
    </row>
    <row r="357" spans="1:13" s="65" customFormat="1" ht="12" customHeight="1" x14ac:dyDescent="0.2">
      <c r="A357" s="78">
        <v>230740</v>
      </c>
      <c r="B357" s="69" t="s">
        <v>410</v>
      </c>
      <c r="C357" s="60" t="s">
        <v>1196</v>
      </c>
      <c r="D357" s="66" t="s">
        <v>1201</v>
      </c>
      <c r="E357" s="66" t="s">
        <v>1441</v>
      </c>
      <c r="F357" s="66" t="s">
        <v>1697</v>
      </c>
      <c r="G357" s="60" t="s">
        <v>8</v>
      </c>
      <c r="H357" s="61">
        <v>10.289583333333333</v>
      </c>
      <c r="I357" s="61"/>
      <c r="J357" s="62">
        <v>10.289583333333333</v>
      </c>
      <c r="K357" s="63" t="s">
        <v>1718</v>
      </c>
      <c r="L357" s="64" t="s">
        <v>1201</v>
      </c>
      <c r="M357" s="64" t="s">
        <v>1441</v>
      </c>
    </row>
    <row r="358" spans="1:13" s="65" customFormat="1" ht="12" customHeight="1" x14ac:dyDescent="0.2">
      <c r="A358" s="78">
        <v>230742</v>
      </c>
      <c r="B358" s="69" t="s">
        <v>411</v>
      </c>
      <c r="C358" s="60" t="s">
        <v>1196</v>
      </c>
      <c r="D358" s="66" t="s">
        <v>1200</v>
      </c>
      <c r="E358" s="66" t="s">
        <v>1335</v>
      </c>
      <c r="F358" s="66" t="s">
        <v>1662</v>
      </c>
      <c r="G358" s="60" t="s">
        <v>7</v>
      </c>
      <c r="H358" s="61">
        <v>1.9076388888888891</v>
      </c>
      <c r="I358" s="61">
        <v>1.9076388888888891</v>
      </c>
      <c r="J358" s="62"/>
      <c r="K358" s="63" t="s">
        <v>1718</v>
      </c>
      <c r="L358" s="64" t="s">
        <v>1200</v>
      </c>
      <c r="M358" s="64" t="s">
        <v>1335</v>
      </c>
    </row>
    <row r="359" spans="1:13" s="65" customFormat="1" ht="12" customHeight="1" x14ac:dyDescent="0.2">
      <c r="A359" s="78">
        <v>230743</v>
      </c>
      <c r="B359" s="69" t="s">
        <v>412</v>
      </c>
      <c r="C359" s="60" t="s">
        <v>1196</v>
      </c>
      <c r="D359" s="66" t="s">
        <v>1203</v>
      </c>
      <c r="E359" s="66" t="s">
        <v>1436</v>
      </c>
      <c r="F359" s="66" t="s">
        <v>1696</v>
      </c>
      <c r="G359" s="60" t="s">
        <v>7</v>
      </c>
      <c r="H359" s="61">
        <v>7.6388888888888895E-2</v>
      </c>
      <c r="I359" s="61">
        <v>7.6388888888888895E-2</v>
      </c>
      <c r="J359" s="62"/>
      <c r="K359" s="63" t="s">
        <v>1722</v>
      </c>
      <c r="L359" s="64" t="s">
        <v>1203</v>
      </c>
      <c r="M359" s="64" t="s">
        <v>1436</v>
      </c>
    </row>
    <row r="360" spans="1:13" s="65" customFormat="1" ht="12" customHeight="1" x14ac:dyDescent="0.2">
      <c r="A360" s="78">
        <v>230746</v>
      </c>
      <c r="B360" s="69" t="s">
        <v>413</v>
      </c>
      <c r="C360" s="60" t="s">
        <v>1196</v>
      </c>
      <c r="D360" s="66" t="s">
        <v>1204</v>
      </c>
      <c r="E360" s="66" t="s">
        <v>1393</v>
      </c>
      <c r="F360" s="66" t="s">
        <v>1680</v>
      </c>
      <c r="G360" s="60" t="s">
        <v>8</v>
      </c>
      <c r="H360" s="61">
        <v>2.5506944444444444</v>
      </c>
      <c r="I360" s="61"/>
      <c r="J360" s="62">
        <v>2.5506944444444444</v>
      </c>
      <c r="K360" s="63" t="s">
        <v>1718</v>
      </c>
      <c r="L360" s="64" t="s">
        <v>1204</v>
      </c>
      <c r="M360" s="64" t="s">
        <v>1393</v>
      </c>
    </row>
    <row r="361" spans="1:13" s="65" customFormat="1" ht="12" customHeight="1" x14ac:dyDescent="0.2">
      <c r="A361" s="78">
        <v>230748</v>
      </c>
      <c r="B361" s="69" t="s">
        <v>414</v>
      </c>
      <c r="C361" s="60" t="s">
        <v>1196</v>
      </c>
      <c r="D361" s="66" t="s">
        <v>1200</v>
      </c>
      <c r="E361" s="66" t="s">
        <v>1314</v>
      </c>
      <c r="F361" s="66" t="s">
        <v>1653</v>
      </c>
      <c r="G361" s="60" t="s">
        <v>8</v>
      </c>
      <c r="H361" s="61">
        <v>6.9444444444444441E-3</v>
      </c>
      <c r="I361" s="61"/>
      <c r="J361" s="62">
        <v>6.9444444444444441E-3</v>
      </c>
      <c r="K361" s="63" t="s">
        <v>1718</v>
      </c>
      <c r="L361" s="64" t="s">
        <v>1200</v>
      </c>
      <c r="M361" s="64" t="s">
        <v>1314</v>
      </c>
    </row>
    <row r="362" spans="1:13" s="65" customFormat="1" ht="12" customHeight="1" x14ac:dyDescent="0.2">
      <c r="A362" s="78">
        <v>230794</v>
      </c>
      <c r="B362" s="69" t="s">
        <v>415</v>
      </c>
      <c r="C362" s="60" t="s">
        <v>1196</v>
      </c>
      <c r="D362" s="66" t="s">
        <v>1203</v>
      </c>
      <c r="E362" s="66" t="s">
        <v>1440</v>
      </c>
      <c r="F362" s="66" t="s">
        <v>1696</v>
      </c>
      <c r="G362" s="60" t="s">
        <v>8</v>
      </c>
      <c r="H362" s="61">
        <v>0.47847222222222219</v>
      </c>
      <c r="I362" s="61"/>
      <c r="J362" s="62">
        <v>0.47847222222222219</v>
      </c>
      <c r="K362" s="63" t="s">
        <v>1718</v>
      </c>
      <c r="L362" s="64" t="s">
        <v>1203</v>
      </c>
      <c r="M362" s="64" t="s">
        <v>1440</v>
      </c>
    </row>
    <row r="363" spans="1:13" s="65" customFormat="1" ht="12" customHeight="1" x14ac:dyDescent="0.2">
      <c r="A363" s="78">
        <v>230808</v>
      </c>
      <c r="B363" s="69" t="s">
        <v>416</v>
      </c>
      <c r="C363" s="60" t="s">
        <v>1196</v>
      </c>
      <c r="D363" s="66" t="s">
        <v>1200</v>
      </c>
      <c r="E363" s="66" t="s">
        <v>1442</v>
      </c>
      <c r="F363" s="66" t="s">
        <v>1688</v>
      </c>
      <c r="G363" s="60" t="s">
        <v>8</v>
      </c>
      <c r="H363" s="61">
        <v>0.94097222222222221</v>
      </c>
      <c r="I363" s="61"/>
      <c r="J363" s="62">
        <v>0.94097222222222221</v>
      </c>
      <c r="K363" s="63" t="s">
        <v>1723</v>
      </c>
      <c r="L363" s="64" t="s">
        <v>1200</v>
      </c>
      <c r="M363" s="64" t="s">
        <v>1442</v>
      </c>
    </row>
    <row r="364" spans="1:13" s="65" customFormat="1" ht="12" customHeight="1" x14ac:dyDescent="0.2">
      <c r="A364" s="78">
        <v>230809</v>
      </c>
      <c r="B364" s="69" t="s">
        <v>417</v>
      </c>
      <c r="C364" s="60" t="s">
        <v>1196</v>
      </c>
      <c r="D364" s="66" t="s">
        <v>1199</v>
      </c>
      <c r="E364" s="66" t="s">
        <v>1443</v>
      </c>
      <c r="F364" s="66" t="s">
        <v>1698</v>
      </c>
      <c r="G364" s="60" t="s">
        <v>8</v>
      </c>
      <c r="H364" s="61">
        <v>0.16180555555555556</v>
      </c>
      <c r="I364" s="61"/>
      <c r="J364" s="62">
        <v>0.16180555555555556</v>
      </c>
      <c r="K364" s="63" t="s">
        <v>1718</v>
      </c>
      <c r="L364" s="64" t="s">
        <v>1199</v>
      </c>
      <c r="M364" s="64" t="s">
        <v>1443</v>
      </c>
    </row>
    <row r="365" spans="1:13" s="65" customFormat="1" ht="12" customHeight="1" x14ac:dyDescent="0.2">
      <c r="A365" s="78">
        <v>230822</v>
      </c>
      <c r="B365" s="69" t="s">
        <v>418</v>
      </c>
      <c r="C365" s="60" t="s">
        <v>1196</v>
      </c>
      <c r="D365" s="66" t="s">
        <v>1198</v>
      </c>
      <c r="E365" s="66" t="s">
        <v>1444</v>
      </c>
      <c r="F365" s="66" t="s">
        <v>1605</v>
      </c>
      <c r="G365" s="60" t="s">
        <v>7</v>
      </c>
      <c r="H365" s="61">
        <v>1.0965277777777778</v>
      </c>
      <c r="I365" s="61">
        <v>1.0965277777777778</v>
      </c>
      <c r="J365" s="62"/>
      <c r="K365" s="63" t="s">
        <v>1718</v>
      </c>
      <c r="L365" s="64" t="s">
        <v>1198</v>
      </c>
      <c r="M365" s="64" t="s">
        <v>1444</v>
      </c>
    </row>
    <row r="366" spans="1:13" s="65" customFormat="1" ht="12" customHeight="1" x14ac:dyDescent="0.2">
      <c r="A366" s="78">
        <v>230827</v>
      </c>
      <c r="B366" s="69" t="s">
        <v>419</v>
      </c>
      <c r="C366" s="60" t="s">
        <v>1196</v>
      </c>
      <c r="D366" s="66" t="s">
        <v>1198</v>
      </c>
      <c r="E366" s="66" t="s">
        <v>1444</v>
      </c>
      <c r="F366" s="66" t="s">
        <v>1605</v>
      </c>
      <c r="G366" s="60" t="s">
        <v>7</v>
      </c>
      <c r="H366" s="61">
        <v>1.6222222222222222</v>
      </c>
      <c r="I366" s="61">
        <v>1.6222222222222222</v>
      </c>
      <c r="J366" s="62"/>
      <c r="K366" s="63" t="s">
        <v>1718</v>
      </c>
      <c r="L366" s="64" t="s">
        <v>1198</v>
      </c>
      <c r="M366" s="64" t="s">
        <v>1444</v>
      </c>
    </row>
    <row r="367" spans="1:13" s="65" customFormat="1" ht="12" customHeight="1" x14ac:dyDescent="0.2">
      <c r="A367" s="78">
        <v>230829</v>
      </c>
      <c r="B367" s="69" t="s">
        <v>420</v>
      </c>
      <c r="C367" s="60" t="s">
        <v>1196</v>
      </c>
      <c r="D367" s="66" t="s">
        <v>1198</v>
      </c>
      <c r="E367" s="66" t="s">
        <v>1445</v>
      </c>
      <c r="F367" s="66" t="s">
        <v>1599</v>
      </c>
      <c r="G367" s="60" t="s">
        <v>8</v>
      </c>
      <c r="H367" s="61">
        <v>0.33402777777777781</v>
      </c>
      <c r="I367" s="61"/>
      <c r="J367" s="62">
        <v>0.33402777777777781</v>
      </c>
      <c r="K367" s="63" t="s">
        <v>1718</v>
      </c>
      <c r="L367" s="64" t="s">
        <v>1198</v>
      </c>
      <c r="M367" s="64" t="s">
        <v>1445</v>
      </c>
    </row>
    <row r="368" spans="1:13" s="65" customFormat="1" ht="12" customHeight="1" x14ac:dyDescent="0.2">
      <c r="A368" s="78">
        <v>230832</v>
      </c>
      <c r="B368" s="69" t="s">
        <v>421</v>
      </c>
      <c r="C368" s="60" t="s">
        <v>1196</v>
      </c>
      <c r="D368" s="66" t="s">
        <v>1199</v>
      </c>
      <c r="E368" s="66" t="s">
        <v>1446</v>
      </c>
      <c r="F368" s="66" t="s">
        <v>1587</v>
      </c>
      <c r="G368" s="60" t="s">
        <v>8</v>
      </c>
      <c r="H368" s="61">
        <v>0.20694444444444446</v>
      </c>
      <c r="I368" s="61"/>
      <c r="J368" s="62">
        <v>0.20694444444444446</v>
      </c>
      <c r="K368" s="63" t="s">
        <v>1720</v>
      </c>
      <c r="L368" s="64" t="s">
        <v>1199</v>
      </c>
      <c r="M368" s="64" t="s">
        <v>1446</v>
      </c>
    </row>
    <row r="369" spans="1:13" s="65" customFormat="1" ht="12" customHeight="1" x14ac:dyDescent="0.2">
      <c r="A369" s="78">
        <v>230838</v>
      </c>
      <c r="B369" s="69" t="s">
        <v>422</v>
      </c>
      <c r="C369" s="60" t="s">
        <v>1196</v>
      </c>
      <c r="D369" s="66" t="s">
        <v>1203</v>
      </c>
      <c r="E369" s="66" t="s">
        <v>1436</v>
      </c>
      <c r="F369" s="66" t="s">
        <v>1696</v>
      </c>
      <c r="G369" s="60" t="s">
        <v>8</v>
      </c>
      <c r="H369" s="61">
        <v>9.375E-2</v>
      </c>
      <c r="I369" s="61"/>
      <c r="J369" s="62">
        <v>9.375E-2</v>
      </c>
      <c r="K369" s="63" t="s">
        <v>1723</v>
      </c>
      <c r="L369" s="64" t="s">
        <v>1203</v>
      </c>
      <c r="M369" s="64" t="s">
        <v>1436</v>
      </c>
    </row>
    <row r="370" spans="1:13" s="65" customFormat="1" ht="12" customHeight="1" x14ac:dyDescent="0.2">
      <c r="A370" s="78">
        <v>230842</v>
      </c>
      <c r="B370" s="69" t="s">
        <v>423</v>
      </c>
      <c r="C370" s="60" t="s">
        <v>1196</v>
      </c>
      <c r="D370" s="66" t="s">
        <v>1204</v>
      </c>
      <c r="E370" s="66" t="s">
        <v>1447</v>
      </c>
      <c r="F370" s="66" t="s">
        <v>1690</v>
      </c>
      <c r="G370" s="60" t="s">
        <v>7</v>
      </c>
      <c r="H370" s="61">
        <v>10.586805555555555</v>
      </c>
      <c r="I370" s="61">
        <v>10.586805555555555</v>
      </c>
      <c r="J370" s="62"/>
      <c r="K370" s="63" t="s">
        <v>1723</v>
      </c>
      <c r="L370" s="64" t="s">
        <v>1204</v>
      </c>
      <c r="M370" s="64" t="s">
        <v>1447</v>
      </c>
    </row>
    <row r="371" spans="1:13" s="65" customFormat="1" ht="12" customHeight="1" x14ac:dyDescent="0.2">
      <c r="A371" s="78">
        <v>230848</v>
      </c>
      <c r="B371" s="69" t="s">
        <v>424</v>
      </c>
      <c r="C371" s="60" t="s">
        <v>1196</v>
      </c>
      <c r="D371" s="66" t="s">
        <v>1205</v>
      </c>
      <c r="E371" s="66" t="s">
        <v>1330</v>
      </c>
      <c r="F371" s="66" t="s">
        <v>1647</v>
      </c>
      <c r="G371" s="60" t="s">
        <v>7</v>
      </c>
      <c r="H371" s="61">
        <v>0.2076388888888889</v>
      </c>
      <c r="I371" s="61">
        <v>0.2076388888888889</v>
      </c>
      <c r="J371" s="62"/>
      <c r="K371" s="63" t="s">
        <v>1718</v>
      </c>
      <c r="L371" s="64" t="s">
        <v>1205</v>
      </c>
      <c r="M371" s="64" t="s">
        <v>1330</v>
      </c>
    </row>
    <row r="372" spans="1:13" s="65" customFormat="1" ht="12" customHeight="1" x14ac:dyDescent="0.2">
      <c r="A372" s="78">
        <v>230857</v>
      </c>
      <c r="B372" s="69" t="s">
        <v>425</v>
      </c>
      <c r="C372" s="60" t="s">
        <v>1196</v>
      </c>
      <c r="D372" s="66" t="s">
        <v>1200</v>
      </c>
      <c r="E372" s="66" t="s">
        <v>1448</v>
      </c>
      <c r="F372" s="66" t="s">
        <v>1699</v>
      </c>
      <c r="G372" s="60" t="s">
        <v>7</v>
      </c>
      <c r="H372" s="61">
        <v>4.0354166666666664</v>
      </c>
      <c r="I372" s="61">
        <v>4.0354166666666664</v>
      </c>
      <c r="J372" s="62"/>
      <c r="K372" s="63" t="s">
        <v>1723</v>
      </c>
      <c r="L372" s="64" t="s">
        <v>1200</v>
      </c>
      <c r="M372" s="64" t="s">
        <v>1448</v>
      </c>
    </row>
    <row r="373" spans="1:13" s="65" customFormat="1" ht="12" customHeight="1" x14ac:dyDescent="0.2">
      <c r="A373" s="78">
        <v>230858</v>
      </c>
      <c r="B373" s="69" t="s">
        <v>426</v>
      </c>
      <c r="C373" s="60" t="s">
        <v>1196</v>
      </c>
      <c r="D373" s="66" t="s">
        <v>1200</v>
      </c>
      <c r="E373" s="66" t="s">
        <v>1449</v>
      </c>
      <c r="F373" s="66" t="s">
        <v>1699</v>
      </c>
      <c r="G373" s="60" t="s">
        <v>8</v>
      </c>
      <c r="H373" s="61">
        <v>0.92083333333333339</v>
      </c>
      <c r="I373" s="61"/>
      <c r="J373" s="62">
        <v>0.92083333333333339</v>
      </c>
      <c r="K373" s="63" t="s">
        <v>1718</v>
      </c>
      <c r="L373" s="64" t="s">
        <v>1200</v>
      </c>
      <c r="M373" s="64" t="s">
        <v>1449</v>
      </c>
    </row>
    <row r="374" spans="1:13" s="65" customFormat="1" ht="12" customHeight="1" x14ac:dyDescent="0.2">
      <c r="A374" s="78">
        <v>230859</v>
      </c>
      <c r="B374" s="69" t="s">
        <v>427</v>
      </c>
      <c r="C374" s="60" t="s">
        <v>1196</v>
      </c>
      <c r="D374" s="66" t="s">
        <v>1200</v>
      </c>
      <c r="E374" s="66" t="s">
        <v>1335</v>
      </c>
      <c r="F374" s="66" t="s">
        <v>1662</v>
      </c>
      <c r="G374" s="60" t="s">
        <v>8</v>
      </c>
      <c r="H374" s="61">
        <v>2.5236111111111112</v>
      </c>
      <c r="I374" s="61"/>
      <c r="J374" s="62">
        <v>2.5236111111111112</v>
      </c>
      <c r="K374" s="63" t="s">
        <v>1718</v>
      </c>
      <c r="L374" s="64" t="s">
        <v>1200</v>
      </c>
      <c r="M374" s="64" t="s">
        <v>1335</v>
      </c>
    </row>
    <row r="375" spans="1:13" s="65" customFormat="1" ht="12" customHeight="1" x14ac:dyDescent="0.2">
      <c r="A375" s="78">
        <v>230861</v>
      </c>
      <c r="B375" s="69" t="s">
        <v>428</v>
      </c>
      <c r="C375" s="60" t="s">
        <v>1196</v>
      </c>
      <c r="D375" s="66" t="s">
        <v>1200</v>
      </c>
      <c r="E375" s="66" t="s">
        <v>1335</v>
      </c>
      <c r="F375" s="66" t="s">
        <v>1662</v>
      </c>
      <c r="G375" s="60" t="s">
        <v>8</v>
      </c>
      <c r="H375" s="61">
        <v>0.84236111111111101</v>
      </c>
      <c r="I375" s="61"/>
      <c r="J375" s="62">
        <v>0.84236111111111101</v>
      </c>
      <c r="K375" s="63" t="s">
        <v>1718</v>
      </c>
      <c r="L375" s="64" t="s">
        <v>1200</v>
      </c>
      <c r="M375" s="64" t="s">
        <v>1335</v>
      </c>
    </row>
    <row r="376" spans="1:13" s="65" customFormat="1" ht="12" customHeight="1" x14ac:dyDescent="0.2">
      <c r="A376" s="78">
        <v>230862</v>
      </c>
      <c r="B376" s="69" t="s">
        <v>429</v>
      </c>
      <c r="C376" s="60" t="s">
        <v>1196</v>
      </c>
      <c r="D376" s="66" t="s">
        <v>1199</v>
      </c>
      <c r="E376" s="66" t="s">
        <v>1450</v>
      </c>
      <c r="F376" s="66" t="s">
        <v>1587</v>
      </c>
      <c r="G376" s="60" t="s">
        <v>7</v>
      </c>
      <c r="H376" s="61">
        <v>0.28958333333333336</v>
      </c>
      <c r="I376" s="61">
        <v>0.28958333333333336</v>
      </c>
      <c r="J376" s="62"/>
      <c r="K376" s="63" t="s">
        <v>1720</v>
      </c>
      <c r="L376" s="64" t="s">
        <v>1199</v>
      </c>
      <c r="M376" s="64" t="s">
        <v>1450</v>
      </c>
    </row>
    <row r="377" spans="1:13" s="65" customFormat="1" ht="12" customHeight="1" x14ac:dyDescent="0.2">
      <c r="A377" s="78">
        <v>230912</v>
      </c>
      <c r="B377" s="69" t="s">
        <v>430</v>
      </c>
      <c r="C377" s="60" t="s">
        <v>1196</v>
      </c>
      <c r="D377" s="66" t="s">
        <v>1198</v>
      </c>
      <c r="E377" s="66" t="s">
        <v>1343</v>
      </c>
      <c r="F377" s="66" t="s">
        <v>1607</v>
      </c>
      <c r="G377" s="60" t="s">
        <v>7</v>
      </c>
      <c r="H377" s="61">
        <v>0.4368055555555555</v>
      </c>
      <c r="I377" s="61">
        <v>0.4368055555555555</v>
      </c>
      <c r="J377" s="62"/>
      <c r="K377" s="63" t="s">
        <v>1718</v>
      </c>
      <c r="L377" s="64" t="s">
        <v>1198</v>
      </c>
      <c r="M377" s="64" t="s">
        <v>1343</v>
      </c>
    </row>
    <row r="378" spans="1:13" s="65" customFormat="1" ht="12" customHeight="1" x14ac:dyDescent="0.2">
      <c r="A378" s="78">
        <v>230931</v>
      </c>
      <c r="B378" s="69" t="s">
        <v>431</v>
      </c>
      <c r="C378" s="60" t="s">
        <v>1196</v>
      </c>
      <c r="D378" s="66" t="s">
        <v>1200</v>
      </c>
      <c r="E378" s="66" t="s">
        <v>1451</v>
      </c>
      <c r="F378" s="66" t="s">
        <v>1662</v>
      </c>
      <c r="G378" s="60" t="s">
        <v>7</v>
      </c>
      <c r="H378" s="61">
        <v>0.35416666666666669</v>
      </c>
      <c r="I378" s="61">
        <v>0.35416666666666669</v>
      </c>
      <c r="J378" s="62"/>
      <c r="K378" s="63" t="s">
        <v>1722</v>
      </c>
      <c r="L378" s="64" t="s">
        <v>1200</v>
      </c>
      <c r="M378" s="64" t="s">
        <v>1451</v>
      </c>
    </row>
    <row r="379" spans="1:13" s="65" customFormat="1" ht="12" customHeight="1" x14ac:dyDescent="0.2">
      <c r="A379" s="78">
        <v>230961</v>
      </c>
      <c r="B379" s="69" t="s">
        <v>432</v>
      </c>
      <c r="C379" s="60" t="s">
        <v>1196</v>
      </c>
      <c r="D379" s="66" t="s">
        <v>1201</v>
      </c>
      <c r="E379" s="66" t="s">
        <v>1250</v>
      </c>
      <c r="F379" s="66" t="s">
        <v>1614</v>
      </c>
      <c r="G379" s="60" t="s">
        <v>7</v>
      </c>
      <c r="H379" s="61">
        <v>2.9770833333333333</v>
      </c>
      <c r="I379" s="61">
        <v>2.9770833333333333</v>
      </c>
      <c r="J379" s="62"/>
      <c r="K379" s="63" t="s">
        <v>1722</v>
      </c>
      <c r="L379" s="64" t="s">
        <v>1201</v>
      </c>
      <c r="M379" s="64" t="s">
        <v>1250</v>
      </c>
    </row>
    <row r="380" spans="1:13" s="65" customFormat="1" ht="12" customHeight="1" x14ac:dyDescent="0.2">
      <c r="A380" s="78">
        <v>231009</v>
      </c>
      <c r="B380" s="69" t="s">
        <v>433</v>
      </c>
      <c r="C380" s="60" t="s">
        <v>1196</v>
      </c>
      <c r="D380" s="66" t="s">
        <v>1204</v>
      </c>
      <c r="E380" s="66" t="s">
        <v>1393</v>
      </c>
      <c r="F380" s="66" t="s">
        <v>1680</v>
      </c>
      <c r="G380" s="60" t="s">
        <v>8</v>
      </c>
      <c r="H380" s="61">
        <v>1.6208333333333333</v>
      </c>
      <c r="I380" s="61"/>
      <c r="J380" s="62">
        <v>1.6208333333333333</v>
      </c>
      <c r="K380" s="63" t="s">
        <v>1718</v>
      </c>
      <c r="L380" s="64" t="s">
        <v>1204</v>
      </c>
      <c r="M380" s="64" t="s">
        <v>1393</v>
      </c>
    </row>
    <row r="381" spans="1:13" s="65" customFormat="1" ht="12" customHeight="1" x14ac:dyDescent="0.2">
      <c r="A381" s="78">
        <v>231029</v>
      </c>
      <c r="B381" s="69" t="s">
        <v>434</v>
      </c>
      <c r="C381" s="60" t="s">
        <v>1196</v>
      </c>
      <c r="D381" s="66" t="s">
        <v>1197</v>
      </c>
      <c r="E381" s="66" t="s">
        <v>1312</v>
      </c>
      <c r="F381" s="66" t="s">
        <v>1600</v>
      </c>
      <c r="G381" s="60" t="s">
        <v>8</v>
      </c>
      <c r="H381" s="61">
        <v>0.28125</v>
      </c>
      <c r="I381" s="61"/>
      <c r="J381" s="62">
        <v>0.28125</v>
      </c>
      <c r="K381" s="63" t="s">
        <v>1718</v>
      </c>
      <c r="L381" s="64" t="s">
        <v>1197</v>
      </c>
      <c r="M381" s="64" t="s">
        <v>1312</v>
      </c>
    </row>
    <row r="382" spans="1:13" s="65" customFormat="1" ht="12" customHeight="1" x14ac:dyDescent="0.2">
      <c r="A382" s="78">
        <v>231051</v>
      </c>
      <c r="B382" s="69" t="s">
        <v>435</v>
      </c>
      <c r="C382" s="60" t="s">
        <v>1196</v>
      </c>
      <c r="D382" s="66" t="s">
        <v>1201</v>
      </c>
      <c r="E382" s="66" t="s">
        <v>1452</v>
      </c>
      <c r="F382" s="66" t="s">
        <v>1619</v>
      </c>
      <c r="G382" s="60" t="s">
        <v>7</v>
      </c>
      <c r="H382" s="61">
        <v>1.0791666666666666</v>
      </c>
      <c r="I382" s="61">
        <v>1.0791666666666666</v>
      </c>
      <c r="J382" s="62"/>
      <c r="K382" s="63" t="s">
        <v>1718</v>
      </c>
      <c r="L382" s="64" t="s">
        <v>1201</v>
      </c>
      <c r="M382" s="64" t="s">
        <v>1452</v>
      </c>
    </row>
    <row r="383" spans="1:13" s="65" customFormat="1" ht="12" customHeight="1" x14ac:dyDescent="0.2">
      <c r="A383" s="78">
        <v>231057</v>
      </c>
      <c r="B383" s="69" t="s">
        <v>436</v>
      </c>
      <c r="C383" s="60" t="s">
        <v>1196</v>
      </c>
      <c r="D383" s="66" t="s">
        <v>1197</v>
      </c>
      <c r="E383" s="66" t="s">
        <v>1453</v>
      </c>
      <c r="F383" s="66" t="s">
        <v>1595</v>
      </c>
      <c r="G383" s="60" t="s">
        <v>7</v>
      </c>
      <c r="H383" s="61">
        <v>1.2923611111111111</v>
      </c>
      <c r="I383" s="61">
        <v>1.2923611111111111</v>
      </c>
      <c r="J383" s="62"/>
      <c r="K383" s="63" t="s">
        <v>1720</v>
      </c>
      <c r="L383" s="64" t="s">
        <v>1197</v>
      </c>
      <c r="M383" s="64" t="s">
        <v>1453</v>
      </c>
    </row>
    <row r="384" spans="1:13" s="65" customFormat="1" ht="12" customHeight="1" x14ac:dyDescent="0.2">
      <c r="A384" s="78">
        <v>231067</v>
      </c>
      <c r="B384" s="69" t="s">
        <v>437</v>
      </c>
      <c r="C384" s="60" t="s">
        <v>1196</v>
      </c>
      <c r="D384" s="66" t="s">
        <v>1197</v>
      </c>
      <c r="E384" s="66" t="s">
        <v>1454</v>
      </c>
      <c r="F384" s="66" t="s">
        <v>1595</v>
      </c>
      <c r="G384" s="60" t="s">
        <v>7</v>
      </c>
      <c r="H384" s="61">
        <v>2.5902777777777777</v>
      </c>
      <c r="I384" s="61">
        <v>2.5902777777777777</v>
      </c>
      <c r="J384" s="62"/>
      <c r="K384" s="63" t="s">
        <v>1720</v>
      </c>
      <c r="L384" s="64" t="s">
        <v>1197</v>
      </c>
      <c r="M384" s="64" t="s">
        <v>1454</v>
      </c>
    </row>
    <row r="385" spans="1:13" s="65" customFormat="1" ht="12" customHeight="1" x14ac:dyDescent="0.2">
      <c r="A385" s="78">
        <v>231071</v>
      </c>
      <c r="B385" s="69" t="s">
        <v>438</v>
      </c>
      <c r="C385" s="60" t="s">
        <v>1196</v>
      </c>
      <c r="D385" s="66" t="s">
        <v>1203</v>
      </c>
      <c r="E385" s="66" t="s">
        <v>1427</v>
      </c>
      <c r="F385" s="66" t="s">
        <v>1643</v>
      </c>
      <c r="G385" s="60" t="s">
        <v>7</v>
      </c>
      <c r="H385" s="61">
        <v>0.99791666666666667</v>
      </c>
      <c r="I385" s="61">
        <v>0.99791666666666667</v>
      </c>
      <c r="J385" s="62"/>
      <c r="K385" s="63" t="s">
        <v>1718</v>
      </c>
      <c r="L385" s="64" t="s">
        <v>1203</v>
      </c>
      <c r="M385" s="64" t="s">
        <v>1427</v>
      </c>
    </row>
    <row r="386" spans="1:13" s="65" customFormat="1" ht="12" customHeight="1" x14ac:dyDescent="0.2">
      <c r="A386" s="78">
        <v>231079</v>
      </c>
      <c r="B386" s="69" t="s">
        <v>439</v>
      </c>
      <c r="C386" s="60" t="s">
        <v>1196</v>
      </c>
      <c r="D386" s="66" t="s">
        <v>1199</v>
      </c>
      <c r="E386" s="66" t="s">
        <v>1400</v>
      </c>
      <c r="F386" s="66" t="s">
        <v>1610</v>
      </c>
      <c r="G386" s="60" t="s">
        <v>8</v>
      </c>
      <c r="H386" s="61">
        <v>0.20277777777777781</v>
      </c>
      <c r="I386" s="61"/>
      <c r="J386" s="62">
        <v>0.20277777777777781</v>
      </c>
      <c r="K386" s="63" t="s">
        <v>1718</v>
      </c>
      <c r="L386" s="64" t="s">
        <v>1199</v>
      </c>
      <c r="M386" s="64" t="s">
        <v>1400</v>
      </c>
    </row>
    <row r="387" spans="1:13" s="65" customFormat="1" ht="12" customHeight="1" x14ac:dyDescent="0.2">
      <c r="A387" s="78">
        <v>231091</v>
      </c>
      <c r="B387" s="69" t="s">
        <v>440</v>
      </c>
      <c r="C387" s="60" t="s">
        <v>1196</v>
      </c>
      <c r="D387" s="66" t="s">
        <v>1199</v>
      </c>
      <c r="E387" s="66" t="s">
        <v>1340</v>
      </c>
      <c r="F387" s="66" t="s">
        <v>1665</v>
      </c>
      <c r="G387" s="60" t="s">
        <v>7</v>
      </c>
      <c r="H387" s="61">
        <v>0.1111111111111111</v>
      </c>
      <c r="I387" s="61">
        <v>0.1111111111111111</v>
      </c>
      <c r="J387" s="62"/>
      <c r="K387" s="63" t="s">
        <v>1718</v>
      </c>
      <c r="L387" s="64" t="s">
        <v>1199</v>
      </c>
      <c r="M387" s="64" t="s">
        <v>1340</v>
      </c>
    </row>
    <row r="388" spans="1:13" s="65" customFormat="1" ht="12" customHeight="1" x14ac:dyDescent="0.2">
      <c r="A388" s="78">
        <v>231093</v>
      </c>
      <c r="B388" s="69" t="s">
        <v>441</v>
      </c>
      <c r="C388" s="60" t="s">
        <v>1196</v>
      </c>
      <c r="D388" s="66" t="s">
        <v>1205</v>
      </c>
      <c r="E388" s="66" t="s">
        <v>1438</v>
      </c>
      <c r="F388" s="66" t="s">
        <v>1689</v>
      </c>
      <c r="G388" s="60" t="s">
        <v>7</v>
      </c>
      <c r="H388" s="61">
        <v>0.92499999999999993</v>
      </c>
      <c r="I388" s="61">
        <v>0.92499999999999993</v>
      </c>
      <c r="J388" s="62"/>
      <c r="K388" s="63" t="s">
        <v>1718</v>
      </c>
      <c r="L388" s="64" t="s">
        <v>1205</v>
      </c>
      <c r="M388" s="64" t="s">
        <v>1438</v>
      </c>
    </row>
    <row r="389" spans="1:13" s="65" customFormat="1" ht="12" customHeight="1" x14ac:dyDescent="0.2">
      <c r="A389" s="78">
        <v>231115</v>
      </c>
      <c r="B389" s="69" t="s">
        <v>442</v>
      </c>
      <c r="C389" s="60" t="s">
        <v>1196</v>
      </c>
      <c r="D389" s="66" t="s">
        <v>1204</v>
      </c>
      <c r="E389" s="66" t="s">
        <v>1385</v>
      </c>
      <c r="F389" s="66" t="s">
        <v>1679</v>
      </c>
      <c r="G389" s="60" t="s">
        <v>7</v>
      </c>
      <c r="H389" s="61">
        <v>5.6708333333333334</v>
      </c>
      <c r="I389" s="61">
        <v>5.6708333333333334</v>
      </c>
      <c r="J389" s="62"/>
      <c r="K389" s="63" t="s">
        <v>1718</v>
      </c>
      <c r="L389" s="64" t="s">
        <v>1204</v>
      </c>
      <c r="M389" s="64" t="s">
        <v>1385</v>
      </c>
    </row>
    <row r="390" spans="1:13" s="65" customFormat="1" ht="12" customHeight="1" x14ac:dyDescent="0.2">
      <c r="A390" s="78">
        <v>231116</v>
      </c>
      <c r="B390" s="69" t="s">
        <v>443</v>
      </c>
      <c r="C390" s="60" t="s">
        <v>1196</v>
      </c>
      <c r="D390" s="66" t="s">
        <v>1204</v>
      </c>
      <c r="E390" s="66" t="s">
        <v>1385</v>
      </c>
      <c r="F390" s="66" t="s">
        <v>1679</v>
      </c>
      <c r="G390" s="60" t="s">
        <v>8</v>
      </c>
      <c r="H390" s="61">
        <v>3.4243055555555557</v>
      </c>
      <c r="I390" s="61"/>
      <c r="J390" s="62">
        <v>3.4243055555555557</v>
      </c>
      <c r="K390" s="63" t="s">
        <v>1718</v>
      </c>
      <c r="L390" s="64" t="s">
        <v>1204</v>
      </c>
      <c r="M390" s="64" t="s">
        <v>1385</v>
      </c>
    </row>
    <row r="391" spans="1:13" s="65" customFormat="1" ht="12" customHeight="1" x14ac:dyDescent="0.2">
      <c r="A391" s="78">
        <v>231144</v>
      </c>
      <c r="B391" s="69" t="s">
        <v>444</v>
      </c>
      <c r="C391" s="60" t="s">
        <v>1196</v>
      </c>
      <c r="D391" s="66" t="s">
        <v>1202</v>
      </c>
      <c r="E391" s="66" t="s">
        <v>1455</v>
      </c>
      <c r="F391" s="66" t="s">
        <v>1700</v>
      </c>
      <c r="G391" s="60" t="s">
        <v>8</v>
      </c>
      <c r="H391" s="61">
        <v>4.1493055555555554</v>
      </c>
      <c r="I391" s="61"/>
      <c r="J391" s="62">
        <v>4.1493055555555554</v>
      </c>
      <c r="K391" s="63" t="s">
        <v>1718</v>
      </c>
      <c r="L391" s="64" t="s">
        <v>1202</v>
      </c>
      <c r="M391" s="64" t="s">
        <v>1455</v>
      </c>
    </row>
    <row r="392" spans="1:13" s="65" customFormat="1" ht="12" customHeight="1" x14ac:dyDescent="0.2">
      <c r="A392" s="78">
        <v>231145</v>
      </c>
      <c r="B392" s="69" t="s">
        <v>445</v>
      </c>
      <c r="C392" s="60" t="s">
        <v>1196</v>
      </c>
      <c r="D392" s="66" t="s">
        <v>1202</v>
      </c>
      <c r="E392" s="66" t="s">
        <v>1456</v>
      </c>
      <c r="F392" s="66" t="s">
        <v>1590</v>
      </c>
      <c r="G392" s="60" t="s">
        <v>8</v>
      </c>
      <c r="H392" s="61">
        <v>0.60277777777777775</v>
      </c>
      <c r="I392" s="61"/>
      <c r="J392" s="62">
        <v>0.60277777777777775</v>
      </c>
      <c r="K392" s="63" t="s">
        <v>1720</v>
      </c>
      <c r="L392" s="64" t="s">
        <v>1202</v>
      </c>
      <c r="M392" s="64" t="s">
        <v>1456</v>
      </c>
    </row>
    <row r="393" spans="1:13" s="65" customFormat="1" ht="12" customHeight="1" x14ac:dyDescent="0.2">
      <c r="A393" s="78">
        <v>231164</v>
      </c>
      <c r="B393" s="69" t="s">
        <v>446</v>
      </c>
      <c r="C393" s="60" t="s">
        <v>1196</v>
      </c>
      <c r="D393" s="66" t="s">
        <v>1203</v>
      </c>
      <c r="E393" s="66" t="s">
        <v>1427</v>
      </c>
      <c r="F393" s="66" t="s">
        <v>1643</v>
      </c>
      <c r="G393" s="60" t="s">
        <v>7</v>
      </c>
      <c r="H393" s="61">
        <v>0.7597222222222223</v>
      </c>
      <c r="I393" s="61">
        <v>0.7597222222222223</v>
      </c>
      <c r="J393" s="62"/>
      <c r="K393" s="63" t="s">
        <v>1718</v>
      </c>
      <c r="L393" s="64" t="s">
        <v>1203</v>
      </c>
      <c r="M393" s="64" t="s">
        <v>1427</v>
      </c>
    </row>
    <row r="394" spans="1:13" s="65" customFormat="1" ht="12" customHeight="1" x14ac:dyDescent="0.2">
      <c r="A394" s="78">
        <v>231169</v>
      </c>
      <c r="B394" s="69" t="s">
        <v>447</v>
      </c>
      <c r="C394" s="60" t="s">
        <v>1196</v>
      </c>
      <c r="D394" s="66" t="s">
        <v>1204</v>
      </c>
      <c r="E394" s="66" t="s">
        <v>1418</v>
      </c>
      <c r="F394" s="66" t="s">
        <v>1621</v>
      </c>
      <c r="G394" s="60" t="s">
        <v>8</v>
      </c>
      <c r="H394" s="61">
        <v>0.53611111111111109</v>
      </c>
      <c r="I394" s="61"/>
      <c r="J394" s="62">
        <v>0.53611111111111109</v>
      </c>
      <c r="K394" s="63" t="s">
        <v>1718</v>
      </c>
      <c r="L394" s="64" t="s">
        <v>1204</v>
      </c>
      <c r="M394" s="64" t="s">
        <v>1418</v>
      </c>
    </row>
    <row r="395" spans="1:13" s="65" customFormat="1" ht="12" customHeight="1" x14ac:dyDescent="0.2">
      <c r="A395" s="78">
        <v>231221</v>
      </c>
      <c r="B395" s="69" t="s">
        <v>448</v>
      </c>
      <c r="C395" s="60" t="s">
        <v>1196</v>
      </c>
      <c r="D395" s="66" t="s">
        <v>1198</v>
      </c>
      <c r="E395" s="66" t="s">
        <v>1457</v>
      </c>
      <c r="F395" s="66" t="s">
        <v>1650</v>
      </c>
      <c r="G395" s="60" t="s">
        <v>7</v>
      </c>
      <c r="H395" s="61">
        <v>0.17222222222222225</v>
      </c>
      <c r="I395" s="61">
        <v>0.17222222222222225</v>
      </c>
      <c r="J395" s="62"/>
      <c r="K395" s="63" t="s">
        <v>1718</v>
      </c>
      <c r="L395" s="64" t="s">
        <v>1198</v>
      </c>
      <c r="M395" s="64" t="s">
        <v>1457</v>
      </c>
    </row>
    <row r="396" spans="1:13" s="65" customFormat="1" ht="12" customHeight="1" x14ac:dyDescent="0.2">
      <c r="A396" s="78">
        <v>231222</v>
      </c>
      <c r="B396" s="69" t="s">
        <v>449</v>
      </c>
      <c r="C396" s="60" t="s">
        <v>1196</v>
      </c>
      <c r="D396" s="66" t="s">
        <v>1202</v>
      </c>
      <c r="E396" s="66" t="s">
        <v>1458</v>
      </c>
      <c r="F396" s="66" t="s">
        <v>1700</v>
      </c>
      <c r="G396" s="60" t="s">
        <v>7</v>
      </c>
      <c r="H396" s="61">
        <v>1.1812499999999999</v>
      </c>
      <c r="I396" s="61">
        <v>1.1812499999999999</v>
      </c>
      <c r="J396" s="62"/>
      <c r="K396" s="63" t="s">
        <v>1722</v>
      </c>
      <c r="L396" s="64" t="s">
        <v>1202</v>
      </c>
      <c r="M396" s="64" t="s">
        <v>1458</v>
      </c>
    </row>
    <row r="397" spans="1:13" s="65" customFormat="1" ht="12" customHeight="1" x14ac:dyDescent="0.2">
      <c r="A397" s="78">
        <v>231223</v>
      </c>
      <c r="B397" s="69" t="s">
        <v>450</v>
      </c>
      <c r="C397" s="60" t="s">
        <v>1196</v>
      </c>
      <c r="D397" s="66" t="s">
        <v>1204</v>
      </c>
      <c r="E397" s="66" t="s">
        <v>1459</v>
      </c>
      <c r="F397" s="66" t="s">
        <v>1604</v>
      </c>
      <c r="G397" s="60" t="s">
        <v>8</v>
      </c>
      <c r="H397" s="61">
        <v>0.63541666666666663</v>
      </c>
      <c r="I397" s="61"/>
      <c r="J397" s="62">
        <v>0.63541666666666663</v>
      </c>
      <c r="K397" s="63" t="s">
        <v>1718</v>
      </c>
      <c r="L397" s="64" t="s">
        <v>1204</v>
      </c>
      <c r="M397" s="64" t="s">
        <v>1459</v>
      </c>
    </row>
    <row r="398" spans="1:13" s="65" customFormat="1" ht="12" customHeight="1" x14ac:dyDescent="0.2">
      <c r="A398" s="78">
        <v>231226</v>
      </c>
      <c r="B398" s="69" t="s">
        <v>451</v>
      </c>
      <c r="C398" s="60" t="s">
        <v>1196</v>
      </c>
      <c r="D398" s="66" t="s">
        <v>1200</v>
      </c>
      <c r="E398" s="66" t="s">
        <v>1431</v>
      </c>
      <c r="F398" s="66" t="s">
        <v>1692</v>
      </c>
      <c r="G398" s="60" t="s">
        <v>8</v>
      </c>
      <c r="H398" s="61">
        <v>0.33402777777777781</v>
      </c>
      <c r="I398" s="61"/>
      <c r="J398" s="62">
        <v>0.33402777777777781</v>
      </c>
      <c r="K398" s="63" t="s">
        <v>1718</v>
      </c>
      <c r="L398" s="64" t="s">
        <v>1200</v>
      </c>
      <c r="M398" s="64" t="s">
        <v>1431</v>
      </c>
    </row>
    <row r="399" spans="1:13" s="65" customFormat="1" ht="12" customHeight="1" x14ac:dyDescent="0.2">
      <c r="A399" s="78">
        <v>231228</v>
      </c>
      <c r="B399" s="69" t="s">
        <v>452</v>
      </c>
      <c r="C399" s="60" t="s">
        <v>1196</v>
      </c>
      <c r="D399" s="66" t="s">
        <v>1199</v>
      </c>
      <c r="E399" s="66" t="s">
        <v>1460</v>
      </c>
      <c r="F399" s="66" t="s">
        <v>1698</v>
      </c>
      <c r="G399" s="60" t="s">
        <v>7</v>
      </c>
      <c r="H399" s="61">
        <v>0.19444444444444445</v>
      </c>
      <c r="I399" s="61">
        <v>0.19444444444444445</v>
      </c>
      <c r="J399" s="62"/>
      <c r="K399" s="63" t="s">
        <v>1722</v>
      </c>
      <c r="L399" s="64" t="s">
        <v>1199</v>
      </c>
      <c r="M399" s="64" t="s">
        <v>1460</v>
      </c>
    </row>
    <row r="400" spans="1:13" s="65" customFormat="1" ht="12" customHeight="1" x14ac:dyDescent="0.2">
      <c r="A400" s="78">
        <v>231230</v>
      </c>
      <c r="B400" s="69" t="s">
        <v>453</v>
      </c>
      <c r="C400" s="60" t="s">
        <v>1196</v>
      </c>
      <c r="D400" s="66" t="s">
        <v>1204</v>
      </c>
      <c r="E400" s="66" t="s">
        <v>1246</v>
      </c>
      <c r="F400" s="66" t="s">
        <v>1612</v>
      </c>
      <c r="G400" s="60" t="s">
        <v>8</v>
      </c>
      <c r="H400" s="61">
        <v>3.129861111111111</v>
      </c>
      <c r="I400" s="61"/>
      <c r="J400" s="62">
        <v>3.129861111111111</v>
      </c>
      <c r="K400" s="63" t="s">
        <v>1723</v>
      </c>
      <c r="L400" s="64" t="s">
        <v>1204</v>
      </c>
      <c r="M400" s="64" t="s">
        <v>1246</v>
      </c>
    </row>
    <row r="401" spans="1:13" s="65" customFormat="1" ht="12" customHeight="1" x14ac:dyDescent="0.2">
      <c r="A401" s="78">
        <v>231250</v>
      </c>
      <c r="B401" s="69" t="s">
        <v>454</v>
      </c>
      <c r="C401" s="60" t="s">
        <v>1196</v>
      </c>
      <c r="D401" s="66" t="s">
        <v>1200</v>
      </c>
      <c r="E401" s="66" t="s">
        <v>1451</v>
      </c>
      <c r="F401" s="66" t="s">
        <v>1662</v>
      </c>
      <c r="G401" s="60" t="s">
        <v>7</v>
      </c>
      <c r="H401" s="61">
        <v>1.598611111111111</v>
      </c>
      <c r="I401" s="61">
        <v>1.598611111111111</v>
      </c>
      <c r="J401" s="62"/>
      <c r="K401" s="63" t="s">
        <v>1723</v>
      </c>
      <c r="L401" s="64" t="s">
        <v>1200</v>
      </c>
      <c r="M401" s="64" t="s">
        <v>1451</v>
      </c>
    </row>
    <row r="402" spans="1:13" s="65" customFormat="1" ht="12" customHeight="1" x14ac:dyDescent="0.2">
      <c r="A402" s="78">
        <v>231271</v>
      </c>
      <c r="B402" s="69" t="s">
        <v>455</v>
      </c>
      <c r="C402" s="60" t="s">
        <v>1196</v>
      </c>
      <c r="D402" s="66" t="s">
        <v>1204</v>
      </c>
      <c r="E402" s="66" t="s">
        <v>1461</v>
      </c>
      <c r="F402" s="66" t="s">
        <v>1618</v>
      </c>
      <c r="G402" s="60" t="s">
        <v>8</v>
      </c>
      <c r="H402" s="61">
        <v>0.79652777777777783</v>
      </c>
      <c r="I402" s="61"/>
      <c r="J402" s="62">
        <v>0.79652777777777783</v>
      </c>
      <c r="K402" s="63" t="s">
        <v>1718</v>
      </c>
      <c r="L402" s="64" t="s">
        <v>1204</v>
      </c>
      <c r="M402" s="64" t="s">
        <v>1461</v>
      </c>
    </row>
    <row r="403" spans="1:13" s="65" customFormat="1" ht="12" customHeight="1" x14ac:dyDescent="0.2">
      <c r="A403" s="78">
        <v>231296</v>
      </c>
      <c r="B403" s="69" t="s">
        <v>456</v>
      </c>
      <c r="C403" s="60" t="s">
        <v>1196</v>
      </c>
      <c r="D403" s="66" t="s">
        <v>1201</v>
      </c>
      <c r="E403" s="66" t="s">
        <v>1441</v>
      </c>
      <c r="F403" s="66" t="s">
        <v>1697</v>
      </c>
      <c r="G403" s="60" t="s">
        <v>8</v>
      </c>
      <c r="H403" s="61">
        <v>3.1034722222222224</v>
      </c>
      <c r="I403" s="61"/>
      <c r="J403" s="62">
        <v>3.1034722222222224</v>
      </c>
      <c r="K403" s="63" t="s">
        <v>1718</v>
      </c>
      <c r="L403" s="64" t="s">
        <v>1201</v>
      </c>
      <c r="M403" s="64" t="s">
        <v>1441</v>
      </c>
    </row>
    <row r="404" spans="1:13" s="65" customFormat="1" ht="12" customHeight="1" x14ac:dyDescent="0.2">
      <c r="A404" s="78">
        <v>231301</v>
      </c>
      <c r="B404" s="69" t="s">
        <v>457</v>
      </c>
      <c r="C404" s="60" t="s">
        <v>1196</v>
      </c>
      <c r="D404" s="66" t="s">
        <v>1203</v>
      </c>
      <c r="E404" s="66" t="s">
        <v>1440</v>
      </c>
      <c r="F404" s="66" t="s">
        <v>1696</v>
      </c>
      <c r="G404" s="60" t="s">
        <v>7</v>
      </c>
      <c r="H404" s="61">
        <v>1.0270833333333333</v>
      </c>
      <c r="I404" s="61">
        <v>1.0270833333333333</v>
      </c>
      <c r="J404" s="62"/>
      <c r="K404" s="63" t="s">
        <v>1718</v>
      </c>
      <c r="L404" s="64" t="s">
        <v>1203</v>
      </c>
      <c r="M404" s="64" t="s">
        <v>1440</v>
      </c>
    </row>
    <row r="405" spans="1:13" s="65" customFormat="1" ht="12" customHeight="1" x14ac:dyDescent="0.2">
      <c r="A405" s="78">
        <v>231305</v>
      </c>
      <c r="B405" s="69" t="s">
        <v>458</v>
      </c>
      <c r="C405" s="60" t="s">
        <v>1196</v>
      </c>
      <c r="D405" s="66" t="s">
        <v>1202</v>
      </c>
      <c r="E405" s="66" t="s">
        <v>1433</v>
      </c>
      <c r="F405" s="66" t="s">
        <v>1693</v>
      </c>
      <c r="G405" s="60" t="s">
        <v>8</v>
      </c>
      <c r="H405" s="61">
        <v>3.6944444444444446</v>
      </c>
      <c r="I405" s="61"/>
      <c r="J405" s="62">
        <v>3.6944444444444446</v>
      </c>
      <c r="K405" s="63" t="s">
        <v>1718</v>
      </c>
      <c r="L405" s="64" t="s">
        <v>1202</v>
      </c>
      <c r="M405" s="64" t="s">
        <v>1433</v>
      </c>
    </row>
    <row r="406" spans="1:13" s="65" customFormat="1" ht="12" customHeight="1" x14ac:dyDescent="0.2">
      <c r="A406" s="78">
        <v>231307</v>
      </c>
      <c r="B406" s="69" t="s">
        <v>459</v>
      </c>
      <c r="C406" s="60" t="s">
        <v>1196</v>
      </c>
      <c r="D406" s="66" t="s">
        <v>1199</v>
      </c>
      <c r="E406" s="66" t="s">
        <v>1340</v>
      </c>
      <c r="F406" s="66" t="s">
        <v>1665</v>
      </c>
      <c r="G406" s="60" t="s">
        <v>8</v>
      </c>
      <c r="H406" s="61">
        <v>0.15</v>
      </c>
      <c r="I406" s="61"/>
      <c r="J406" s="62">
        <v>0.15</v>
      </c>
      <c r="K406" s="63" t="s">
        <v>1718</v>
      </c>
      <c r="L406" s="64" t="s">
        <v>1199</v>
      </c>
      <c r="M406" s="64" t="s">
        <v>1340</v>
      </c>
    </row>
    <row r="407" spans="1:13" s="65" customFormat="1" ht="12" customHeight="1" x14ac:dyDescent="0.2">
      <c r="A407" s="78">
        <v>231359</v>
      </c>
      <c r="B407" s="69" t="s">
        <v>460</v>
      </c>
      <c r="C407" s="60" t="s">
        <v>1196</v>
      </c>
      <c r="D407" s="66" t="s">
        <v>1201</v>
      </c>
      <c r="E407" s="66" t="s">
        <v>1462</v>
      </c>
      <c r="F407" s="66" t="s">
        <v>1591</v>
      </c>
      <c r="G407" s="60" t="s">
        <v>8</v>
      </c>
      <c r="H407" s="61">
        <v>0.73333333333333339</v>
      </c>
      <c r="I407" s="61"/>
      <c r="J407" s="62">
        <v>0.73333333333333339</v>
      </c>
      <c r="K407" s="63" t="s">
        <v>1720</v>
      </c>
      <c r="L407" s="64" t="s">
        <v>1201</v>
      </c>
      <c r="M407" s="64" t="s">
        <v>1462</v>
      </c>
    </row>
    <row r="408" spans="1:13" s="65" customFormat="1" ht="12" customHeight="1" x14ac:dyDescent="0.2">
      <c r="A408" s="78">
        <v>231420</v>
      </c>
      <c r="B408" s="69" t="s">
        <v>461</v>
      </c>
      <c r="C408" s="60" t="s">
        <v>1196</v>
      </c>
      <c r="D408" s="66" t="s">
        <v>1205</v>
      </c>
      <c r="E408" s="66" t="s">
        <v>1397</v>
      </c>
      <c r="F408" s="66" t="s">
        <v>1631</v>
      </c>
      <c r="G408" s="60" t="s">
        <v>8</v>
      </c>
      <c r="H408" s="61">
        <v>0.8222222222222223</v>
      </c>
      <c r="I408" s="61"/>
      <c r="J408" s="62">
        <v>0.8222222222222223</v>
      </c>
      <c r="K408" s="63" t="s">
        <v>1718</v>
      </c>
      <c r="L408" s="64" t="s">
        <v>1205</v>
      </c>
      <c r="M408" s="64" t="s">
        <v>1397</v>
      </c>
    </row>
    <row r="409" spans="1:13" s="65" customFormat="1" ht="12" customHeight="1" x14ac:dyDescent="0.2">
      <c r="A409" s="78">
        <v>231430</v>
      </c>
      <c r="B409" s="69" t="s">
        <v>462</v>
      </c>
      <c r="C409" s="60" t="s">
        <v>1196</v>
      </c>
      <c r="D409" s="66" t="s">
        <v>1199</v>
      </c>
      <c r="E409" s="66" t="s">
        <v>1341</v>
      </c>
      <c r="F409" s="66" t="s">
        <v>1666</v>
      </c>
      <c r="G409" s="60" t="s">
        <v>7</v>
      </c>
      <c r="H409" s="61">
        <v>0.60138888888888886</v>
      </c>
      <c r="I409" s="61">
        <v>0.60138888888888886</v>
      </c>
      <c r="J409" s="62"/>
      <c r="K409" s="63" t="s">
        <v>1718</v>
      </c>
      <c r="L409" s="64" t="s">
        <v>1199</v>
      </c>
      <c r="M409" s="64" t="s">
        <v>1341</v>
      </c>
    </row>
    <row r="410" spans="1:13" s="65" customFormat="1" ht="12" customHeight="1" x14ac:dyDescent="0.2">
      <c r="A410" s="78">
        <v>231447</v>
      </c>
      <c r="B410" s="69" t="s">
        <v>463</v>
      </c>
      <c r="C410" s="60" t="s">
        <v>1196</v>
      </c>
      <c r="D410" s="66" t="s">
        <v>1204</v>
      </c>
      <c r="E410" s="66" t="s">
        <v>1259</v>
      </c>
      <c r="F410" s="66" t="s">
        <v>1621</v>
      </c>
      <c r="G410" s="60" t="s">
        <v>8</v>
      </c>
      <c r="H410" s="61">
        <v>0.15486111111111112</v>
      </c>
      <c r="I410" s="61"/>
      <c r="J410" s="62">
        <v>0.15486111111111112</v>
      </c>
      <c r="K410" s="63" t="s">
        <v>1723</v>
      </c>
      <c r="L410" s="64" t="s">
        <v>1204</v>
      </c>
      <c r="M410" s="64" t="s">
        <v>1259</v>
      </c>
    </row>
    <row r="411" spans="1:13" s="65" customFormat="1" ht="12" customHeight="1" x14ac:dyDescent="0.2">
      <c r="A411" s="78">
        <v>231459</v>
      </c>
      <c r="B411" s="69" t="s">
        <v>464</v>
      </c>
      <c r="C411" s="60" t="s">
        <v>1196</v>
      </c>
      <c r="D411" s="66" t="s">
        <v>1201</v>
      </c>
      <c r="E411" s="66" t="s">
        <v>1463</v>
      </c>
      <c r="F411" s="66" t="s">
        <v>1701</v>
      </c>
      <c r="G411" s="60" t="s">
        <v>7</v>
      </c>
      <c r="H411" s="61">
        <v>1.3888888888888889E-3</v>
      </c>
      <c r="I411" s="61">
        <v>1.3888888888888889E-3</v>
      </c>
      <c r="J411" s="62"/>
      <c r="K411" s="63" t="s">
        <v>1718</v>
      </c>
      <c r="L411" s="64" t="s">
        <v>1201</v>
      </c>
      <c r="M411" s="64" t="s">
        <v>1463</v>
      </c>
    </row>
    <row r="412" spans="1:13" s="65" customFormat="1" ht="12" customHeight="1" x14ac:dyDescent="0.2">
      <c r="A412" s="78">
        <v>231460</v>
      </c>
      <c r="B412" s="69" t="s">
        <v>465</v>
      </c>
      <c r="C412" s="60" t="s">
        <v>1196</v>
      </c>
      <c r="D412" s="66" t="s">
        <v>1201</v>
      </c>
      <c r="E412" s="66" t="s">
        <v>1463</v>
      </c>
      <c r="F412" s="66" t="s">
        <v>1701</v>
      </c>
      <c r="G412" s="60" t="s">
        <v>7</v>
      </c>
      <c r="H412" s="61">
        <v>0.13541666666666666</v>
      </c>
      <c r="I412" s="61">
        <v>0.13541666666666666</v>
      </c>
      <c r="J412" s="62"/>
      <c r="K412" s="63" t="s">
        <v>1718</v>
      </c>
      <c r="L412" s="64" t="s">
        <v>1201</v>
      </c>
      <c r="M412" s="64" t="s">
        <v>1463</v>
      </c>
    </row>
    <row r="413" spans="1:13" s="65" customFormat="1" ht="12" customHeight="1" x14ac:dyDescent="0.2">
      <c r="A413" s="78">
        <v>231488</v>
      </c>
      <c r="B413" s="69" t="s">
        <v>466</v>
      </c>
      <c r="C413" s="60" t="s">
        <v>1196</v>
      </c>
      <c r="D413" s="66" t="s">
        <v>1199</v>
      </c>
      <c r="E413" s="66" t="s">
        <v>1443</v>
      </c>
      <c r="F413" s="66" t="s">
        <v>1698</v>
      </c>
      <c r="G413" s="60" t="s">
        <v>8</v>
      </c>
      <c r="H413" s="61">
        <v>0.12013888888888889</v>
      </c>
      <c r="I413" s="61"/>
      <c r="J413" s="62">
        <v>0.12013888888888889</v>
      </c>
      <c r="K413" s="63" t="s">
        <v>1718</v>
      </c>
      <c r="L413" s="64" t="s">
        <v>1199</v>
      </c>
      <c r="M413" s="64" t="s">
        <v>1443</v>
      </c>
    </row>
    <row r="414" spans="1:13" s="65" customFormat="1" ht="12" customHeight="1" x14ac:dyDescent="0.2">
      <c r="A414" s="78">
        <v>231492</v>
      </c>
      <c r="B414" s="69" t="s">
        <v>467</v>
      </c>
      <c r="C414" s="60" t="s">
        <v>1196</v>
      </c>
      <c r="D414" s="66" t="s">
        <v>1201</v>
      </c>
      <c r="E414" s="66" t="s">
        <v>1464</v>
      </c>
      <c r="F414" s="66" t="s">
        <v>1701</v>
      </c>
      <c r="G414" s="60" t="s">
        <v>8</v>
      </c>
      <c r="H414" s="61">
        <v>2.8472222222222222E-2</v>
      </c>
      <c r="I414" s="61"/>
      <c r="J414" s="62">
        <v>2.8472222222222222E-2</v>
      </c>
      <c r="K414" s="63" t="s">
        <v>1723</v>
      </c>
      <c r="L414" s="64" t="s">
        <v>1201</v>
      </c>
      <c r="M414" s="64" t="s">
        <v>1464</v>
      </c>
    </row>
    <row r="415" spans="1:13" s="65" customFormat="1" ht="12" customHeight="1" x14ac:dyDescent="0.2">
      <c r="A415" s="78">
        <v>231499</v>
      </c>
      <c r="B415" s="69" t="s">
        <v>468</v>
      </c>
      <c r="C415" s="60" t="s">
        <v>1196</v>
      </c>
      <c r="D415" s="66" t="s">
        <v>1199</v>
      </c>
      <c r="E415" s="66" t="s">
        <v>1465</v>
      </c>
      <c r="F415" s="66" t="s">
        <v>1666</v>
      </c>
      <c r="G415" s="60" t="s">
        <v>7</v>
      </c>
      <c r="H415" s="61">
        <v>0.16597222222222222</v>
      </c>
      <c r="I415" s="61">
        <v>0.16597222222222222</v>
      </c>
      <c r="J415" s="62"/>
      <c r="K415" s="63" t="s">
        <v>1723</v>
      </c>
      <c r="L415" s="64" t="s">
        <v>1199</v>
      </c>
      <c r="M415" s="64" t="s">
        <v>1465</v>
      </c>
    </row>
    <row r="416" spans="1:13" s="65" customFormat="1" ht="12" customHeight="1" x14ac:dyDescent="0.2">
      <c r="A416" s="78">
        <v>231507</v>
      </c>
      <c r="B416" s="69" t="s">
        <v>469</v>
      </c>
      <c r="C416" s="60" t="s">
        <v>1196</v>
      </c>
      <c r="D416" s="66" t="s">
        <v>1197</v>
      </c>
      <c r="E416" s="66" t="s">
        <v>1266</v>
      </c>
      <c r="F416" s="66" t="s">
        <v>1624</v>
      </c>
      <c r="G416" s="60" t="s">
        <v>7</v>
      </c>
      <c r="H416" s="61">
        <v>0.63402777777777775</v>
      </c>
      <c r="I416" s="61">
        <v>0.63402777777777775</v>
      </c>
      <c r="J416" s="62"/>
      <c r="K416" s="63" t="s">
        <v>1723</v>
      </c>
      <c r="L416" s="64" t="s">
        <v>1197</v>
      </c>
      <c r="M416" s="64" t="s">
        <v>1266</v>
      </c>
    </row>
    <row r="417" spans="1:13" s="65" customFormat="1" ht="12" customHeight="1" x14ac:dyDescent="0.2">
      <c r="A417" s="78">
        <v>231511</v>
      </c>
      <c r="B417" s="69" t="s">
        <v>470</v>
      </c>
      <c r="C417" s="60" t="s">
        <v>1196</v>
      </c>
      <c r="D417" s="66" t="s">
        <v>1203</v>
      </c>
      <c r="E417" s="66" t="s">
        <v>1318</v>
      </c>
      <c r="F417" s="66" t="s">
        <v>1633</v>
      </c>
      <c r="G417" s="60" t="s">
        <v>7</v>
      </c>
      <c r="H417" s="61">
        <v>1.179861111111111</v>
      </c>
      <c r="I417" s="61">
        <v>1.179861111111111</v>
      </c>
      <c r="J417" s="62"/>
      <c r="K417" s="63" t="s">
        <v>1718</v>
      </c>
      <c r="L417" s="64" t="s">
        <v>1203</v>
      </c>
      <c r="M417" s="64" t="s">
        <v>1318</v>
      </c>
    </row>
    <row r="418" spans="1:13" s="65" customFormat="1" ht="12" customHeight="1" x14ac:dyDescent="0.2">
      <c r="A418" s="78">
        <v>231545</v>
      </c>
      <c r="B418" s="69" t="s">
        <v>471</v>
      </c>
      <c r="C418" s="60" t="s">
        <v>1196</v>
      </c>
      <c r="D418" s="66" t="s">
        <v>1205</v>
      </c>
      <c r="E418" s="66" t="s">
        <v>1416</v>
      </c>
      <c r="F418" s="66" t="s">
        <v>1689</v>
      </c>
      <c r="G418" s="60" t="s">
        <v>8</v>
      </c>
      <c r="H418" s="61">
        <v>0.19236111111111112</v>
      </c>
      <c r="I418" s="61"/>
      <c r="J418" s="62">
        <v>0.19236111111111112</v>
      </c>
      <c r="K418" s="63" t="s">
        <v>1723</v>
      </c>
      <c r="L418" s="64" t="s">
        <v>1205</v>
      </c>
      <c r="M418" s="64" t="s">
        <v>1416</v>
      </c>
    </row>
    <row r="419" spans="1:13" s="65" customFormat="1" ht="12" customHeight="1" x14ac:dyDescent="0.2">
      <c r="A419" s="78">
        <v>231554</v>
      </c>
      <c r="B419" s="69" t="s">
        <v>472</v>
      </c>
      <c r="C419" s="60" t="s">
        <v>1196</v>
      </c>
      <c r="D419" s="66" t="s">
        <v>1201</v>
      </c>
      <c r="E419" s="66" t="s">
        <v>1434</v>
      </c>
      <c r="F419" s="66" t="s">
        <v>1694</v>
      </c>
      <c r="G419" s="60" t="s">
        <v>8</v>
      </c>
      <c r="H419" s="61">
        <v>0.125</v>
      </c>
      <c r="I419" s="61"/>
      <c r="J419" s="62">
        <v>0.125</v>
      </c>
      <c r="K419" s="63" t="s">
        <v>1718</v>
      </c>
      <c r="L419" s="64" t="s">
        <v>1201</v>
      </c>
      <c r="M419" s="64" t="s">
        <v>1434</v>
      </c>
    </row>
    <row r="420" spans="1:13" s="65" customFormat="1" ht="12" customHeight="1" x14ac:dyDescent="0.2">
      <c r="A420" s="78">
        <v>231560</v>
      </c>
      <c r="B420" s="69" t="s">
        <v>473</v>
      </c>
      <c r="C420" s="60" t="s">
        <v>1196</v>
      </c>
      <c r="D420" s="66" t="s">
        <v>1201</v>
      </c>
      <c r="E420" s="66" t="s">
        <v>1372</v>
      </c>
      <c r="F420" s="66" t="s">
        <v>1675</v>
      </c>
      <c r="G420" s="60" t="s">
        <v>8</v>
      </c>
      <c r="H420" s="61">
        <v>1.8680555555555556</v>
      </c>
      <c r="I420" s="61"/>
      <c r="J420" s="62">
        <v>1.8680555555555556</v>
      </c>
      <c r="K420" s="63" t="s">
        <v>1718</v>
      </c>
      <c r="L420" s="64" t="s">
        <v>1201</v>
      </c>
      <c r="M420" s="64" t="s">
        <v>1372</v>
      </c>
    </row>
    <row r="421" spans="1:13" s="65" customFormat="1" ht="12" customHeight="1" x14ac:dyDescent="0.2">
      <c r="A421" s="78">
        <v>231590</v>
      </c>
      <c r="B421" s="69" t="s">
        <v>474</v>
      </c>
      <c r="C421" s="60" t="s">
        <v>1196</v>
      </c>
      <c r="D421" s="66" t="s">
        <v>1199</v>
      </c>
      <c r="E421" s="66" t="s">
        <v>1401</v>
      </c>
      <c r="F421" s="66" t="s">
        <v>1645</v>
      </c>
      <c r="G421" s="60" t="s">
        <v>7</v>
      </c>
      <c r="H421" s="61">
        <v>0.43402777777777773</v>
      </c>
      <c r="I421" s="61">
        <v>0.43402777777777773</v>
      </c>
      <c r="J421" s="62"/>
      <c r="K421" s="63" t="s">
        <v>1718</v>
      </c>
      <c r="L421" s="64" t="s">
        <v>1199</v>
      </c>
      <c r="M421" s="64" t="s">
        <v>1401</v>
      </c>
    </row>
    <row r="422" spans="1:13" s="65" customFormat="1" ht="12" customHeight="1" x14ac:dyDescent="0.2">
      <c r="A422" s="78">
        <v>231591</v>
      </c>
      <c r="B422" s="69" t="s">
        <v>475</v>
      </c>
      <c r="C422" s="60" t="s">
        <v>1196</v>
      </c>
      <c r="D422" s="66" t="s">
        <v>1205</v>
      </c>
      <c r="E422" s="66" t="s">
        <v>1336</v>
      </c>
      <c r="F422" s="66" t="s">
        <v>1663</v>
      </c>
      <c r="G422" s="60" t="s">
        <v>8</v>
      </c>
      <c r="H422" s="61">
        <v>0.28333333333333333</v>
      </c>
      <c r="I422" s="61"/>
      <c r="J422" s="62">
        <v>0.28333333333333333</v>
      </c>
      <c r="K422" s="63" t="s">
        <v>1718</v>
      </c>
      <c r="L422" s="64" t="s">
        <v>1205</v>
      </c>
      <c r="M422" s="64" t="s">
        <v>1336</v>
      </c>
    </row>
    <row r="423" spans="1:13" s="65" customFormat="1" ht="12" customHeight="1" x14ac:dyDescent="0.2">
      <c r="A423" s="78">
        <v>231593</v>
      </c>
      <c r="B423" s="69" t="s">
        <v>476</v>
      </c>
      <c r="C423" s="60" t="s">
        <v>1196</v>
      </c>
      <c r="D423" s="66" t="s">
        <v>1201</v>
      </c>
      <c r="E423" s="66" t="s">
        <v>1466</v>
      </c>
      <c r="F423" s="66" t="s">
        <v>1591</v>
      </c>
      <c r="G423" s="60" t="s">
        <v>7</v>
      </c>
      <c r="H423" s="61">
        <v>0.74236111111111114</v>
      </c>
      <c r="I423" s="61">
        <v>0.74236111111111114</v>
      </c>
      <c r="J423" s="62"/>
      <c r="K423" s="63" t="s">
        <v>1720</v>
      </c>
      <c r="L423" s="64" t="s">
        <v>1201</v>
      </c>
      <c r="M423" s="64" t="s">
        <v>1466</v>
      </c>
    </row>
    <row r="424" spans="1:13" s="65" customFormat="1" ht="12" customHeight="1" x14ac:dyDescent="0.2">
      <c r="A424" s="78">
        <v>231605</v>
      </c>
      <c r="B424" s="69" t="s">
        <v>477</v>
      </c>
      <c r="C424" s="60" t="s">
        <v>1196</v>
      </c>
      <c r="D424" s="66" t="s">
        <v>1203</v>
      </c>
      <c r="E424" s="66" t="s">
        <v>1467</v>
      </c>
      <c r="F424" s="66" t="s">
        <v>1648</v>
      </c>
      <c r="G424" s="60" t="s">
        <v>8</v>
      </c>
      <c r="H424" s="61">
        <v>1.1465277777777778</v>
      </c>
      <c r="I424" s="61"/>
      <c r="J424" s="62">
        <v>1.1465277777777778</v>
      </c>
      <c r="K424" s="63" t="s">
        <v>1718</v>
      </c>
      <c r="L424" s="64" t="s">
        <v>1203</v>
      </c>
      <c r="M424" s="64" t="s">
        <v>1467</v>
      </c>
    </row>
    <row r="425" spans="1:13" s="65" customFormat="1" ht="12" customHeight="1" x14ac:dyDescent="0.2">
      <c r="A425" s="78">
        <v>231606</v>
      </c>
      <c r="B425" s="69" t="s">
        <v>478</v>
      </c>
      <c r="C425" s="60" t="s">
        <v>1196</v>
      </c>
      <c r="D425" s="66" t="s">
        <v>1203</v>
      </c>
      <c r="E425" s="66" t="s">
        <v>1300</v>
      </c>
      <c r="F425" s="66" t="s">
        <v>1648</v>
      </c>
      <c r="G425" s="60" t="s">
        <v>7</v>
      </c>
      <c r="H425" s="61">
        <v>0.53194444444444444</v>
      </c>
      <c r="I425" s="61">
        <v>0.53194444444444444</v>
      </c>
      <c r="J425" s="62"/>
      <c r="K425" s="63" t="s">
        <v>1722</v>
      </c>
      <c r="L425" s="64" t="s">
        <v>1203</v>
      </c>
      <c r="M425" s="64" t="s">
        <v>1300</v>
      </c>
    </row>
    <row r="426" spans="1:13" s="65" customFormat="1" ht="12" customHeight="1" x14ac:dyDescent="0.2">
      <c r="A426" s="78">
        <v>231646</v>
      </c>
      <c r="B426" s="69" t="s">
        <v>479</v>
      </c>
      <c r="C426" s="60" t="s">
        <v>1196</v>
      </c>
      <c r="D426" s="66" t="s">
        <v>1203</v>
      </c>
      <c r="E426" s="66" t="s">
        <v>1342</v>
      </c>
      <c r="F426" s="66" t="s">
        <v>1667</v>
      </c>
      <c r="G426" s="60" t="s">
        <v>7</v>
      </c>
      <c r="H426" s="61">
        <v>0.37361111111111112</v>
      </c>
      <c r="I426" s="61">
        <v>0.37361111111111112</v>
      </c>
      <c r="J426" s="62"/>
      <c r="K426" s="63" t="s">
        <v>1718</v>
      </c>
      <c r="L426" s="64" t="s">
        <v>1203</v>
      </c>
      <c r="M426" s="64" t="s">
        <v>1342</v>
      </c>
    </row>
    <row r="427" spans="1:13" s="65" customFormat="1" ht="12" customHeight="1" x14ac:dyDescent="0.2">
      <c r="A427" s="78">
        <v>231648</v>
      </c>
      <c r="B427" s="69" t="s">
        <v>480</v>
      </c>
      <c r="C427" s="60" t="s">
        <v>1196</v>
      </c>
      <c r="D427" s="66" t="s">
        <v>1201</v>
      </c>
      <c r="E427" s="66" t="s">
        <v>1380</v>
      </c>
      <c r="F427" s="66" t="s">
        <v>1614</v>
      </c>
      <c r="G427" s="60" t="s">
        <v>8</v>
      </c>
      <c r="H427" s="61">
        <v>1.3625</v>
      </c>
      <c r="I427" s="61"/>
      <c r="J427" s="62">
        <v>1.3625</v>
      </c>
      <c r="K427" s="63" t="s">
        <v>1718</v>
      </c>
      <c r="L427" s="64" t="s">
        <v>1201</v>
      </c>
      <c r="M427" s="64" t="s">
        <v>1380</v>
      </c>
    </row>
    <row r="428" spans="1:13" s="65" customFormat="1" ht="12" customHeight="1" x14ac:dyDescent="0.2">
      <c r="A428" s="78">
        <v>231649</v>
      </c>
      <c r="B428" s="69" t="s">
        <v>481</v>
      </c>
      <c r="C428" s="60" t="s">
        <v>1196</v>
      </c>
      <c r="D428" s="66" t="s">
        <v>1205</v>
      </c>
      <c r="E428" s="66" t="s">
        <v>1277</v>
      </c>
      <c r="F428" s="66" t="s">
        <v>1631</v>
      </c>
      <c r="G428" s="60" t="s">
        <v>8</v>
      </c>
      <c r="H428" s="61">
        <v>0.13333333333333333</v>
      </c>
      <c r="I428" s="61"/>
      <c r="J428" s="62">
        <v>0.13333333333333333</v>
      </c>
      <c r="K428" s="63" t="s">
        <v>1722</v>
      </c>
      <c r="L428" s="64" t="s">
        <v>1205</v>
      </c>
      <c r="M428" s="64" t="s">
        <v>1277</v>
      </c>
    </row>
    <row r="429" spans="1:13" s="65" customFormat="1" ht="12" customHeight="1" x14ac:dyDescent="0.2">
      <c r="A429" s="78">
        <v>231651</v>
      </c>
      <c r="B429" s="69" t="s">
        <v>482</v>
      </c>
      <c r="C429" s="60" t="s">
        <v>1196</v>
      </c>
      <c r="D429" s="66" t="s">
        <v>1197</v>
      </c>
      <c r="E429" s="66" t="s">
        <v>1229</v>
      </c>
      <c r="F429" s="66" t="s">
        <v>1585</v>
      </c>
      <c r="G429" s="60" t="s">
        <v>8</v>
      </c>
      <c r="H429" s="61">
        <v>0.29236111111111113</v>
      </c>
      <c r="I429" s="61"/>
      <c r="J429" s="62">
        <v>0.29236111111111113</v>
      </c>
      <c r="K429" s="63" t="s">
        <v>1723</v>
      </c>
      <c r="L429" s="64" t="s">
        <v>1197</v>
      </c>
      <c r="M429" s="64" t="s">
        <v>1229</v>
      </c>
    </row>
    <row r="430" spans="1:13" s="65" customFormat="1" ht="12" customHeight="1" x14ac:dyDescent="0.2">
      <c r="A430" s="78">
        <v>231661</v>
      </c>
      <c r="B430" s="69" t="s">
        <v>483</v>
      </c>
      <c r="C430" s="60" t="s">
        <v>1196</v>
      </c>
      <c r="D430" s="66" t="s">
        <v>1199</v>
      </c>
      <c r="E430" s="66" t="s">
        <v>1465</v>
      </c>
      <c r="F430" s="66" t="s">
        <v>1666</v>
      </c>
      <c r="G430" s="60" t="s">
        <v>7</v>
      </c>
      <c r="H430" s="61">
        <v>0.23124999999999998</v>
      </c>
      <c r="I430" s="61">
        <v>0.23124999999999998</v>
      </c>
      <c r="J430" s="62"/>
      <c r="K430" s="63" t="s">
        <v>1723</v>
      </c>
      <c r="L430" s="64" t="s">
        <v>1199</v>
      </c>
      <c r="M430" s="64" t="s">
        <v>1465</v>
      </c>
    </row>
    <row r="431" spans="1:13" s="65" customFormat="1" ht="12" customHeight="1" x14ac:dyDescent="0.2">
      <c r="A431" s="78">
        <v>231739</v>
      </c>
      <c r="B431" s="69" t="s">
        <v>484</v>
      </c>
      <c r="C431" s="60" t="s">
        <v>1196</v>
      </c>
      <c r="D431" s="66" t="s">
        <v>1204</v>
      </c>
      <c r="E431" s="66" t="s">
        <v>1256</v>
      </c>
      <c r="F431" s="66" t="s">
        <v>1618</v>
      </c>
      <c r="G431" s="60" t="s">
        <v>7</v>
      </c>
      <c r="H431" s="61">
        <v>0.56388888888888888</v>
      </c>
      <c r="I431" s="61">
        <v>0.56388888888888888</v>
      </c>
      <c r="J431" s="62"/>
      <c r="K431" s="63" t="s">
        <v>1723</v>
      </c>
      <c r="L431" s="64" t="s">
        <v>1204</v>
      </c>
      <c r="M431" s="64" t="s">
        <v>1256</v>
      </c>
    </row>
    <row r="432" spans="1:13" s="65" customFormat="1" ht="12" customHeight="1" x14ac:dyDescent="0.2">
      <c r="A432" s="78">
        <v>231742</v>
      </c>
      <c r="B432" s="69" t="s">
        <v>485</v>
      </c>
      <c r="C432" s="60" t="s">
        <v>1196</v>
      </c>
      <c r="D432" s="66" t="s">
        <v>1203</v>
      </c>
      <c r="E432" s="66" t="s">
        <v>1467</v>
      </c>
      <c r="F432" s="66" t="s">
        <v>1648</v>
      </c>
      <c r="G432" s="60" t="s">
        <v>7</v>
      </c>
      <c r="H432" s="61">
        <v>16.093055555555555</v>
      </c>
      <c r="I432" s="61">
        <v>16.093055555555555</v>
      </c>
      <c r="J432" s="62"/>
      <c r="K432" s="63" t="s">
        <v>1718</v>
      </c>
      <c r="L432" s="64" t="s">
        <v>1203</v>
      </c>
      <c r="M432" s="64" t="s">
        <v>1467</v>
      </c>
    </row>
    <row r="433" spans="1:13" s="65" customFormat="1" ht="12" customHeight="1" x14ac:dyDescent="0.2">
      <c r="A433" s="78">
        <v>231747</v>
      </c>
      <c r="B433" s="69" t="s">
        <v>486</v>
      </c>
      <c r="C433" s="60" t="s">
        <v>1196</v>
      </c>
      <c r="D433" s="66" t="s">
        <v>1202</v>
      </c>
      <c r="E433" s="66" t="s">
        <v>1422</v>
      </c>
      <c r="F433" s="66" t="s">
        <v>1684</v>
      </c>
      <c r="G433" s="60" t="s">
        <v>8</v>
      </c>
      <c r="H433" s="61">
        <v>0.96736111111111101</v>
      </c>
      <c r="I433" s="61"/>
      <c r="J433" s="62">
        <v>0.96736111111111101</v>
      </c>
      <c r="K433" s="63" t="s">
        <v>1718</v>
      </c>
      <c r="L433" s="64" t="s">
        <v>1202</v>
      </c>
      <c r="M433" s="64" t="s">
        <v>1422</v>
      </c>
    </row>
    <row r="434" spans="1:13" s="65" customFormat="1" ht="12" customHeight="1" x14ac:dyDescent="0.2">
      <c r="A434" s="78">
        <v>231761</v>
      </c>
      <c r="B434" s="69" t="s">
        <v>487</v>
      </c>
      <c r="C434" s="60" t="s">
        <v>1196</v>
      </c>
      <c r="D434" s="66" t="s">
        <v>1203</v>
      </c>
      <c r="E434" s="66" t="s">
        <v>1467</v>
      </c>
      <c r="F434" s="66" t="s">
        <v>1648</v>
      </c>
      <c r="G434" s="60" t="s">
        <v>7</v>
      </c>
      <c r="H434" s="61">
        <v>1.8069444444444445</v>
      </c>
      <c r="I434" s="61">
        <v>1.8069444444444445</v>
      </c>
      <c r="J434" s="62"/>
      <c r="K434" s="63" t="s">
        <v>1718</v>
      </c>
      <c r="L434" s="64" t="s">
        <v>1203</v>
      </c>
      <c r="M434" s="64" t="s">
        <v>1467</v>
      </c>
    </row>
    <row r="435" spans="1:13" s="65" customFormat="1" ht="12" customHeight="1" x14ac:dyDescent="0.2">
      <c r="A435" s="78">
        <v>231764</v>
      </c>
      <c r="B435" s="69" t="s">
        <v>488</v>
      </c>
      <c r="C435" s="60" t="s">
        <v>1196</v>
      </c>
      <c r="D435" s="66" t="s">
        <v>1199</v>
      </c>
      <c r="E435" s="66" t="s">
        <v>1243</v>
      </c>
      <c r="F435" s="66" t="s">
        <v>1610</v>
      </c>
      <c r="G435" s="60" t="s">
        <v>7</v>
      </c>
      <c r="H435" s="61">
        <v>0.10833333333333334</v>
      </c>
      <c r="I435" s="61">
        <v>0.10833333333333334</v>
      </c>
      <c r="J435" s="62"/>
      <c r="K435" s="63" t="s">
        <v>1722</v>
      </c>
      <c r="L435" s="64" t="s">
        <v>1199</v>
      </c>
      <c r="M435" s="64" t="s">
        <v>1243</v>
      </c>
    </row>
    <row r="436" spans="1:13" s="65" customFormat="1" ht="12" customHeight="1" x14ac:dyDescent="0.2">
      <c r="A436" s="78">
        <v>231776</v>
      </c>
      <c r="B436" s="69" t="s">
        <v>489</v>
      </c>
      <c r="C436" s="60" t="s">
        <v>1196</v>
      </c>
      <c r="D436" s="66" t="s">
        <v>1204</v>
      </c>
      <c r="E436" s="66" t="s">
        <v>1459</v>
      </c>
      <c r="F436" s="66" t="s">
        <v>1604</v>
      </c>
      <c r="G436" s="60" t="s">
        <v>8</v>
      </c>
      <c r="H436" s="61">
        <v>1.175</v>
      </c>
      <c r="I436" s="61"/>
      <c r="J436" s="62">
        <v>1.175</v>
      </c>
      <c r="K436" s="63" t="s">
        <v>1718</v>
      </c>
      <c r="L436" s="64" t="s">
        <v>1204</v>
      </c>
      <c r="M436" s="64" t="s">
        <v>1459</v>
      </c>
    </row>
    <row r="437" spans="1:13" s="65" customFormat="1" ht="12" customHeight="1" x14ac:dyDescent="0.2">
      <c r="A437" s="78">
        <v>231797</v>
      </c>
      <c r="B437" s="69" t="s">
        <v>490</v>
      </c>
      <c r="C437" s="60" t="s">
        <v>1196</v>
      </c>
      <c r="D437" s="66" t="s">
        <v>1205</v>
      </c>
      <c r="E437" s="66" t="s">
        <v>1468</v>
      </c>
      <c r="F437" s="66" t="s">
        <v>1689</v>
      </c>
      <c r="G437" s="60" t="s">
        <v>8</v>
      </c>
      <c r="H437" s="61">
        <v>0.27708333333333335</v>
      </c>
      <c r="I437" s="61"/>
      <c r="J437" s="62">
        <v>0.27708333333333335</v>
      </c>
      <c r="K437" s="63" t="s">
        <v>1718</v>
      </c>
      <c r="L437" s="64" t="s">
        <v>1205</v>
      </c>
      <c r="M437" s="64" t="s">
        <v>1468</v>
      </c>
    </row>
    <row r="438" spans="1:13" s="65" customFormat="1" ht="12" customHeight="1" x14ac:dyDescent="0.2">
      <c r="A438" s="78">
        <v>231800</v>
      </c>
      <c r="B438" s="69" t="s">
        <v>491</v>
      </c>
      <c r="C438" s="60" t="s">
        <v>1196</v>
      </c>
      <c r="D438" s="66" t="s">
        <v>1197</v>
      </c>
      <c r="E438" s="66" t="s">
        <v>1332</v>
      </c>
      <c r="F438" s="66" t="s">
        <v>1623</v>
      </c>
      <c r="G438" s="60" t="s">
        <v>8</v>
      </c>
      <c r="H438" s="61">
        <v>1.4916666666666665</v>
      </c>
      <c r="I438" s="61"/>
      <c r="J438" s="62">
        <v>1.4916666666666665</v>
      </c>
      <c r="K438" s="63" t="s">
        <v>1718</v>
      </c>
      <c r="L438" s="64" t="s">
        <v>1197</v>
      </c>
      <c r="M438" s="64" t="s">
        <v>1332</v>
      </c>
    </row>
    <row r="439" spans="1:13" s="65" customFormat="1" ht="12" customHeight="1" x14ac:dyDescent="0.2">
      <c r="A439" s="78">
        <v>231811</v>
      </c>
      <c r="B439" s="69" t="s">
        <v>492</v>
      </c>
      <c r="C439" s="60" t="s">
        <v>1196</v>
      </c>
      <c r="D439" s="66" t="s">
        <v>1197</v>
      </c>
      <c r="E439" s="66" t="s">
        <v>1224</v>
      </c>
      <c r="F439" s="66" t="s">
        <v>1595</v>
      </c>
      <c r="G439" s="60" t="s">
        <v>7</v>
      </c>
      <c r="H439" s="61">
        <v>10.877777777777778</v>
      </c>
      <c r="I439" s="61">
        <v>10.877777777777778</v>
      </c>
      <c r="J439" s="62"/>
      <c r="K439" s="63" t="s">
        <v>1719</v>
      </c>
      <c r="L439" s="64" t="s">
        <v>1197</v>
      </c>
      <c r="M439" s="64" t="s">
        <v>1224</v>
      </c>
    </row>
    <row r="440" spans="1:13" s="65" customFormat="1" ht="12" customHeight="1" x14ac:dyDescent="0.2">
      <c r="A440" s="78">
        <v>231877</v>
      </c>
      <c r="B440" s="69" t="s">
        <v>493</v>
      </c>
      <c r="C440" s="60" t="s">
        <v>1196</v>
      </c>
      <c r="D440" s="66" t="s">
        <v>1205</v>
      </c>
      <c r="E440" s="66" t="s">
        <v>1469</v>
      </c>
      <c r="F440" s="66" t="s">
        <v>1594</v>
      </c>
      <c r="G440" s="60" t="s">
        <v>8</v>
      </c>
      <c r="H440" s="61">
        <v>1.5277777777777777E-2</v>
      </c>
      <c r="I440" s="61"/>
      <c r="J440" s="62">
        <v>1.5277777777777777E-2</v>
      </c>
      <c r="K440" s="63" t="s">
        <v>1720</v>
      </c>
      <c r="L440" s="64" t="s">
        <v>1205</v>
      </c>
      <c r="M440" s="64" t="s">
        <v>1469</v>
      </c>
    </row>
    <row r="441" spans="1:13" s="65" customFormat="1" ht="12" customHeight="1" x14ac:dyDescent="0.2">
      <c r="A441" s="78">
        <v>231888</v>
      </c>
      <c r="B441" s="69" t="s">
        <v>494</v>
      </c>
      <c r="C441" s="60" t="s">
        <v>1196</v>
      </c>
      <c r="D441" s="66" t="s">
        <v>1205</v>
      </c>
      <c r="E441" s="66" t="s">
        <v>1470</v>
      </c>
      <c r="F441" s="66" t="s">
        <v>1668</v>
      </c>
      <c r="G441" s="60" t="s">
        <v>8</v>
      </c>
      <c r="H441" s="61">
        <v>0.28402777777777777</v>
      </c>
      <c r="I441" s="61"/>
      <c r="J441" s="62">
        <v>0.28402777777777777</v>
      </c>
      <c r="K441" s="63" t="s">
        <v>1718</v>
      </c>
      <c r="L441" s="64" t="s">
        <v>1205</v>
      </c>
      <c r="M441" s="64" t="s">
        <v>1470</v>
      </c>
    </row>
    <row r="442" spans="1:13" s="65" customFormat="1" ht="12" customHeight="1" x14ac:dyDescent="0.2">
      <c r="A442" s="78">
        <v>231899</v>
      </c>
      <c r="B442" s="69" t="s">
        <v>495</v>
      </c>
      <c r="C442" s="60" t="s">
        <v>1196</v>
      </c>
      <c r="D442" s="66" t="s">
        <v>1203</v>
      </c>
      <c r="E442" s="66" t="s">
        <v>1427</v>
      </c>
      <c r="F442" s="66" t="s">
        <v>1643</v>
      </c>
      <c r="G442" s="60" t="s">
        <v>8</v>
      </c>
      <c r="H442" s="61">
        <v>1.8354166666666665</v>
      </c>
      <c r="I442" s="61"/>
      <c r="J442" s="62">
        <v>1.8354166666666665</v>
      </c>
      <c r="K442" s="63" t="s">
        <v>1718</v>
      </c>
      <c r="L442" s="64" t="s">
        <v>1203</v>
      </c>
      <c r="M442" s="64" t="s">
        <v>1427</v>
      </c>
    </row>
    <row r="443" spans="1:13" s="65" customFormat="1" ht="12" customHeight="1" x14ac:dyDescent="0.2">
      <c r="A443" s="78">
        <v>231905</v>
      </c>
      <c r="B443" s="69" t="s">
        <v>496</v>
      </c>
      <c r="C443" s="60" t="s">
        <v>1196</v>
      </c>
      <c r="D443" s="66" t="s">
        <v>1203</v>
      </c>
      <c r="E443" s="66" t="s">
        <v>1356</v>
      </c>
      <c r="F443" s="66" t="s">
        <v>1638</v>
      </c>
      <c r="G443" s="60" t="s">
        <v>7</v>
      </c>
      <c r="H443" s="61">
        <v>0.12638888888888888</v>
      </c>
      <c r="I443" s="61">
        <v>0.12638888888888888</v>
      </c>
      <c r="J443" s="62"/>
      <c r="K443" s="63" t="s">
        <v>1718</v>
      </c>
      <c r="L443" s="64" t="s">
        <v>1203</v>
      </c>
      <c r="M443" s="64" t="s">
        <v>1356</v>
      </c>
    </row>
    <row r="444" spans="1:13" s="65" customFormat="1" ht="12" customHeight="1" x14ac:dyDescent="0.2">
      <c r="A444" s="78">
        <v>231924</v>
      </c>
      <c r="B444" s="69" t="s">
        <v>497</v>
      </c>
      <c r="C444" s="60" t="s">
        <v>1196</v>
      </c>
      <c r="D444" s="66" t="s">
        <v>1197</v>
      </c>
      <c r="E444" s="66" t="s">
        <v>1471</v>
      </c>
      <c r="F444" s="66" t="s">
        <v>1636</v>
      </c>
      <c r="G444" s="60" t="s">
        <v>8</v>
      </c>
      <c r="H444" s="61">
        <v>0.16597222222222222</v>
      </c>
      <c r="I444" s="61"/>
      <c r="J444" s="62">
        <v>0.16597222222222222</v>
      </c>
      <c r="K444" s="63" t="s">
        <v>1718</v>
      </c>
      <c r="L444" s="64" t="s">
        <v>1197</v>
      </c>
      <c r="M444" s="64" t="s">
        <v>1471</v>
      </c>
    </row>
    <row r="445" spans="1:13" s="65" customFormat="1" ht="12" customHeight="1" x14ac:dyDescent="0.2">
      <c r="A445" s="78">
        <v>231981</v>
      </c>
      <c r="B445" s="69" t="s">
        <v>498</v>
      </c>
      <c r="C445" s="60" t="s">
        <v>1196</v>
      </c>
      <c r="D445" s="66" t="s">
        <v>1200</v>
      </c>
      <c r="E445" s="66" t="s">
        <v>1449</v>
      </c>
      <c r="F445" s="66" t="s">
        <v>1699</v>
      </c>
      <c r="G445" s="60" t="s">
        <v>7</v>
      </c>
      <c r="H445" s="61">
        <v>0.9</v>
      </c>
      <c r="I445" s="61">
        <v>0.9</v>
      </c>
      <c r="J445" s="62"/>
      <c r="K445" s="63" t="s">
        <v>1718</v>
      </c>
      <c r="L445" s="64" t="s">
        <v>1200</v>
      </c>
      <c r="M445" s="64" t="s">
        <v>1449</v>
      </c>
    </row>
    <row r="446" spans="1:13" s="65" customFormat="1" ht="12" customHeight="1" x14ac:dyDescent="0.2">
      <c r="A446" s="78">
        <v>231982</v>
      </c>
      <c r="B446" s="69" t="s">
        <v>499</v>
      </c>
      <c r="C446" s="60" t="s">
        <v>1196</v>
      </c>
      <c r="D446" s="66" t="s">
        <v>1199</v>
      </c>
      <c r="E446" s="66" t="s">
        <v>1401</v>
      </c>
      <c r="F446" s="66" t="s">
        <v>1645</v>
      </c>
      <c r="G446" s="60" t="s">
        <v>8</v>
      </c>
      <c r="H446" s="61">
        <v>0.8847222222222223</v>
      </c>
      <c r="I446" s="61"/>
      <c r="J446" s="62">
        <v>0.8847222222222223</v>
      </c>
      <c r="K446" s="63" t="s">
        <v>1718</v>
      </c>
      <c r="L446" s="64" t="s">
        <v>1199</v>
      </c>
      <c r="M446" s="64" t="s">
        <v>1401</v>
      </c>
    </row>
    <row r="447" spans="1:13" s="65" customFormat="1" ht="12" customHeight="1" x14ac:dyDescent="0.2">
      <c r="A447" s="78">
        <v>231994</v>
      </c>
      <c r="B447" s="69" t="s">
        <v>500</v>
      </c>
      <c r="C447" s="60" t="s">
        <v>1196</v>
      </c>
      <c r="D447" s="66" t="s">
        <v>1200</v>
      </c>
      <c r="E447" s="66" t="s">
        <v>1472</v>
      </c>
      <c r="F447" s="66" t="s">
        <v>1622</v>
      </c>
      <c r="G447" s="60" t="s">
        <v>8</v>
      </c>
      <c r="H447" s="61">
        <v>7.6388888888888895E-2</v>
      </c>
      <c r="I447" s="61"/>
      <c r="J447" s="62">
        <v>7.6388888888888895E-2</v>
      </c>
      <c r="K447" s="63" t="s">
        <v>1718</v>
      </c>
      <c r="L447" s="64" t="s">
        <v>1200</v>
      </c>
      <c r="M447" s="64" t="s">
        <v>1472</v>
      </c>
    </row>
    <row r="448" spans="1:13" s="65" customFormat="1" ht="12" customHeight="1" x14ac:dyDescent="0.2">
      <c r="A448" s="78">
        <v>232004</v>
      </c>
      <c r="B448" s="69" t="s">
        <v>501</v>
      </c>
      <c r="C448" s="60" t="s">
        <v>1196</v>
      </c>
      <c r="D448" s="66" t="s">
        <v>1204</v>
      </c>
      <c r="E448" s="66" t="s">
        <v>1403</v>
      </c>
      <c r="F448" s="66" t="s">
        <v>1602</v>
      </c>
      <c r="G448" s="60" t="s">
        <v>8</v>
      </c>
      <c r="H448" s="61">
        <v>0.77222222222222225</v>
      </c>
      <c r="I448" s="61"/>
      <c r="J448" s="62">
        <v>0.77222222222222225</v>
      </c>
      <c r="K448" s="63" t="s">
        <v>1718</v>
      </c>
      <c r="L448" s="64" t="s">
        <v>1204</v>
      </c>
      <c r="M448" s="64" t="s">
        <v>1403</v>
      </c>
    </row>
    <row r="449" spans="1:13" s="65" customFormat="1" ht="12" customHeight="1" x14ac:dyDescent="0.2">
      <c r="A449" s="78">
        <v>232005</v>
      </c>
      <c r="B449" s="69" t="s">
        <v>502</v>
      </c>
      <c r="C449" s="60" t="s">
        <v>1196</v>
      </c>
      <c r="D449" s="66" t="s">
        <v>1203</v>
      </c>
      <c r="E449" s="66" t="s">
        <v>1334</v>
      </c>
      <c r="F449" s="66" t="s">
        <v>1639</v>
      </c>
      <c r="G449" s="60" t="s">
        <v>8</v>
      </c>
      <c r="H449" s="61">
        <v>0.74236111111111114</v>
      </c>
      <c r="I449" s="61"/>
      <c r="J449" s="62">
        <v>0.74236111111111114</v>
      </c>
      <c r="K449" s="63" t="s">
        <v>1718</v>
      </c>
      <c r="L449" s="64" t="s">
        <v>1203</v>
      </c>
      <c r="M449" s="64" t="s">
        <v>1334</v>
      </c>
    </row>
    <row r="450" spans="1:13" s="65" customFormat="1" ht="12" customHeight="1" x14ac:dyDescent="0.2">
      <c r="A450" s="78">
        <v>232007</v>
      </c>
      <c r="B450" s="69" t="s">
        <v>503</v>
      </c>
      <c r="C450" s="60" t="s">
        <v>1196</v>
      </c>
      <c r="D450" s="66" t="s">
        <v>1202</v>
      </c>
      <c r="E450" s="66" t="s">
        <v>1422</v>
      </c>
      <c r="F450" s="66" t="s">
        <v>1684</v>
      </c>
      <c r="G450" s="60" t="s">
        <v>8</v>
      </c>
      <c r="H450" s="61">
        <v>0.58472222222222225</v>
      </c>
      <c r="I450" s="61"/>
      <c r="J450" s="62">
        <v>0.58472222222222225</v>
      </c>
      <c r="K450" s="63" t="s">
        <v>1718</v>
      </c>
      <c r="L450" s="64" t="s">
        <v>1202</v>
      </c>
      <c r="M450" s="64" t="s">
        <v>1422</v>
      </c>
    </row>
    <row r="451" spans="1:13" s="65" customFormat="1" ht="12" customHeight="1" x14ac:dyDescent="0.2">
      <c r="A451" s="78">
        <v>232012</v>
      </c>
      <c r="B451" s="69" t="s">
        <v>504</v>
      </c>
      <c r="C451" s="60" t="s">
        <v>1196</v>
      </c>
      <c r="D451" s="66" t="s">
        <v>1200</v>
      </c>
      <c r="E451" s="66" t="s">
        <v>1448</v>
      </c>
      <c r="F451" s="66" t="s">
        <v>1699</v>
      </c>
      <c r="G451" s="60" t="s">
        <v>7</v>
      </c>
      <c r="H451" s="61">
        <v>3.9</v>
      </c>
      <c r="I451" s="61">
        <v>3.9</v>
      </c>
      <c r="J451" s="62"/>
      <c r="K451" s="63" t="s">
        <v>1723</v>
      </c>
      <c r="L451" s="64" t="s">
        <v>1200</v>
      </c>
      <c r="M451" s="64" t="s">
        <v>1448</v>
      </c>
    </row>
    <row r="452" spans="1:13" s="65" customFormat="1" ht="12" customHeight="1" x14ac:dyDescent="0.2">
      <c r="A452" s="78">
        <v>232027</v>
      </c>
      <c r="B452" s="69" t="s">
        <v>505</v>
      </c>
      <c r="C452" s="60" t="s">
        <v>1196</v>
      </c>
      <c r="D452" s="66" t="s">
        <v>1198</v>
      </c>
      <c r="E452" s="66" t="s">
        <v>1363</v>
      </c>
      <c r="F452" s="66" t="s">
        <v>1664</v>
      </c>
      <c r="G452" s="60" t="s">
        <v>8</v>
      </c>
      <c r="H452" s="61">
        <v>3.4979166666666668</v>
      </c>
      <c r="I452" s="61"/>
      <c r="J452" s="62">
        <v>3.4979166666666668</v>
      </c>
      <c r="K452" s="63" t="s">
        <v>1718</v>
      </c>
      <c r="L452" s="64" t="s">
        <v>1198</v>
      </c>
      <c r="M452" s="64" t="s">
        <v>1363</v>
      </c>
    </row>
    <row r="453" spans="1:13" s="65" customFormat="1" ht="12" customHeight="1" x14ac:dyDescent="0.2">
      <c r="A453" s="78">
        <v>232028</v>
      </c>
      <c r="B453" s="69" t="s">
        <v>506</v>
      </c>
      <c r="C453" s="60" t="s">
        <v>1196</v>
      </c>
      <c r="D453" s="66" t="s">
        <v>1205</v>
      </c>
      <c r="E453" s="66" t="s">
        <v>1277</v>
      </c>
      <c r="F453" s="66" t="s">
        <v>1631</v>
      </c>
      <c r="G453" s="60" t="s">
        <v>7</v>
      </c>
      <c r="H453" s="61">
        <v>1.4270833333333333</v>
      </c>
      <c r="I453" s="61">
        <v>1.4270833333333333</v>
      </c>
      <c r="J453" s="62"/>
      <c r="K453" s="63" t="s">
        <v>1723</v>
      </c>
      <c r="L453" s="64" t="s">
        <v>1205</v>
      </c>
      <c r="M453" s="64" t="s">
        <v>1277</v>
      </c>
    </row>
    <row r="454" spans="1:13" s="65" customFormat="1" ht="12" customHeight="1" x14ac:dyDescent="0.2">
      <c r="A454" s="78">
        <v>232034</v>
      </c>
      <c r="B454" s="69" t="s">
        <v>507</v>
      </c>
      <c r="C454" s="60" t="s">
        <v>1196</v>
      </c>
      <c r="D454" s="66" t="s">
        <v>1203</v>
      </c>
      <c r="E454" s="66" t="s">
        <v>1278</v>
      </c>
      <c r="F454" s="66" t="s">
        <v>1632</v>
      </c>
      <c r="G454" s="60" t="s">
        <v>7</v>
      </c>
      <c r="H454" s="61">
        <v>0.88194444444444453</v>
      </c>
      <c r="I454" s="61">
        <v>0.88194444444444453</v>
      </c>
      <c r="J454" s="62"/>
      <c r="K454" s="63" t="s">
        <v>1718</v>
      </c>
      <c r="L454" s="64" t="s">
        <v>1203</v>
      </c>
      <c r="M454" s="64" t="s">
        <v>1278</v>
      </c>
    </row>
    <row r="455" spans="1:13" s="65" customFormat="1" ht="12" customHeight="1" x14ac:dyDescent="0.2">
      <c r="A455" s="78">
        <v>232036</v>
      </c>
      <c r="B455" s="69" t="s">
        <v>508</v>
      </c>
      <c r="C455" s="60" t="s">
        <v>1196</v>
      </c>
      <c r="D455" s="66" t="s">
        <v>1205</v>
      </c>
      <c r="E455" s="66" t="s">
        <v>1473</v>
      </c>
      <c r="F455" s="66" t="s">
        <v>1682</v>
      </c>
      <c r="G455" s="60" t="s">
        <v>8</v>
      </c>
      <c r="H455" s="61">
        <v>1.7361111111111112E-2</v>
      </c>
      <c r="I455" s="61"/>
      <c r="J455" s="62">
        <v>1.7361111111111112E-2</v>
      </c>
      <c r="K455" s="63" t="s">
        <v>1722</v>
      </c>
      <c r="L455" s="64" t="s">
        <v>1205</v>
      </c>
      <c r="M455" s="64" t="s">
        <v>1473</v>
      </c>
    </row>
    <row r="456" spans="1:13" s="65" customFormat="1" ht="12" customHeight="1" x14ac:dyDescent="0.2">
      <c r="A456" s="78">
        <v>232039</v>
      </c>
      <c r="B456" s="69" t="s">
        <v>509</v>
      </c>
      <c r="C456" s="60" t="s">
        <v>1196</v>
      </c>
      <c r="D456" s="66" t="s">
        <v>1197</v>
      </c>
      <c r="E456" s="66" t="s">
        <v>1310</v>
      </c>
      <c r="F456" s="66" t="s">
        <v>1652</v>
      </c>
      <c r="G456" s="60" t="s">
        <v>7</v>
      </c>
      <c r="H456" s="61">
        <v>0.29097222222222224</v>
      </c>
      <c r="I456" s="61">
        <v>0.29097222222222224</v>
      </c>
      <c r="J456" s="62"/>
      <c r="K456" s="63" t="s">
        <v>1723</v>
      </c>
      <c r="L456" s="64" t="s">
        <v>1197</v>
      </c>
      <c r="M456" s="64" t="s">
        <v>1310</v>
      </c>
    </row>
    <row r="457" spans="1:13" s="65" customFormat="1" ht="12" customHeight="1" x14ac:dyDescent="0.2">
      <c r="A457" s="78">
        <v>232043</v>
      </c>
      <c r="B457" s="69" t="s">
        <v>510</v>
      </c>
      <c r="C457" s="60" t="s">
        <v>1196</v>
      </c>
      <c r="D457" s="66" t="s">
        <v>1197</v>
      </c>
      <c r="E457" s="66" t="s">
        <v>1357</v>
      </c>
      <c r="F457" s="66" t="s">
        <v>1652</v>
      </c>
      <c r="G457" s="60" t="s">
        <v>8</v>
      </c>
      <c r="H457" s="61">
        <v>0.34513888888888888</v>
      </c>
      <c r="I457" s="61"/>
      <c r="J457" s="62">
        <v>0.34513888888888888</v>
      </c>
      <c r="K457" s="63" t="s">
        <v>1718</v>
      </c>
      <c r="L457" s="64" t="s">
        <v>1197</v>
      </c>
      <c r="M457" s="64" t="s">
        <v>1357</v>
      </c>
    </row>
    <row r="458" spans="1:13" s="65" customFormat="1" ht="12" customHeight="1" x14ac:dyDescent="0.2">
      <c r="A458" s="78">
        <v>232059</v>
      </c>
      <c r="B458" s="69" t="s">
        <v>511</v>
      </c>
      <c r="C458" s="60" t="s">
        <v>1196</v>
      </c>
      <c r="D458" s="66" t="s">
        <v>1204</v>
      </c>
      <c r="E458" s="66" t="s">
        <v>1447</v>
      </c>
      <c r="F458" s="66" t="s">
        <v>1690</v>
      </c>
      <c r="G458" s="60" t="s">
        <v>7</v>
      </c>
      <c r="H458" s="61">
        <v>2.0979166666666669</v>
      </c>
      <c r="I458" s="61">
        <v>2.0979166666666669</v>
      </c>
      <c r="J458" s="62"/>
      <c r="K458" s="63" t="s">
        <v>1723</v>
      </c>
      <c r="L458" s="64" t="s">
        <v>1204</v>
      </c>
      <c r="M458" s="64" t="s">
        <v>1447</v>
      </c>
    </row>
    <row r="459" spans="1:13" s="65" customFormat="1" ht="12" customHeight="1" x14ac:dyDescent="0.2">
      <c r="A459" s="78">
        <v>232065</v>
      </c>
      <c r="B459" s="69" t="s">
        <v>512</v>
      </c>
      <c r="C459" s="60" t="s">
        <v>1196</v>
      </c>
      <c r="D459" s="66" t="s">
        <v>1197</v>
      </c>
      <c r="E459" s="66" t="s">
        <v>1283</v>
      </c>
      <c r="F459" s="66" t="s">
        <v>1636</v>
      </c>
      <c r="G459" s="60" t="s">
        <v>7</v>
      </c>
      <c r="H459" s="61">
        <v>3.3333333333333333E-2</v>
      </c>
      <c r="I459" s="61">
        <v>3.3333333333333333E-2</v>
      </c>
      <c r="J459" s="62"/>
      <c r="K459" s="63" t="s">
        <v>1722</v>
      </c>
      <c r="L459" s="64" t="s">
        <v>1197</v>
      </c>
      <c r="M459" s="64" t="s">
        <v>1283</v>
      </c>
    </row>
    <row r="460" spans="1:13" s="65" customFormat="1" ht="12" customHeight="1" x14ac:dyDescent="0.2">
      <c r="A460" s="78">
        <v>232098</v>
      </c>
      <c r="B460" s="69" t="s">
        <v>513</v>
      </c>
      <c r="C460" s="60" t="s">
        <v>1196</v>
      </c>
      <c r="D460" s="66" t="s">
        <v>1198</v>
      </c>
      <c r="E460" s="66" t="s">
        <v>1428</v>
      </c>
      <c r="F460" s="66" t="s">
        <v>1691</v>
      </c>
      <c r="G460" s="60" t="s">
        <v>7</v>
      </c>
      <c r="H460" s="61">
        <v>1.0965277777777778</v>
      </c>
      <c r="I460" s="61">
        <v>1.0965277777777778</v>
      </c>
      <c r="J460" s="62"/>
      <c r="K460" s="63" t="s">
        <v>1718</v>
      </c>
      <c r="L460" s="64" t="s">
        <v>1198</v>
      </c>
      <c r="M460" s="64" t="s">
        <v>1428</v>
      </c>
    </row>
    <row r="461" spans="1:13" s="65" customFormat="1" ht="12" customHeight="1" x14ac:dyDescent="0.2">
      <c r="A461" s="78">
        <v>232151</v>
      </c>
      <c r="B461" s="69" t="s">
        <v>514</v>
      </c>
      <c r="C461" s="60" t="s">
        <v>1196</v>
      </c>
      <c r="D461" s="66" t="s">
        <v>1200</v>
      </c>
      <c r="E461" s="66" t="s">
        <v>1350</v>
      </c>
      <c r="F461" s="66" t="s">
        <v>1613</v>
      </c>
      <c r="G461" s="60" t="s">
        <v>7</v>
      </c>
      <c r="H461" s="61">
        <v>0.99236111111111114</v>
      </c>
      <c r="I461" s="61">
        <v>0.99236111111111114</v>
      </c>
      <c r="J461" s="62"/>
      <c r="K461" s="63" t="s">
        <v>1718</v>
      </c>
      <c r="L461" s="64" t="s">
        <v>1200</v>
      </c>
      <c r="M461" s="64" t="s">
        <v>1350</v>
      </c>
    </row>
    <row r="462" spans="1:13" s="65" customFormat="1" ht="12" customHeight="1" x14ac:dyDescent="0.2">
      <c r="A462" s="78">
        <v>232152</v>
      </c>
      <c r="B462" s="69" t="s">
        <v>515</v>
      </c>
      <c r="C462" s="60" t="s">
        <v>1196</v>
      </c>
      <c r="D462" s="66" t="s">
        <v>1201</v>
      </c>
      <c r="E462" s="66" t="s">
        <v>1252</v>
      </c>
      <c r="F462" s="66" t="s">
        <v>1616</v>
      </c>
      <c r="G462" s="60" t="s">
        <v>7</v>
      </c>
      <c r="H462" s="61">
        <v>7.9798611111111111</v>
      </c>
      <c r="I462" s="61">
        <v>7.9798611111111111</v>
      </c>
      <c r="J462" s="62"/>
      <c r="K462" s="63" t="s">
        <v>1724</v>
      </c>
      <c r="L462" s="64" t="s">
        <v>1201</v>
      </c>
      <c r="M462" s="64" t="s">
        <v>1252</v>
      </c>
    </row>
    <row r="463" spans="1:13" s="65" customFormat="1" ht="12" customHeight="1" x14ac:dyDescent="0.2">
      <c r="A463" s="78">
        <v>232179</v>
      </c>
      <c r="B463" s="69" t="s">
        <v>516</v>
      </c>
      <c r="C463" s="60" t="s">
        <v>1196</v>
      </c>
      <c r="D463" s="66" t="s">
        <v>1199</v>
      </c>
      <c r="E463" s="66" t="s">
        <v>1354</v>
      </c>
      <c r="F463" s="66" t="s">
        <v>1669</v>
      </c>
      <c r="G463" s="60" t="s">
        <v>8</v>
      </c>
      <c r="H463" s="61">
        <v>0.32291666666666669</v>
      </c>
      <c r="I463" s="61"/>
      <c r="J463" s="62">
        <v>0.32291666666666669</v>
      </c>
      <c r="K463" s="63" t="s">
        <v>1718</v>
      </c>
      <c r="L463" s="64" t="s">
        <v>1199</v>
      </c>
      <c r="M463" s="64" t="s">
        <v>1354</v>
      </c>
    </row>
    <row r="464" spans="1:13" s="65" customFormat="1" ht="12" customHeight="1" x14ac:dyDescent="0.2">
      <c r="A464" s="78">
        <v>232184</v>
      </c>
      <c r="B464" s="69" t="s">
        <v>517</v>
      </c>
      <c r="C464" s="60" t="s">
        <v>1196</v>
      </c>
      <c r="D464" s="66" t="s">
        <v>1205</v>
      </c>
      <c r="E464" s="66" t="s">
        <v>1474</v>
      </c>
      <c r="F464" s="66" t="s">
        <v>1674</v>
      </c>
      <c r="G464" s="60" t="s">
        <v>8</v>
      </c>
      <c r="H464" s="61">
        <v>0.81736111111111109</v>
      </c>
      <c r="I464" s="61"/>
      <c r="J464" s="62">
        <v>0.81736111111111109</v>
      </c>
      <c r="K464" s="63" t="s">
        <v>1718</v>
      </c>
      <c r="L464" s="64" t="s">
        <v>1205</v>
      </c>
      <c r="M464" s="64" t="s">
        <v>1474</v>
      </c>
    </row>
    <row r="465" spans="1:13" s="65" customFormat="1" ht="12" customHeight="1" x14ac:dyDescent="0.2">
      <c r="A465" s="78">
        <v>232238</v>
      </c>
      <c r="B465" s="69" t="s">
        <v>518</v>
      </c>
      <c r="C465" s="60" t="s">
        <v>1196</v>
      </c>
      <c r="D465" s="66" t="s">
        <v>1200</v>
      </c>
      <c r="E465" s="66" t="s">
        <v>1335</v>
      </c>
      <c r="F465" s="66" t="s">
        <v>1662</v>
      </c>
      <c r="G465" s="60" t="s">
        <v>7</v>
      </c>
      <c r="H465" s="61">
        <v>8.2638888888888887E-2</v>
      </c>
      <c r="I465" s="61">
        <v>8.2638888888888887E-2</v>
      </c>
      <c r="J465" s="62"/>
      <c r="K465" s="63" t="s">
        <v>1718</v>
      </c>
      <c r="L465" s="64" t="s">
        <v>1200</v>
      </c>
      <c r="M465" s="64" t="s">
        <v>1335</v>
      </c>
    </row>
    <row r="466" spans="1:13" s="65" customFormat="1" ht="12" customHeight="1" x14ac:dyDescent="0.2">
      <c r="A466" s="78">
        <v>232249</v>
      </c>
      <c r="B466" s="69" t="s">
        <v>519</v>
      </c>
      <c r="C466" s="60" t="s">
        <v>1196</v>
      </c>
      <c r="D466" s="66" t="s">
        <v>1205</v>
      </c>
      <c r="E466" s="66" t="s">
        <v>1473</v>
      </c>
      <c r="F466" s="66" t="s">
        <v>1682</v>
      </c>
      <c r="G466" s="60" t="s">
        <v>8</v>
      </c>
      <c r="H466" s="61">
        <v>4.1666666666666666E-3</v>
      </c>
      <c r="I466" s="61"/>
      <c r="J466" s="62">
        <v>4.1666666666666666E-3</v>
      </c>
      <c r="K466" s="63" t="s">
        <v>1723</v>
      </c>
      <c r="L466" s="64" t="s">
        <v>1205</v>
      </c>
      <c r="M466" s="64" t="s">
        <v>1473</v>
      </c>
    </row>
    <row r="467" spans="1:13" s="65" customFormat="1" ht="12" customHeight="1" x14ac:dyDescent="0.2">
      <c r="A467" s="78">
        <v>232259</v>
      </c>
      <c r="B467" s="69" t="s">
        <v>520</v>
      </c>
      <c r="C467" s="60" t="s">
        <v>1196</v>
      </c>
      <c r="D467" s="66" t="s">
        <v>1201</v>
      </c>
      <c r="E467" s="66" t="s">
        <v>1475</v>
      </c>
      <c r="F467" s="66" t="s">
        <v>1589</v>
      </c>
      <c r="G467" s="60" t="s">
        <v>8</v>
      </c>
      <c r="H467" s="61">
        <v>1.41875</v>
      </c>
      <c r="I467" s="61"/>
      <c r="J467" s="62">
        <v>1.41875</v>
      </c>
      <c r="K467" s="63" t="s">
        <v>1718</v>
      </c>
      <c r="L467" s="64" t="s">
        <v>1201</v>
      </c>
      <c r="M467" s="64" t="s">
        <v>1475</v>
      </c>
    </row>
    <row r="468" spans="1:13" s="65" customFormat="1" ht="12" customHeight="1" x14ac:dyDescent="0.2">
      <c r="A468" s="78">
        <v>232266</v>
      </c>
      <c r="B468" s="69" t="s">
        <v>521</v>
      </c>
      <c r="C468" s="60" t="s">
        <v>1196</v>
      </c>
      <c r="D468" s="66" t="s">
        <v>1203</v>
      </c>
      <c r="E468" s="66" t="s">
        <v>1300</v>
      </c>
      <c r="F468" s="66" t="s">
        <v>1648</v>
      </c>
      <c r="G468" s="60" t="s">
        <v>8</v>
      </c>
      <c r="H468" s="61">
        <v>2.013888888888889E-2</v>
      </c>
      <c r="I468" s="61"/>
      <c r="J468" s="62">
        <v>2.013888888888889E-2</v>
      </c>
      <c r="K468" s="63" t="s">
        <v>1723</v>
      </c>
      <c r="L468" s="64" t="s">
        <v>1203</v>
      </c>
      <c r="M468" s="64" t="s">
        <v>1300</v>
      </c>
    </row>
    <row r="469" spans="1:13" s="65" customFormat="1" ht="12" customHeight="1" x14ac:dyDescent="0.2">
      <c r="A469" s="78">
        <v>232271</v>
      </c>
      <c r="B469" s="69" t="s">
        <v>522</v>
      </c>
      <c r="C469" s="60" t="s">
        <v>1196</v>
      </c>
      <c r="D469" s="66" t="s">
        <v>1202</v>
      </c>
      <c r="E469" s="66" t="s">
        <v>1413</v>
      </c>
      <c r="F469" s="66" t="s">
        <v>1641</v>
      </c>
      <c r="G469" s="60" t="s">
        <v>8</v>
      </c>
      <c r="H469" s="61">
        <v>0.72499999999999998</v>
      </c>
      <c r="I469" s="61"/>
      <c r="J469" s="62">
        <v>0.72499999999999998</v>
      </c>
      <c r="K469" s="63" t="s">
        <v>1718</v>
      </c>
      <c r="L469" s="64" t="s">
        <v>1202</v>
      </c>
      <c r="M469" s="64" t="s">
        <v>1413</v>
      </c>
    </row>
    <row r="470" spans="1:13" s="65" customFormat="1" ht="12" customHeight="1" x14ac:dyDescent="0.2">
      <c r="A470" s="78">
        <v>232272</v>
      </c>
      <c r="B470" s="69" t="s">
        <v>523</v>
      </c>
      <c r="C470" s="60" t="s">
        <v>1196</v>
      </c>
      <c r="D470" s="66" t="s">
        <v>1198</v>
      </c>
      <c r="E470" s="66" t="s">
        <v>1343</v>
      </c>
      <c r="F470" s="66" t="s">
        <v>1607</v>
      </c>
      <c r="G470" s="60" t="s">
        <v>7</v>
      </c>
      <c r="H470" s="61">
        <v>0.8027777777777777</v>
      </c>
      <c r="I470" s="61">
        <v>0.8027777777777777</v>
      </c>
      <c r="J470" s="62"/>
      <c r="K470" s="63" t="s">
        <v>1718</v>
      </c>
      <c r="L470" s="64" t="s">
        <v>1198</v>
      </c>
      <c r="M470" s="64" t="s">
        <v>1343</v>
      </c>
    </row>
    <row r="471" spans="1:13" s="65" customFormat="1" ht="12" customHeight="1" x14ac:dyDescent="0.2">
      <c r="A471" s="78">
        <v>232279</v>
      </c>
      <c r="B471" s="69" t="s">
        <v>524</v>
      </c>
      <c r="C471" s="60" t="s">
        <v>1196</v>
      </c>
      <c r="D471" s="66" t="s">
        <v>1205</v>
      </c>
      <c r="E471" s="66" t="s">
        <v>1476</v>
      </c>
      <c r="F471" s="66" t="s">
        <v>1594</v>
      </c>
      <c r="G471" s="60" t="s">
        <v>8</v>
      </c>
      <c r="H471" s="61">
        <v>0.18402777777777779</v>
      </c>
      <c r="I471" s="61"/>
      <c r="J471" s="62">
        <v>0.18402777777777779</v>
      </c>
      <c r="K471" s="63" t="s">
        <v>1720</v>
      </c>
      <c r="L471" s="64" t="s">
        <v>1205</v>
      </c>
      <c r="M471" s="64" t="s">
        <v>1476</v>
      </c>
    </row>
    <row r="472" spans="1:13" s="65" customFormat="1" ht="12" customHeight="1" x14ac:dyDescent="0.2">
      <c r="A472" s="78">
        <v>232287</v>
      </c>
      <c r="B472" s="69" t="s">
        <v>525</v>
      </c>
      <c r="C472" s="60" t="s">
        <v>1196</v>
      </c>
      <c r="D472" s="66" t="s">
        <v>1200</v>
      </c>
      <c r="E472" s="66" t="s">
        <v>1477</v>
      </c>
      <c r="F472" s="66" t="s">
        <v>1702</v>
      </c>
      <c r="G472" s="60" t="s">
        <v>7</v>
      </c>
      <c r="H472" s="61">
        <v>1.0409722222222222</v>
      </c>
      <c r="I472" s="61">
        <v>1.0409722222222222</v>
      </c>
      <c r="J472" s="62"/>
      <c r="K472" s="63" t="s">
        <v>1718</v>
      </c>
      <c r="L472" s="64" t="s">
        <v>1200</v>
      </c>
      <c r="M472" s="64" t="s">
        <v>1477</v>
      </c>
    </row>
    <row r="473" spans="1:13" s="65" customFormat="1" ht="12" customHeight="1" x14ac:dyDescent="0.2">
      <c r="A473" s="78">
        <v>232288</v>
      </c>
      <c r="B473" s="69" t="s">
        <v>526</v>
      </c>
      <c r="C473" s="60" t="s">
        <v>1196</v>
      </c>
      <c r="D473" s="66" t="s">
        <v>1199</v>
      </c>
      <c r="E473" s="66" t="s">
        <v>1478</v>
      </c>
      <c r="F473" s="66" t="s">
        <v>1628</v>
      </c>
      <c r="G473" s="60" t="s">
        <v>7</v>
      </c>
      <c r="H473" s="61">
        <v>1.211111111111111</v>
      </c>
      <c r="I473" s="61">
        <v>1.211111111111111</v>
      </c>
      <c r="J473" s="62"/>
      <c r="K473" s="63" t="s">
        <v>1718</v>
      </c>
      <c r="L473" s="64" t="s">
        <v>1199</v>
      </c>
      <c r="M473" s="64" t="s">
        <v>1478</v>
      </c>
    </row>
    <row r="474" spans="1:13" s="65" customFormat="1" ht="12" customHeight="1" x14ac:dyDescent="0.2">
      <c r="A474" s="78">
        <v>232405</v>
      </c>
      <c r="B474" s="69" t="s">
        <v>527</v>
      </c>
      <c r="C474" s="60" t="s">
        <v>1196</v>
      </c>
      <c r="D474" s="66" t="s">
        <v>1199</v>
      </c>
      <c r="E474" s="66" t="s">
        <v>1384</v>
      </c>
      <c r="F474" s="66" t="s">
        <v>1678</v>
      </c>
      <c r="G474" s="60" t="s">
        <v>8</v>
      </c>
      <c r="H474" s="61">
        <v>1.3354166666666665</v>
      </c>
      <c r="I474" s="61"/>
      <c r="J474" s="62">
        <v>1.3354166666666665</v>
      </c>
      <c r="K474" s="63" t="s">
        <v>1718</v>
      </c>
      <c r="L474" s="64" t="s">
        <v>1199</v>
      </c>
      <c r="M474" s="64" t="s">
        <v>1384</v>
      </c>
    </row>
    <row r="475" spans="1:13" s="65" customFormat="1" ht="12" customHeight="1" x14ac:dyDescent="0.2">
      <c r="A475" s="78">
        <v>232410</v>
      </c>
      <c r="B475" s="69" t="s">
        <v>528</v>
      </c>
      <c r="C475" s="60" t="s">
        <v>1196</v>
      </c>
      <c r="D475" s="66" t="s">
        <v>1197</v>
      </c>
      <c r="E475" s="66" t="s">
        <v>1479</v>
      </c>
      <c r="F475" s="66" t="s">
        <v>1595</v>
      </c>
      <c r="G475" s="60" t="s">
        <v>8</v>
      </c>
      <c r="H475" s="61">
        <v>0.51874999999999993</v>
      </c>
      <c r="I475" s="61"/>
      <c r="J475" s="62">
        <v>0.51874999999999993</v>
      </c>
      <c r="K475" s="63" t="s">
        <v>1720</v>
      </c>
      <c r="L475" s="64" t="s">
        <v>1197</v>
      </c>
      <c r="M475" s="64" t="s">
        <v>1479</v>
      </c>
    </row>
    <row r="476" spans="1:13" s="65" customFormat="1" ht="12" customHeight="1" x14ac:dyDescent="0.2">
      <c r="A476" s="78">
        <v>232411</v>
      </c>
      <c r="B476" s="69" t="s">
        <v>529</v>
      </c>
      <c r="C476" s="60" t="s">
        <v>1196</v>
      </c>
      <c r="D476" s="66" t="s">
        <v>1205</v>
      </c>
      <c r="E476" s="66" t="s">
        <v>1324</v>
      </c>
      <c r="F476" s="66" t="s">
        <v>1658</v>
      </c>
      <c r="G476" s="60" t="s">
        <v>7</v>
      </c>
      <c r="H476" s="61">
        <v>8.0708333333333329</v>
      </c>
      <c r="I476" s="61">
        <v>8.0708333333333329</v>
      </c>
      <c r="J476" s="62"/>
      <c r="K476" s="63" t="s">
        <v>1718</v>
      </c>
      <c r="L476" s="64" t="s">
        <v>1205</v>
      </c>
      <c r="M476" s="64" t="s">
        <v>1324</v>
      </c>
    </row>
    <row r="477" spans="1:13" s="65" customFormat="1" ht="12" customHeight="1" x14ac:dyDescent="0.2">
      <c r="A477" s="78">
        <v>232415</v>
      </c>
      <c r="B477" s="69" t="s">
        <v>530</v>
      </c>
      <c r="C477" s="60" t="s">
        <v>1196</v>
      </c>
      <c r="D477" s="66" t="s">
        <v>1203</v>
      </c>
      <c r="E477" s="66" t="s">
        <v>1427</v>
      </c>
      <c r="F477" s="66" t="s">
        <v>1643</v>
      </c>
      <c r="G477" s="60" t="s">
        <v>7</v>
      </c>
      <c r="H477" s="61">
        <v>1.2993055555555555</v>
      </c>
      <c r="I477" s="61">
        <v>1.2993055555555555</v>
      </c>
      <c r="J477" s="62"/>
      <c r="K477" s="63" t="s">
        <v>1718</v>
      </c>
      <c r="L477" s="64" t="s">
        <v>1203</v>
      </c>
      <c r="M477" s="64" t="s">
        <v>1427</v>
      </c>
    </row>
    <row r="478" spans="1:13" s="65" customFormat="1" ht="12" customHeight="1" x14ac:dyDescent="0.2">
      <c r="A478" s="78">
        <v>232418</v>
      </c>
      <c r="B478" s="69" t="s">
        <v>531</v>
      </c>
      <c r="C478" s="60" t="s">
        <v>1196</v>
      </c>
      <c r="D478" s="66" t="s">
        <v>1204</v>
      </c>
      <c r="E478" s="66" t="s">
        <v>1408</v>
      </c>
      <c r="F478" s="66" t="s">
        <v>1687</v>
      </c>
      <c r="G478" s="60" t="s">
        <v>7</v>
      </c>
      <c r="H478" s="61">
        <v>10.553472222222222</v>
      </c>
      <c r="I478" s="61">
        <v>10.553472222222222</v>
      </c>
      <c r="J478" s="62"/>
      <c r="K478" s="63" t="s">
        <v>1718</v>
      </c>
      <c r="L478" s="64" t="s">
        <v>1204</v>
      </c>
      <c r="M478" s="64" t="s">
        <v>1408</v>
      </c>
    </row>
    <row r="479" spans="1:13" s="65" customFormat="1" ht="12" customHeight="1" x14ac:dyDescent="0.2">
      <c r="A479" s="78">
        <v>232421</v>
      </c>
      <c r="B479" s="69" t="s">
        <v>532</v>
      </c>
      <c r="C479" s="60" t="s">
        <v>1196</v>
      </c>
      <c r="D479" s="66" t="s">
        <v>1197</v>
      </c>
      <c r="E479" s="66" t="s">
        <v>1206</v>
      </c>
      <c r="F479" s="66" t="s">
        <v>1585</v>
      </c>
      <c r="G479" s="60" t="s">
        <v>7</v>
      </c>
      <c r="H479" s="61">
        <v>0.69444444444444453</v>
      </c>
      <c r="I479" s="61">
        <v>0.69444444444444453</v>
      </c>
      <c r="J479" s="62"/>
      <c r="K479" s="63" t="s">
        <v>1718</v>
      </c>
      <c r="L479" s="64" t="s">
        <v>1197</v>
      </c>
      <c r="M479" s="64" t="s">
        <v>1206</v>
      </c>
    </row>
    <row r="480" spans="1:13" s="65" customFormat="1" ht="12" customHeight="1" x14ac:dyDescent="0.2">
      <c r="A480" s="78">
        <v>232452</v>
      </c>
      <c r="B480" s="69" t="s">
        <v>533</v>
      </c>
      <c r="C480" s="60" t="s">
        <v>1196</v>
      </c>
      <c r="D480" s="66" t="s">
        <v>1203</v>
      </c>
      <c r="E480" s="66" t="s">
        <v>1342</v>
      </c>
      <c r="F480" s="66" t="s">
        <v>1667</v>
      </c>
      <c r="G480" s="60" t="s">
        <v>7</v>
      </c>
      <c r="H480" s="61">
        <v>0.48472222222222222</v>
      </c>
      <c r="I480" s="61">
        <v>0.48472222222222222</v>
      </c>
      <c r="J480" s="62"/>
      <c r="K480" s="63" t="s">
        <v>1718</v>
      </c>
      <c r="L480" s="64" t="s">
        <v>1203</v>
      </c>
      <c r="M480" s="64" t="s">
        <v>1342</v>
      </c>
    </row>
    <row r="481" spans="1:13" s="65" customFormat="1" ht="12" customHeight="1" x14ac:dyDescent="0.2">
      <c r="A481" s="78">
        <v>232479</v>
      </c>
      <c r="B481" s="69" t="s">
        <v>534</v>
      </c>
      <c r="C481" s="60" t="s">
        <v>1196</v>
      </c>
      <c r="D481" s="66" t="s">
        <v>1205</v>
      </c>
      <c r="E481" s="66" t="s">
        <v>1331</v>
      </c>
      <c r="F481" s="66" t="s">
        <v>1658</v>
      </c>
      <c r="G481" s="60" t="s">
        <v>7</v>
      </c>
      <c r="H481" s="61">
        <v>7.9</v>
      </c>
      <c r="I481" s="61">
        <v>7.9</v>
      </c>
      <c r="J481" s="62"/>
      <c r="K481" s="63" t="s">
        <v>1722</v>
      </c>
      <c r="L481" s="64" t="s">
        <v>1205</v>
      </c>
      <c r="M481" s="64" t="s">
        <v>1331</v>
      </c>
    </row>
    <row r="482" spans="1:13" s="65" customFormat="1" ht="12" customHeight="1" x14ac:dyDescent="0.2">
      <c r="A482" s="78">
        <v>232506</v>
      </c>
      <c r="B482" s="69" t="s">
        <v>535</v>
      </c>
      <c r="C482" s="60" t="s">
        <v>1196</v>
      </c>
      <c r="D482" s="66" t="s">
        <v>1205</v>
      </c>
      <c r="E482" s="66" t="s">
        <v>1346</v>
      </c>
      <c r="F482" s="66" t="s">
        <v>1609</v>
      </c>
      <c r="G482" s="60" t="s">
        <v>7</v>
      </c>
      <c r="H482" s="61">
        <v>0.38819444444444445</v>
      </c>
      <c r="I482" s="61">
        <v>0.38819444444444445</v>
      </c>
      <c r="J482" s="62"/>
      <c r="K482" s="63" t="s">
        <v>1718</v>
      </c>
      <c r="L482" s="64" t="s">
        <v>1205</v>
      </c>
      <c r="M482" s="64" t="s">
        <v>1346</v>
      </c>
    </row>
    <row r="483" spans="1:13" s="65" customFormat="1" ht="12" customHeight="1" x14ac:dyDescent="0.2">
      <c r="A483" s="78">
        <v>232512</v>
      </c>
      <c r="B483" s="69" t="s">
        <v>536</v>
      </c>
      <c r="C483" s="60" t="s">
        <v>1196</v>
      </c>
      <c r="D483" s="66" t="s">
        <v>1201</v>
      </c>
      <c r="E483" s="66" t="s">
        <v>1475</v>
      </c>
      <c r="F483" s="66" t="s">
        <v>1589</v>
      </c>
      <c r="G483" s="60" t="s">
        <v>7</v>
      </c>
      <c r="H483" s="61">
        <v>11.929166666666667</v>
      </c>
      <c r="I483" s="61">
        <v>11.929166666666667</v>
      </c>
      <c r="J483" s="62"/>
      <c r="K483" s="63" t="s">
        <v>1718</v>
      </c>
      <c r="L483" s="64" t="s">
        <v>1201</v>
      </c>
      <c r="M483" s="64" t="s">
        <v>1475</v>
      </c>
    </row>
    <row r="484" spans="1:13" s="65" customFormat="1" ht="12" customHeight="1" x14ac:dyDescent="0.2">
      <c r="A484" s="78">
        <v>232518</v>
      </c>
      <c r="B484" s="69" t="s">
        <v>537</v>
      </c>
      <c r="C484" s="60" t="s">
        <v>1196</v>
      </c>
      <c r="D484" s="66" t="s">
        <v>1197</v>
      </c>
      <c r="E484" s="66" t="s">
        <v>1357</v>
      </c>
      <c r="F484" s="66" t="s">
        <v>1652</v>
      </c>
      <c r="G484" s="60" t="s">
        <v>7</v>
      </c>
      <c r="H484" s="61">
        <v>0.53125</v>
      </c>
      <c r="I484" s="61">
        <v>0.53125</v>
      </c>
      <c r="J484" s="62"/>
      <c r="K484" s="63" t="s">
        <v>1718</v>
      </c>
      <c r="L484" s="64" t="s">
        <v>1197</v>
      </c>
      <c r="M484" s="64" t="s">
        <v>1357</v>
      </c>
    </row>
    <row r="485" spans="1:13" s="65" customFormat="1" ht="12" customHeight="1" x14ac:dyDescent="0.2">
      <c r="A485" s="78">
        <v>232542</v>
      </c>
      <c r="B485" s="69" t="s">
        <v>538</v>
      </c>
      <c r="C485" s="60" t="s">
        <v>1196</v>
      </c>
      <c r="D485" s="66" t="s">
        <v>1201</v>
      </c>
      <c r="E485" s="66" t="s">
        <v>1372</v>
      </c>
      <c r="F485" s="66" t="s">
        <v>1675</v>
      </c>
      <c r="G485" s="60" t="s">
        <v>8</v>
      </c>
      <c r="H485" s="61">
        <v>1.0305555555555557</v>
      </c>
      <c r="I485" s="61"/>
      <c r="J485" s="62">
        <v>1.0305555555555557</v>
      </c>
      <c r="K485" s="63" t="s">
        <v>1718</v>
      </c>
      <c r="L485" s="64" t="s">
        <v>1201</v>
      </c>
      <c r="M485" s="64" t="s">
        <v>1372</v>
      </c>
    </row>
    <row r="486" spans="1:13" s="65" customFormat="1" ht="12" customHeight="1" x14ac:dyDescent="0.2">
      <c r="A486" s="78">
        <v>232546</v>
      </c>
      <c r="B486" s="69" t="s">
        <v>539</v>
      </c>
      <c r="C486" s="60" t="s">
        <v>1196</v>
      </c>
      <c r="D486" s="66" t="s">
        <v>1203</v>
      </c>
      <c r="E486" s="66" t="s">
        <v>1356</v>
      </c>
      <c r="F486" s="66" t="s">
        <v>1638</v>
      </c>
      <c r="G486" s="60" t="s">
        <v>7</v>
      </c>
      <c r="H486" s="61">
        <v>0.7993055555555556</v>
      </c>
      <c r="I486" s="61">
        <v>0.7993055555555556</v>
      </c>
      <c r="J486" s="62"/>
      <c r="K486" s="63" t="s">
        <v>1718</v>
      </c>
      <c r="L486" s="64" t="s">
        <v>1203</v>
      </c>
      <c r="M486" s="64" t="s">
        <v>1356</v>
      </c>
    </row>
    <row r="487" spans="1:13" s="65" customFormat="1" ht="12" customHeight="1" x14ac:dyDescent="0.2">
      <c r="A487" s="78">
        <v>232547</v>
      </c>
      <c r="B487" s="69" t="s">
        <v>540</v>
      </c>
      <c r="C487" s="60" t="s">
        <v>1196</v>
      </c>
      <c r="D487" s="66" t="s">
        <v>1205</v>
      </c>
      <c r="E487" s="66" t="s">
        <v>1480</v>
      </c>
      <c r="F487" s="66" t="s">
        <v>1594</v>
      </c>
      <c r="G487" s="60" t="s">
        <v>8</v>
      </c>
      <c r="H487" s="61">
        <v>6.9444444444444441E-3</v>
      </c>
      <c r="I487" s="61"/>
      <c r="J487" s="62">
        <v>6.9444444444444441E-3</v>
      </c>
      <c r="K487" s="63" t="s">
        <v>1720</v>
      </c>
      <c r="L487" s="64" t="s">
        <v>1205</v>
      </c>
      <c r="M487" s="64" t="s">
        <v>1480</v>
      </c>
    </row>
    <row r="488" spans="1:13" s="65" customFormat="1" ht="12" customHeight="1" x14ac:dyDescent="0.2">
      <c r="A488" s="78">
        <v>232550</v>
      </c>
      <c r="B488" s="69" t="s">
        <v>541</v>
      </c>
      <c r="C488" s="60" t="s">
        <v>1196</v>
      </c>
      <c r="D488" s="66" t="s">
        <v>1201</v>
      </c>
      <c r="E488" s="66" t="s">
        <v>1481</v>
      </c>
      <c r="F488" s="66" t="s">
        <v>1591</v>
      </c>
      <c r="G488" s="60" t="s">
        <v>7</v>
      </c>
      <c r="H488" s="61">
        <v>0.72430555555555554</v>
      </c>
      <c r="I488" s="61">
        <v>0.72430555555555554</v>
      </c>
      <c r="J488" s="62"/>
      <c r="K488" s="63" t="s">
        <v>1720</v>
      </c>
      <c r="L488" s="64" t="s">
        <v>1201</v>
      </c>
      <c r="M488" s="64" t="s">
        <v>1481</v>
      </c>
    </row>
    <row r="489" spans="1:13" s="65" customFormat="1" ht="12" customHeight="1" x14ac:dyDescent="0.2">
      <c r="A489" s="78">
        <v>232565</v>
      </c>
      <c r="B489" s="69" t="s">
        <v>542</v>
      </c>
      <c r="C489" s="60" t="s">
        <v>1196</v>
      </c>
      <c r="D489" s="66" t="s">
        <v>1201</v>
      </c>
      <c r="E489" s="66" t="s">
        <v>1482</v>
      </c>
      <c r="F489" s="66" t="s">
        <v>1703</v>
      </c>
      <c r="G489" s="60" t="s">
        <v>7</v>
      </c>
      <c r="H489" s="61">
        <v>4.4444444444444446E-2</v>
      </c>
      <c r="I489" s="61">
        <v>4.4444444444444446E-2</v>
      </c>
      <c r="J489" s="62"/>
      <c r="K489" s="63" t="s">
        <v>1718</v>
      </c>
      <c r="L489" s="64" t="s">
        <v>1201</v>
      </c>
      <c r="M489" s="64" t="s">
        <v>1482</v>
      </c>
    </row>
    <row r="490" spans="1:13" s="65" customFormat="1" ht="12" customHeight="1" x14ac:dyDescent="0.2">
      <c r="A490" s="78">
        <v>232589</v>
      </c>
      <c r="B490" s="69" t="s">
        <v>543</v>
      </c>
      <c r="C490" s="60" t="s">
        <v>1196</v>
      </c>
      <c r="D490" s="66" t="s">
        <v>1198</v>
      </c>
      <c r="E490" s="66" t="s">
        <v>1392</v>
      </c>
      <c r="F490" s="66" t="s">
        <v>1625</v>
      </c>
      <c r="G490" s="60" t="s">
        <v>8</v>
      </c>
      <c r="H490" s="61">
        <v>0.51736111111111105</v>
      </c>
      <c r="I490" s="61"/>
      <c r="J490" s="62">
        <v>0.51736111111111105</v>
      </c>
      <c r="K490" s="63" t="s">
        <v>1718</v>
      </c>
      <c r="L490" s="64" t="s">
        <v>1198</v>
      </c>
      <c r="M490" s="64" t="s">
        <v>1392</v>
      </c>
    </row>
    <row r="491" spans="1:13" s="65" customFormat="1" ht="12" customHeight="1" x14ac:dyDescent="0.2">
      <c r="A491" s="78">
        <v>232590</v>
      </c>
      <c r="B491" s="69" t="s">
        <v>544</v>
      </c>
      <c r="C491" s="60" t="s">
        <v>1196</v>
      </c>
      <c r="D491" s="66" t="s">
        <v>1199</v>
      </c>
      <c r="E491" s="66" t="s">
        <v>1354</v>
      </c>
      <c r="F491" s="66" t="s">
        <v>1669</v>
      </c>
      <c r="G491" s="60" t="s">
        <v>8</v>
      </c>
      <c r="H491" s="61">
        <v>0.62222222222222223</v>
      </c>
      <c r="I491" s="61"/>
      <c r="J491" s="62">
        <v>0.62222222222222223</v>
      </c>
      <c r="K491" s="63" t="s">
        <v>1718</v>
      </c>
      <c r="L491" s="64" t="s">
        <v>1199</v>
      </c>
      <c r="M491" s="64" t="s">
        <v>1354</v>
      </c>
    </row>
    <row r="492" spans="1:13" s="65" customFormat="1" ht="12" customHeight="1" x14ac:dyDescent="0.2">
      <c r="A492" s="78">
        <v>232595</v>
      </c>
      <c r="B492" s="69" t="s">
        <v>545</v>
      </c>
      <c r="C492" s="60" t="s">
        <v>1196</v>
      </c>
      <c r="D492" s="66" t="s">
        <v>1203</v>
      </c>
      <c r="E492" s="66" t="s">
        <v>1369</v>
      </c>
      <c r="F492" s="66" t="s">
        <v>1615</v>
      </c>
      <c r="G492" s="60" t="s">
        <v>8</v>
      </c>
      <c r="H492" s="61">
        <v>0.12916666666666668</v>
      </c>
      <c r="I492" s="61"/>
      <c r="J492" s="62">
        <v>0.12916666666666668</v>
      </c>
      <c r="K492" s="63" t="s">
        <v>1718</v>
      </c>
      <c r="L492" s="64" t="s">
        <v>1203</v>
      </c>
      <c r="M492" s="64" t="s">
        <v>1369</v>
      </c>
    </row>
    <row r="493" spans="1:13" s="65" customFormat="1" ht="12" customHeight="1" x14ac:dyDescent="0.2">
      <c r="A493" s="78">
        <v>232671</v>
      </c>
      <c r="B493" s="69" t="s">
        <v>546</v>
      </c>
      <c r="C493" s="60" t="s">
        <v>1196</v>
      </c>
      <c r="D493" s="66" t="s">
        <v>1203</v>
      </c>
      <c r="E493" s="66" t="s">
        <v>1334</v>
      </c>
      <c r="F493" s="66" t="s">
        <v>1639</v>
      </c>
      <c r="G493" s="60" t="s">
        <v>7</v>
      </c>
      <c r="H493" s="61">
        <v>3.0194444444444444</v>
      </c>
      <c r="I493" s="61">
        <v>3.0194444444444444</v>
      </c>
      <c r="J493" s="62"/>
      <c r="K493" s="63" t="s">
        <v>1718</v>
      </c>
      <c r="L493" s="64" t="s">
        <v>1203</v>
      </c>
      <c r="M493" s="64" t="s">
        <v>1334</v>
      </c>
    </row>
    <row r="494" spans="1:13" s="65" customFormat="1" ht="12" customHeight="1" x14ac:dyDescent="0.2">
      <c r="A494" s="78">
        <v>232699</v>
      </c>
      <c r="B494" s="69" t="s">
        <v>547</v>
      </c>
      <c r="C494" s="60" t="s">
        <v>1196</v>
      </c>
      <c r="D494" s="66" t="s">
        <v>1197</v>
      </c>
      <c r="E494" s="66" t="s">
        <v>1483</v>
      </c>
      <c r="F494" s="66" t="s">
        <v>1704</v>
      </c>
      <c r="G494" s="60" t="s">
        <v>7</v>
      </c>
      <c r="H494" s="61">
        <v>0.68194444444444446</v>
      </c>
      <c r="I494" s="61">
        <v>0.68194444444444446</v>
      </c>
      <c r="J494" s="62"/>
      <c r="K494" s="63" t="s">
        <v>1718</v>
      </c>
      <c r="L494" s="64" t="s">
        <v>1197</v>
      </c>
      <c r="M494" s="64" t="s">
        <v>1483</v>
      </c>
    </row>
    <row r="495" spans="1:13" s="65" customFormat="1" ht="12" customHeight="1" x14ac:dyDescent="0.2">
      <c r="A495" s="78">
        <v>232701</v>
      </c>
      <c r="B495" s="69" t="s">
        <v>548</v>
      </c>
      <c r="C495" s="60" t="s">
        <v>1196</v>
      </c>
      <c r="D495" s="66" t="s">
        <v>1197</v>
      </c>
      <c r="E495" s="66" t="s">
        <v>1471</v>
      </c>
      <c r="F495" s="66" t="s">
        <v>1636</v>
      </c>
      <c r="G495" s="60" t="s">
        <v>8</v>
      </c>
      <c r="H495" s="61">
        <v>1.6944444444444444</v>
      </c>
      <c r="I495" s="61"/>
      <c r="J495" s="62">
        <v>1.6944444444444444</v>
      </c>
      <c r="K495" s="63" t="s">
        <v>1718</v>
      </c>
      <c r="L495" s="64" t="s">
        <v>1197</v>
      </c>
      <c r="M495" s="64" t="s">
        <v>1471</v>
      </c>
    </row>
    <row r="496" spans="1:13" s="65" customFormat="1" ht="12" customHeight="1" x14ac:dyDescent="0.2">
      <c r="A496" s="78">
        <v>232706</v>
      </c>
      <c r="B496" s="69" t="s">
        <v>549</v>
      </c>
      <c r="C496" s="60" t="s">
        <v>1196</v>
      </c>
      <c r="D496" s="66" t="s">
        <v>1202</v>
      </c>
      <c r="E496" s="66" t="s">
        <v>1295</v>
      </c>
      <c r="F496" s="66" t="s">
        <v>1644</v>
      </c>
      <c r="G496" s="60" t="s">
        <v>7</v>
      </c>
      <c r="H496" s="61">
        <v>0.53472222222222221</v>
      </c>
      <c r="I496" s="61">
        <v>0.53472222222222221</v>
      </c>
      <c r="J496" s="62"/>
      <c r="K496" s="63" t="s">
        <v>1718</v>
      </c>
      <c r="L496" s="64" t="s">
        <v>1202</v>
      </c>
      <c r="M496" s="64" t="s">
        <v>1295</v>
      </c>
    </row>
    <row r="497" spans="1:13" s="65" customFormat="1" ht="12" customHeight="1" x14ac:dyDescent="0.2">
      <c r="A497" s="78">
        <v>232716</v>
      </c>
      <c r="B497" s="69" t="s">
        <v>550</v>
      </c>
      <c r="C497" s="60" t="s">
        <v>1196</v>
      </c>
      <c r="D497" s="66" t="s">
        <v>1204</v>
      </c>
      <c r="E497" s="66" t="s">
        <v>1459</v>
      </c>
      <c r="F497" s="66" t="s">
        <v>1604</v>
      </c>
      <c r="G497" s="60" t="s">
        <v>8</v>
      </c>
      <c r="H497" s="61">
        <v>0.97152777777777777</v>
      </c>
      <c r="I497" s="61"/>
      <c r="J497" s="62">
        <v>0.97152777777777777</v>
      </c>
      <c r="K497" s="63" t="s">
        <v>1718</v>
      </c>
      <c r="L497" s="64" t="s">
        <v>1204</v>
      </c>
      <c r="M497" s="64" t="s">
        <v>1459</v>
      </c>
    </row>
    <row r="498" spans="1:13" s="65" customFormat="1" ht="12" customHeight="1" x14ac:dyDescent="0.2">
      <c r="A498" s="78">
        <v>232718</v>
      </c>
      <c r="B498" s="69" t="s">
        <v>551</v>
      </c>
      <c r="C498" s="60" t="s">
        <v>1196</v>
      </c>
      <c r="D498" s="66" t="s">
        <v>1205</v>
      </c>
      <c r="E498" s="66" t="s">
        <v>1470</v>
      </c>
      <c r="F498" s="66" t="s">
        <v>1668</v>
      </c>
      <c r="G498" s="60" t="s">
        <v>8</v>
      </c>
      <c r="H498" s="61">
        <v>0.1423611111111111</v>
      </c>
      <c r="I498" s="61"/>
      <c r="J498" s="62">
        <v>0.1423611111111111</v>
      </c>
      <c r="K498" s="63" t="s">
        <v>1718</v>
      </c>
      <c r="L498" s="64" t="s">
        <v>1205</v>
      </c>
      <c r="M498" s="64" t="s">
        <v>1470</v>
      </c>
    </row>
    <row r="499" spans="1:13" s="65" customFormat="1" ht="12" customHeight="1" x14ac:dyDescent="0.2">
      <c r="A499" s="78">
        <v>232736</v>
      </c>
      <c r="B499" s="69" t="s">
        <v>552</v>
      </c>
      <c r="C499" s="60" t="s">
        <v>1196</v>
      </c>
      <c r="D499" s="66" t="s">
        <v>1198</v>
      </c>
      <c r="E499" s="66" t="s">
        <v>1484</v>
      </c>
      <c r="F499" s="66" t="s">
        <v>1586</v>
      </c>
      <c r="G499" s="60" t="s">
        <v>8</v>
      </c>
      <c r="H499" s="61">
        <v>0.10555555555555556</v>
      </c>
      <c r="I499" s="61"/>
      <c r="J499" s="62">
        <v>0.10555555555555556</v>
      </c>
      <c r="K499" s="63" t="s">
        <v>1720</v>
      </c>
      <c r="L499" s="64" t="s">
        <v>1198</v>
      </c>
      <c r="M499" s="64" t="s">
        <v>1484</v>
      </c>
    </row>
    <row r="500" spans="1:13" s="65" customFormat="1" ht="12" customHeight="1" x14ac:dyDescent="0.2">
      <c r="A500" s="78">
        <v>232737</v>
      </c>
      <c r="B500" s="69" t="s">
        <v>553</v>
      </c>
      <c r="C500" s="60" t="s">
        <v>1196</v>
      </c>
      <c r="D500" s="66" t="s">
        <v>1201</v>
      </c>
      <c r="E500" s="66" t="s">
        <v>1485</v>
      </c>
      <c r="F500" s="66" t="s">
        <v>1703</v>
      </c>
      <c r="G500" s="60" t="s">
        <v>7</v>
      </c>
      <c r="H500" s="61">
        <v>6.5277777777777782E-2</v>
      </c>
      <c r="I500" s="61">
        <v>6.5277777777777782E-2</v>
      </c>
      <c r="J500" s="62"/>
      <c r="K500" s="63" t="s">
        <v>1722</v>
      </c>
      <c r="L500" s="64" t="s">
        <v>1201</v>
      </c>
      <c r="M500" s="64" t="s">
        <v>1485</v>
      </c>
    </row>
    <row r="501" spans="1:13" s="65" customFormat="1" ht="12" customHeight="1" x14ac:dyDescent="0.2">
      <c r="A501" s="78">
        <v>232763</v>
      </c>
      <c r="B501" s="69" t="s">
        <v>554</v>
      </c>
      <c r="C501" s="60" t="s">
        <v>1196</v>
      </c>
      <c r="D501" s="66" t="s">
        <v>1204</v>
      </c>
      <c r="E501" s="66" t="s">
        <v>1447</v>
      </c>
      <c r="F501" s="66" t="s">
        <v>1690</v>
      </c>
      <c r="G501" s="60" t="s">
        <v>7</v>
      </c>
      <c r="H501" s="61">
        <v>0.64861111111111114</v>
      </c>
      <c r="I501" s="61">
        <v>0.64861111111111114</v>
      </c>
      <c r="J501" s="62"/>
      <c r="K501" s="63" t="s">
        <v>1722</v>
      </c>
      <c r="L501" s="64" t="s">
        <v>1204</v>
      </c>
      <c r="M501" s="64" t="s">
        <v>1447</v>
      </c>
    </row>
    <row r="502" spans="1:13" s="65" customFormat="1" ht="12" customHeight="1" x14ac:dyDescent="0.2">
      <c r="A502" s="78">
        <v>232766</v>
      </c>
      <c r="B502" s="69" t="s">
        <v>555</v>
      </c>
      <c r="C502" s="60" t="s">
        <v>1196</v>
      </c>
      <c r="D502" s="66" t="s">
        <v>1204</v>
      </c>
      <c r="E502" s="66" t="s">
        <v>1418</v>
      </c>
      <c r="F502" s="66" t="s">
        <v>1621</v>
      </c>
      <c r="G502" s="60" t="s">
        <v>8</v>
      </c>
      <c r="H502" s="61">
        <v>1.4840277777777777</v>
      </c>
      <c r="I502" s="61"/>
      <c r="J502" s="62">
        <v>1.4840277777777777</v>
      </c>
      <c r="K502" s="63" t="s">
        <v>1718</v>
      </c>
      <c r="L502" s="64" t="s">
        <v>1204</v>
      </c>
      <c r="M502" s="64" t="s">
        <v>1418</v>
      </c>
    </row>
    <row r="503" spans="1:13" s="65" customFormat="1" ht="12" customHeight="1" x14ac:dyDescent="0.2">
      <c r="A503" s="78">
        <v>232793</v>
      </c>
      <c r="B503" s="69" t="s">
        <v>556</v>
      </c>
      <c r="C503" s="60" t="s">
        <v>1196</v>
      </c>
      <c r="D503" s="66" t="s">
        <v>1202</v>
      </c>
      <c r="E503" s="66" t="s">
        <v>1486</v>
      </c>
      <c r="F503" s="66" t="s">
        <v>1659</v>
      </c>
      <c r="G503" s="60" t="s">
        <v>8</v>
      </c>
      <c r="H503" s="61">
        <v>5.0298611111111109</v>
      </c>
      <c r="I503" s="61"/>
      <c r="J503" s="62">
        <v>5.0298611111111109</v>
      </c>
      <c r="K503" s="63" t="s">
        <v>1718</v>
      </c>
      <c r="L503" s="64" t="s">
        <v>1202</v>
      </c>
      <c r="M503" s="64" t="s">
        <v>1486</v>
      </c>
    </row>
    <row r="504" spans="1:13" s="65" customFormat="1" ht="12" customHeight="1" x14ac:dyDescent="0.2">
      <c r="A504" s="78">
        <v>232795</v>
      </c>
      <c r="B504" s="69" t="s">
        <v>557</v>
      </c>
      <c r="C504" s="60" t="s">
        <v>1196</v>
      </c>
      <c r="D504" s="66" t="s">
        <v>1199</v>
      </c>
      <c r="E504" s="66" t="s">
        <v>1487</v>
      </c>
      <c r="F504" s="66" t="s">
        <v>1686</v>
      </c>
      <c r="G504" s="60" t="s">
        <v>8</v>
      </c>
      <c r="H504" s="61">
        <v>0.28611111111111115</v>
      </c>
      <c r="I504" s="61"/>
      <c r="J504" s="62">
        <v>0.28611111111111115</v>
      </c>
      <c r="K504" s="63" t="s">
        <v>1718</v>
      </c>
      <c r="L504" s="64" t="s">
        <v>1199</v>
      </c>
      <c r="M504" s="64" t="s">
        <v>1487</v>
      </c>
    </row>
    <row r="505" spans="1:13" s="65" customFormat="1" ht="12" customHeight="1" x14ac:dyDescent="0.2">
      <c r="A505" s="78">
        <v>232796</v>
      </c>
      <c r="B505" s="69" t="s">
        <v>558</v>
      </c>
      <c r="C505" s="60" t="s">
        <v>1196</v>
      </c>
      <c r="D505" s="66" t="s">
        <v>1204</v>
      </c>
      <c r="E505" s="66" t="s">
        <v>1488</v>
      </c>
      <c r="F505" s="66" t="s">
        <v>1646</v>
      </c>
      <c r="G505" s="60" t="s">
        <v>7</v>
      </c>
      <c r="H505" s="61">
        <v>1.5881944444444445</v>
      </c>
      <c r="I505" s="61">
        <v>1.5881944444444445</v>
      </c>
      <c r="J505" s="62"/>
      <c r="K505" s="63" t="s">
        <v>1718</v>
      </c>
      <c r="L505" s="64" t="s">
        <v>1204</v>
      </c>
      <c r="M505" s="64" t="s">
        <v>1488</v>
      </c>
    </row>
    <row r="506" spans="1:13" s="65" customFormat="1" ht="12" customHeight="1" x14ac:dyDescent="0.2">
      <c r="A506" s="78">
        <v>232797</v>
      </c>
      <c r="B506" s="69" t="s">
        <v>559</v>
      </c>
      <c r="C506" s="60" t="s">
        <v>1196</v>
      </c>
      <c r="D506" s="66" t="s">
        <v>1204</v>
      </c>
      <c r="E506" s="66" t="s">
        <v>1488</v>
      </c>
      <c r="F506" s="66" t="s">
        <v>1646</v>
      </c>
      <c r="G506" s="60" t="s">
        <v>8</v>
      </c>
      <c r="H506" s="61">
        <v>3.0874999999999999</v>
      </c>
      <c r="I506" s="61"/>
      <c r="J506" s="62">
        <v>3.0874999999999999</v>
      </c>
      <c r="K506" s="63" t="s">
        <v>1718</v>
      </c>
      <c r="L506" s="64" t="s">
        <v>1204</v>
      </c>
      <c r="M506" s="64" t="s">
        <v>1488</v>
      </c>
    </row>
    <row r="507" spans="1:13" s="65" customFormat="1" ht="12" customHeight="1" x14ac:dyDescent="0.2">
      <c r="A507" s="78">
        <v>232809</v>
      </c>
      <c r="B507" s="69" t="s">
        <v>560</v>
      </c>
      <c r="C507" s="60" t="s">
        <v>1196</v>
      </c>
      <c r="D507" s="66" t="s">
        <v>1204</v>
      </c>
      <c r="E507" s="66" t="s">
        <v>1394</v>
      </c>
      <c r="F507" s="66" t="s">
        <v>1681</v>
      </c>
      <c r="G507" s="60" t="s">
        <v>8</v>
      </c>
      <c r="H507" s="61">
        <v>1.5277777777777777E-2</v>
      </c>
      <c r="I507" s="61"/>
      <c r="J507" s="62">
        <v>1.5277777777777777E-2</v>
      </c>
      <c r="K507" s="63" t="s">
        <v>1718</v>
      </c>
      <c r="L507" s="64" t="s">
        <v>1204</v>
      </c>
      <c r="M507" s="64" t="s">
        <v>1394</v>
      </c>
    </row>
    <row r="508" spans="1:13" s="65" customFormat="1" ht="12" customHeight="1" x14ac:dyDescent="0.2">
      <c r="A508" s="78">
        <v>232810</v>
      </c>
      <c r="B508" s="69" t="s">
        <v>561</v>
      </c>
      <c r="C508" s="60" t="s">
        <v>1196</v>
      </c>
      <c r="D508" s="66" t="s">
        <v>1202</v>
      </c>
      <c r="E508" s="66" t="s">
        <v>1389</v>
      </c>
      <c r="F508" s="66" t="s">
        <v>1671</v>
      </c>
      <c r="G508" s="60" t="s">
        <v>7</v>
      </c>
      <c r="H508" s="61">
        <v>1.4555555555555555</v>
      </c>
      <c r="I508" s="61">
        <v>1.4555555555555555</v>
      </c>
      <c r="J508" s="62"/>
      <c r="K508" s="63" t="s">
        <v>1718</v>
      </c>
      <c r="L508" s="64" t="s">
        <v>1202</v>
      </c>
      <c r="M508" s="64" t="s">
        <v>1389</v>
      </c>
    </row>
    <row r="509" spans="1:13" s="65" customFormat="1" ht="12" customHeight="1" x14ac:dyDescent="0.2">
      <c r="A509" s="78">
        <v>232811</v>
      </c>
      <c r="B509" s="69" t="s">
        <v>562</v>
      </c>
      <c r="C509" s="60" t="s">
        <v>1196</v>
      </c>
      <c r="D509" s="66" t="s">
        <v>1202</v>
      </c>
      <c r="E509" s="66" t="s">
        <v>1295</v>
      </c>
      <c r="F509" s="66" t="s">
        <v>1644</v>
      </c>
      <c r="G509" s="60" t="s">
        <v>8</v>
      </c>
      <c r="H509" s="61">
        <v>1.0791666666666666</v>
      </c>
      <c r="I509" s="61"/>
      <c r="J509" s="62">
        <v>1.0791666666666666</v>
      </c>
      <c r="K509" s="63" t="s">
        <v>1718</v>
      </c>
      <c r="L509" s="64" t="s">
        <v>1202</v>
      </c>
      <c r="M509" s="64" t="s">
        <v>1295</v>
      </c>
    </row>
    <row r="510" spans="1:13" s="65" customFormat="1" ht="12" customHeight="1" x14ac:dyDescent="0.2">
      <c r="A510" s="78">
        <v>232817</v>
      </c>
      <c r="B510" s="69" t="s">
        <v>563</v>
      </c>
      <c r="C510" s="60" t="s">
        <v>1196</v>
      </c>
      <c r="D510" s="66" t="s">
        <v>1204</v>
      </c>
      <c r="E510" s="66" t="s">
        <v>1297</v>
      </c>
      <c r="F510" s="66" t="s">
        <v>1646</v>
      </c>
      <c r="G510" s="60" t="s">
        <v>7</v>
      </c>
      <c r="H510" s="61">
        <v>1.6576388888888889</v>
      </c>
      <c r="I510" s="61">
        <v>1.6576388888888889</v>
      </c>
      <c r="J510" s="62"/>
      <c r="K510" s="63" t="s">
        <v>1722</v>
      </c>
      <c r="L510" s="64" t="s">
        <v>1204</v>
      </c>
      <c r="M510" s="64" t="s">
        <v>1297</v>
      </c>
    </row>
    <row r="511" spans="1:13" s="65" customFormat="1" ht="12" customHeight="1" x14ac:dyDescent="0.2">
      <c r="A511" s="78">
        <v>232818</v>
      </c>
      <c r="B511" s="69" t="s">
        <v>564</v>
      </c>
      <c r="C511" s="60" t="s">
        <v>1196</v>
      </c>
      <c r="D511" s="66" t="s">
        <v>1204</v>
      </c>
      <c r="E511" s="66" t="s">
        <v>1488</v>
      </c>
      <c r="F511" s="66" t="s">
        <v>1646</v>
      </c>
      <c r="G511" s="60" t="s">
        <v>7</v>
      </c>
      <c r="H511" s="61">
        <v>0.53125</v>
      </c>
      <c r="I511" s="61">
        <v>0.53125</v>
      </c>
      <c r="J511" s="62"/>
      <c r="K511" s="63" t="s">
        <v>1718</v>
      </c>
      <c r="L511" s="64" t="s">
        <v>1204</v>
      </c>
      <c r="M511" s="64" t="s">
        <v>1488</v>
      </c>
    </row>
    <row r="512" spans="1:13" s="65" customFormat="1" ht="12" customHeight="1" x14ac:dyDescent="0.2">
      <c r="A512" s="78">
        <v>232821</v>
      </c>
      <c r="B512" s="69" t="s">
        <v>565</v>
      </c>
      <c r="C512" s="60" t="s">
        <v>1196</v>
      </c>
      <c r="D512" s="66" t="s">
        <v>1197</v>
      </c>
      <c r="E512" s="66" t="s">
        <v>1283</v>
      </c>
      <c r="F512" s="66" t="s">
        <v>1636</v>
      </c>
      <c r="G512" s="60" t="s">
        <v>7</v>
      </c>
      <c r="H512" s="61">
        <v>4.25</v>
      </c>
      <c r="I512" s="61">
        <v>4.25</v>
      </c>
      <c r="J512" s="62"/>
      <c r="K512" s="63" t="s">
        <v>1722</v>
      </c>
      <c r="L512" s="64" t="s">
        <v>1197</v>
      </c>
      <c r="M512" s="64" t="s">
        <v>1283</v>
      </c>
    </row>
    <row r="513" spans="1:13" s="65" customFormat="1" ht="12" customHeight="1" x14ac:dyDescent="0.2">
      <c r="A513" s="78">
        <v>232823</v>
      </c>
      <c r="B513" s="69" t="s">
        <v>566</v>
      </c>
      <c r="C513" s="60" t="s">
        <v>1196</v>
      </c>
      <c r="D513" s="66" t="s">
        <v>1203</v>
      </c>
      <c r="E513" s="66" t="s">
        <v>1356</v>
      </c>
      <c r="F513" s="66" t="s">
        <v>1638</v>
      </c>
      <c r="G513" s="60" t="s">
        <v>7</v>
      </c>
      <c r="H513" s="61">
        <v>0.19444444444444445</v>
      </c>
      <c r="I513" s="61">
        <v>0.19444444444444445</v>
      </c>
      <c r="J513" s="62"/>
      <c r="K513" s="63" t="s">
        <v>1718</v>
      </c>
      <c r="L513" s="64" t="s">
        <v>1203</v>
      </c>
      <c r="M513" s="64" t="s">
        <v>1356</v>
      </c>
    </row>
    <row r="514" spans="1:13" s="65" customFormat="1" ht="12" customHeight="1" x14ac:dyDescent="0.2">
      <c r="A514" s="78">
        <v>232824</v>
      </c>
      <c r="B514" s="69" t="s">
        <v>567</v>
      </c>
      <c r="C514" s="60" t="s">
        <v>1196</v>
      </c>
      <c r="D514" s="66" t="s">
        <v>1202</v>
      </c>
      <c r="E514" s="66" t="s">
        <v>1270</v>
      </c>
      <c r="F514" s="66" t="s">
        <v>1626</v>
      </c>
      <c r="G514" s="60" t="s">
        <v>7</v>
      </c>
      <c r="H514" s="61">
        <v>1.0715277777777779</v>
      </c>
      <c r="I514" s="61">
        <v>1.0715277777777779</v>
      </c>
      <c r="J514" s="62"/>
      <c r="K514" s="63" t="s">
        <v>1723</v>
      </c>
      <c r="L514" s="64" t="s">
        <v>1202</v>
      </c>
      <c r="M514" s="64" t="s">
        <v>1270</v>
      </c>
    </row>
    <row r="515" spans="1:13" s="65" customFormat="1" ht="12" customHeight="1" x14ac:dyDescent="0.2">
      <c r="A515" s="78">
        <v>232830</v>
      </c>
      <c r="B515" s="69" t="s">
        <v>568</v>
      </c>
      <c r="C515" s="60" t="s">
        <v>1196</v>
      </c>
      <c r="D515" s="66" t="s">
        <v>1200</v>
      </c>
      <c r="E515" s="66" t="s">
        <v>1213</v>
      </c>
      <c r="F515" s="66" t="s">
        <v>1588</v>
      </c>
      <c r="G515" s="60" t="s">
        <v>8</v>
      </c>
      <c r="H515" s="61">
        <v>0.10347222222222223</v>
      </c>
      <c r="I515" s="61"/>
      <c r="J515" s="62">
        <v>0.10347222222222223</v>
      </c>
      <c r="K515" s="63" t="s">
        <v>1718</v>
      </c>
      <c r="L515" s="64" t="s">
        <v>1200</v>
      </c>
      <c r="M515" s="64" t="s">
        <v>1213</v>
      </c>
    </row>
    <row r="516" spans="1:13" s="65" customFormat="1" ht="12" customHeight="1" x14ac:dyDescent="0.2">
      <c r="A516" s="78">
        <v>232831</v>
      </c>
      <c r="B516" s="69" t="s">
        <v>569</v>
      </c>
      <c r="C516" s="60" t="s">
        <v>1196</v>
      </c>
      <c r="D516" s="66" t="s">
        <v>1198</v>
      </c>
      <c r="E516" s="66" t="s">
        <v>1309</v>
      </c>
      <c r="F516" s="66" t="s">
        <v>1651</v>
      </c>
      <c r="G516" s="60" t="s">
        <v>7</v>
      </c>
      <c r="H516" s="61">
        <v>6.0416666666666667E-2</v>
      </c>
      <c r="I516" s="61">
        <v>6.0416666666666667E-2</v>
      </c>
      <c r="J516" s="62"/>
      <c r="K516" s="63" t="s">
        <v>1718</v>
      </c>
      <c r="L516" s="64" t="s">
        <v>1198</v>
      </c>
      <c r="M516" s="64" t="s">
        <v>1309</v>
      </c>
    </row>
    <row r="517" spans="1:13" s="65" customFormat="1" ht="12" customHeight="1" x14ac:dyDescent="0.2">
      <c r="A517" s="78">
        <v>232842</v>
      </c>
      <c r="B517" s="69" t="s">
        <v>570</v>
      </c>
      <c r="C517" s="60" t="s">
        <v>1196</v>
      </c>
      <c r="D517" s="66" t="s">
        <v>1204</v>
      </c>
      <c r="E517" s="66" t="s">
        <v>1459</v>
      </c>
      <c r="F517" s="66" t="s">
        <v>1604</v>
      </c>
      <c r="G517" s="60" t="s">
        <v>8</v>
      </c>
      <c r="H517" s="61">
        <v>0.79027777777777775</v>
      </c>
      <c r="I517" s="61"/>
      <c r="J517" s="62">
        <v>0.79027777777777775</v>
      </c>
      <c r="K517" s="63" t="s">
        <v>1718</v>
      </c>
      <c r="L517" s="64" t="s">
        <v>1204</v>
      </c>
      <c r="M517" s="64" t="s">
        <v>1459</v>
      </c>
    </row>
    <row r="518" spans="1:13" s="65" customFormat="1" ht="12" customHeight="1" x14ac:dyDescent="0.2">
      <c r="A518" s="78">
        <v>232856</v>
      </c>
      <c r="B518" s="69" t="s">
        <v>571</v>
      </c>
      <c r="C518" s="60" t="s">
        <v>1196</v>
      </c>
      <c r="D518" s="66" t="s">
        <v>1200</v>
      </c>
      <c r="E518" s="66" t="s">
        <v>1271</v>
      </c>
      <c r="F518" s="66" t="s">
        <v>1627</v>
      </c>
      <c r="G518" s="60" t="s">
        <v>7</v>
      </c>
      <c r="H518" s="61">
        <v>0.91180555555555554</v>
      </c>
      <c r="I518" s="61">
        <v>0.91180555555555554</v>
      </c>
      <c r="J518" s="62"/>
      <c r="K518" s="63" t="s">
        <v>1724</v>
      </c>
      <c r="L518" s="64" t="s">
        <v>1200</v>
      </c>
      <c r="M518" s="64" t="s">
        <v>1271</v>
      </c>
    </row>
    <row r="519" spans="1:13" s="65" customFormat="1" ht="12" customHeight="1" x14ac:dyDescent="0.2">
      <c r="A519" s="78">
        <v>232864</v>
      </c>
      <c r="B519" s="69" t="s">
        <v>572</v>
      </c>
      <c r="C519" s="60" t="s">
        <v>1196</v>
      </c>
      <c r="D519" s="66" t="s">
        <v>1198</v>
      </c>
      <c r="E519" s="66" t="s">
        <v>1309</v>
      </c>
      <c r="F519" s="66" t="s">
        <v>1651</v>
      </c>
      <c r="G519" s="60" t="s">
        <v>7</v>
      </c>
      <c r="H519" s="61">
        <v>0.33263888888888887</v>
      </c>
      <c r="I519" s="61">
        <v>0.33263888888888887</v>
      </c>
      <c r="J519" s="62"/>
      <c r="K519" s="63" t="s">
        <v>1718</v>
      </c>
      <c r="L519" s="64" t="s">
        <v>1198</v>
      </c>
      <c r="M519" s="64" t="s">
        <v>1309</v>
      </c>
    </row>
    <row r="520" spans="1:13" s="65" customFormat="1" ht="12" customHeight="1" x14ac:dyDescent="0.2">
      <c r="A520" s="78">
        <v>232882</v>
      </c>
      <c r="B520" s="69" t="s">
        <v>573</v>
      </c>
      <c r="C520" s="60" t="s">
        <v>1196</v>
      </c>
      <c r="D520" s="66" t="s">
        <v>1202</v>
      </c>
      <c r="E520" s="66" t="s">
        <v>1489</v>
      </c>
      <c r="F520" s="66" t="s">
        <v>1659</v>
      </c>
      <c r="G520" s="60" t="s">
        <v>8</v>
      </c>
      <c r="H520" s="61">
        <v>2.5340277777777778</v>
      </c>
      <c r="I520" s="61"/>
      <c r="J520" s="62">
        <v>2.5340277777777778</v>
      </c>
      <c r="K520" s="63" t="s">
        <v>1718</v>
      </c>
      <c r="L520" s="64" t="s">
        <v>1202</v>
      </c>
      <c r="M520" s="64" t="s">
        <v>1489</v>
      </c>
    </row>
    <row r="521" spans="1:13" s="65" customFormat="1" ht="12" customHeight="1" x14ac:dyDescent="0.2">
      <c r="A521" s="78">
        <v>232900</v>
      </c>
      <c r="B521" s="69" t="s">
        <v>574</v>
      </c>
      <c r="C521" s="60" t="s">
        <v>1196</v>
      </c>
      <c r="D521" s="66" t="s">
        <v>1203</v>
      </c>
      <c r="E521" s="66" t="s">
        <v>1345</v>
      </c>
      <c r="F521" s="66" t="s">
        <v>1642</v>
      </c>
      <c r="G521" s="60" t="s">
        <v>7</v>
      </c>
      <c r="H521" s="61">
        <v>0.17500000000000002</v>
      </c>
      <c r="I521" s="61">
        <v>0.17500000000000002</v>
      </c>
      <c r="J521" s="62"/>
      <c r="K521" s="63" t="s">
        <v>1718</v>
      </c>
      <c r="L521" s="64" t="s">
        <v>1203</v>
      </c>
      <c r="M521" s="64" t="s">
        <v>1345</v>
      </c>
    </row>
    <row r="522" spans="1:13" s="65" customFormat="1" ht="12" customHeight="1" x14ac:dyDescent="0.2">
      <c r="A522" s="78">
        <v>232914</v>
      </c>
      <c r="B522" s="69" t="s">
        <v>575</v>
      </c>
      <c r="C522" s="60" t="s">
        <v>1196</v>
      </c>
      <c r="D522" s="66" t="s">
        <v>1201</v>
      </c>
      <c r="E522" s="66" t="s">
        <v>1367</v>
      </c>
      <c r="F522" s="66" t="s">
        <v>1673</v>
      </c>
      <c r="G522" s="60" t="s">
        <v>8</v>
      </c>
      <c r="H522" s="61">
        <v>1.5020833333333332</v>
      </c>
      <c r="I522" s="61"/>
      <c r="J522" s="62">
        <v>1.5020833333333332</v>
      </c>
      <c r="K522" s="63" t="s">
        <v>1718</v>
      </c>
      <c r="L522" s="64" t="s">
        <v>1201</v>
      </c>
      <c r="M522" s="64" t="s">
        <v>1367</v>
      </c>
    </row>
    <row r="523" spans="1:13" s="65" customFormat="1" ht="12" customHeight="1" x14ac:dyDescent="0.2">
      <c r="A523" s="78">
        <v>232916</v>
      </c>
      <c r="B523" s="69" t="s">
        <v>576</v>
      </c>
      <c r="C523" s="60" t="s">
        <v>1196</v>
      </c>
      <c r="D523" s="66" t="s">
        <v>1198</v>
      </c>
      <c r="E523" s="66" t="s">
        <v>1490</v>
      </c>
      <c r="F523" s="66" t="s">
        <v>1606</v>
      </c>
      <c r="G523" s="60" t="s">
        <v>7</v>
      </c>
      <c r="H523" s="61">
        <v>7.5</v>
      </c>
      <c r="I523" s="61">
        <v>7.5</v>
      </c>
      <c r="J523" s="62"/>
      <c r="K523" s="63" t="s">
        <v>1718</v>
      </c>
      <c r="L523" s="64" t="s">
        <v>1198</v>
      </c>
      <c r="M523" s="64" t="s">
        <v>1490</v>
      </c>
    </row>
    <row r="524" spans="1:13" s="65" customFormat="1" ht="12" customHeight="1" x14ac:dyDescent="0.2">
      <c r="A524" s="78">
        <v>232918</v>
      </c>
      <c r="B524" s="69" t="s">
        <v>577</v>
      </c>
      <c r="C524" s="60" t="s">
        <v>1196</v>
      </c>
      <c r="D524" s="66" t="s">
        <v>1200</v>
      </c>
      <c r="E524" s="66" t="s">
        <v>1431</v>
      </c>
      <c r="F524" s="66" t="s">
        <v>1692</v>
      </c>
      <c r="G524" s="60" t="s">
        <v>8</v>
      </c>
      <c r="H524" s="61">
        <v>0.15069444444444444</v>
      </c>
      <c r="I524" s="61"/>
      <c r="J524" s="62">
        <v>0.15069444444444444</v>
      </c>
      <c r="K524" s="63" t="s">
        <v>1718</v>
      </c>
      <c r="L524" s="64" t="s">
        <v>1200</v>
      </c>
      <c r="M524" s="64" t="s">
        <v>1431</v>
      </c>
    </row>
    <row r="525" spans="1:13" s="65" customFormat="1" ht="12" customHeight="1" x14ac:dyDescent="0.2">
      <c r="A525" s="78">
        <v>232920</v>
      </c>
      <c r="B525" s="69" t="s">
        <v>578</v>
      </c>
      <c r="C525" s="60" t="s">
        <v>1196</v>
      </c>
      <c r="D525" s="66" t="s">
        <v>1198</v>
      </c>
      <c r="E525" s="66" t="s">
        <v>1406</v>
      </c>
      <c r="F525" s="66" t="s">
        <v>1685</v>
      </c>
      <c r="G525" s="60" t="s">
        <v>7</v>
      </c>
      <c r="H525" s="61">
        <v>0.57222222222222219</v>
      </c>
      <c r="I525" s="61">
        <v>0.57222222222222219</v>
      </c>
      <c r="J525" s="62"/>
      <c r="K525" s="63" t="s">
        <v>1724</v>
      </c>
      <c r="L525" s="64" t="s">
        <v>1198</v>
      </c>
      <c r="M525" s="64" t="s">
        <v>1406</v>
      </c>
    </row>
    <row r="526" spans="1:13" s="65" customFormat="1" ht="12" customHeight="1" x14ac:dyDescent="0.2">
      <c r="A526" s="78">
        <v>232924</v>
      </c>
      <c r="B526" s="69" t="s">
        <v>579</v>
      </c>
      <c r="C526" s="60" t="s">
        <v>1196</v>
      </c>
      <c r="D526" s="66" t="s">
        <v>1203</v>
      </c>
      <c r="E526" s="66" t="s">
        <v>1370</v>
      </c>
      <c r="F526" s="66" t="s">
        <v>1603</v>
      </c>
      <c r="G526" s="60" t="s">
        <v>8</v>
      </c>
      <c r="H526" s="61">
        <v>0.72013888888888899</v>
      </c>
      <c r="I526" s="61"/>
      <c r="J526" s="62">
        <v>0.72013888888888899</v>
      </c>
      <c r="K526" s="63" t="s">
        <v>1718</v>
      </c>
      <c r="L526" s="64" t="s">
        <v>1203</v>
      </c>
      <c r="M526" s="64" t="s">
        <v>1370</v>
      </c>
    </row>
    <row r="527" spans="1:13" s="65" customFormat="1" ht="12" customHeight="1" x14ac:dyDescent="0.2">
      <c r="A527" s="78">
        <v>232949</v>
      </c>
      <c r="B527" s="69" t="s">
        <v>580</v>
      </c>
      <c r="C527" s="60" t="s">
        <v>1196</v>
      </c>
      <c r="D527" s="66" t="s">
        <v>1197</v>
      </c>
      <c r="E527" s="66" t="s">
        <v>1283</v>
      </c>
      <c r="F527" s="66" t="s">
        <v>1636</v>
      </c>
      <c r="G527" s="60" t="s">
        <v>7</v>
      </c>
      <c r="H527" s="61">
        <v>4.0875000000000004</v>
      </c>
      <c r="I527" s="61">
        <v>4.0875000000000004</v>
      </c>
      <c r="J527" s="62"/>
      <c r="K527" s="63" t="s">
        <v>1723</v>
      </c>
      <c r="L527" s="64" t="s">
        <v>1197</v>
      </c>
      <c r="M527" s="64" t="s">
        <v>1283</v>
      </c>
    </row>
    <row r="528" spans="1:13" s="65" customFormat="1" ht="12" customHeight="1" x14ac:dyDescent="0.2">
      <c r="A528" s="78">
        <v>232950</v>
      </c>
      <c r="B528" s="69" t="s">
        <v>581</v>
      </c>
      <c r="C528" s="60" t="s">
        <v>1196</v>
      </c>
      <c r="D528" s="66" t="s">
        <v>1201</v>
      </c>
      <c r="E528" s="66" t="s">
        <v>1452</v>
      </c>
      <c r="F528" s="66" t="s">
        <v>1619</v>
      </c>
      <c r="G528" s="60" t="s">
        <v>8</v>
      </c>
      <c r="H528" s="61">
        <v>1.8749999999999999E-2</v>
      </c>
      <c r="I528" s="61"/>
      <c r="J528" s="62">
        <v>1.8749999999999999E-2</v>
      </c>
      <c r="K528" s="63" t="s">
        <v>1718</v>
      </c>
      <c r="L528" s="64" t="s">
        <v>1201</v>
      </c>
      <c r="M528" s="64" t="s">
        <v>1452</v>
      </c>
    </row>
    <row r="529" spans="1:13" s="65" customFormat="1" ht="12" customHeight="1" x14ac:dyDescent="0.2">
      <c r="A529" s="78">
        <v>232954</v>
      </c>
      <c r="B529" s="69" t="s">
        <v>582</v>
      </c>
      <c r="C529" s="60" t="s">
        <v>1196</v>
      </c>
      <c r="D529" s="66" t="s">
        <v>1203</v>
      </c>
      <c r="E529" s="66" t="s">
        <v>1436</v>
      </c>
      <c r="F529" s="66" t="s">
        <v>1696</v>
      </c>
      <c r="G529" s="60" t="s">
        <v>7</v>
      </c>
      <c r="H529" s="61">
        <v>6.25E-2</v>
      </c>
      <c r="I529" s="61">
        <v>6.25E-2</v>
      </c>
      <c r="J529" s="62"/>
      <c r="K529" s="63" t="s">
        <v>1724</v>
      </c>
      <c r="L529" s="64" t="s">
        <v>1203</v>
      </c>
      <c r="M529" s="64" t="s">
        <v>1436</v>
      </c>
    </row>
    <row r="530" spans="1:13" s="65" customFormat="1" ht="12" customHeight="1" x14ac:dyDescent="0.2">
      <c r="A530" s="78">
        <v>232961</v>
      </c>
      <c r="B530" s="69" t="s">
        <v>583</v>
      </c>
      <c r="C530" s="60" t="s">
        <v>1196</v>
      </c>
      <c r="D530" s="66" t="s">
        <v>1197</v>
      </c>
      <c r="E530" s="66" t="s">
        <v>1471</v>
      </c>
      <c r="F530" s="66" t="s">
        <v>1636</v>
      </c>
      <c r="G530" s="60" t="s">
        <v>7</v>
      </c>
      <c r="H530" s="61">
        <v>8.3333333333333332E-3</v>
      </c>
      <c r="I530" s="61">
        <v>8.3333333333333332E-3</v>
      </c>
      <c r="J530" s="62"/>
      <c r="K530" s="63" t="s">
        <v>1718</v>
      </c>
      <c r="L530" s="64" t="s">
        <v>1197</v>
      </c>
      <c r="M530" s="64" t="s">
        <v>1471</v>
      </c>
    </row>
    <row r="531" spans="1:13" s="65" customFormat="1" ht="12" customHeight="1" x14ac:dyDescent="0.2">
      <c r="A531" s="78">
        <v>232965</v>
      </c>
      <c r="B531" s="69" t="s">
        <v>584</v>
      </c>
      <c r="C531" s="60" t="s">
        <v>1196</v>
      </c>
      <c r="D531" s="66" t="s">
        <v>1203</v>
      </c>
      <c r="E531" s="66" t="s">
        <v>1286</v>
      </c>
      <c r="F531" s="66" t="s">
        <v>1638</v>
      </c>
      <c r="G531" s="60" t="s">
        <v>8</v>
      </c>
      <c r="H531" s="61">
        <v>0.50069444444444444</v>
      </c>
      <c r="I531" s="61"/>
      <c r="J531" s="62">
        <v>0.50069444444444444</v>
      </c>
      <c r="K531" s="63" t="s">
        <v>1723</v>
      </c>
      <c r="L531" s="64" t="s">
        <v>1203</v>
      </c>
      <c r="M531" s="64" t="s">
        <v>1286</v>
      </c>
    </row>
    <row r="532" spans="1:13" s="65" customFormat="1" ht="12" customHeight="1" x14ac:dyDescent="0.2">
      <c r="A532" s="78">
        <v>232970</v>
      </c>
      <c r="B532" s="69" t="s">
        <v>585</v>
      </c>
      <c r="C532" s="60" t="s">
        <v>1196</v>
      </c>
      <c r="D532" s="66" t="s">
        <v>1199</v>
      </c>
      <c r="E532" s="66" t="s">
        <v>1491</v>
      </c>
      <c r="F532" s="66" t="s">
        <v>1678</v>
      </c>
      <c r="G532" s="60" t="s">
        <v>8</v>
      </c>
      <c r="H532" s="61">
        <v>0.59097222222222223</v>
      </c>
      <c r="I532" s="61"/>
      <c r="J532" s="62">
        <v>0.59097222222222223</v>
      </c>
      <c r="K532" s="63" t="s">
        <v>1724</v>
      </c>
      <c r="L532" s="64" t="s">
        <v>1199</v>
      </c>
      <c r="M532" s="64" t="s">
        <v>1491</v>
      </c>
    </row>
    <row r="533" spans="1:13" s="65" customFormat="1" ht="12" customHeight="1" x14ac:dyDescent="0.2">
      <c r="A533" s="78">
        <v>232983</v>
      </c>
      <c r="B533" s="69" t="s">
        <v>586</v>
      </c>
      <c r="C533" s="60" t="s">
        <v>1196</v>
      </c>
      <c r="D533" s="66" t="s">
        <v>1197</v>
      </c>
      <c r="E533" s="66" t="s">
        <v>1206</v>
      </c>
      <c r="F533" s="66" t="s">
        <v>1585</v>
      </c>
      <c r="G533" s="60" t="s">
        <v>7</v>
      </c>
      <c r="H533" s="61">
        <v>6.9444444444444434E-2</v>
      </c>
      <c r="I533" s="61">
        <v>6.9444444444444434E-2</v>
      </c>
      <c r="J533" s="62"/>
      <c r="K533" s="63" t="s">
        <v>1718</v>
      </c>
      <c r="L533" s="64" t="s">
        <v>1197</v>
      </c>
      <c r="M533" s="64" t="s">
        <v>1206</v>
      </c>
    </row>
    <row r="534" spans="1:13" s="65" customFormat="1" ht="12" customHeight="1" x14ac:dyDescent="0.2">
      <c r="A534" s="78">
        <v>233010</v>
      </c>
      <c r="B534" s="69" t="s">
        <v>587</v>
      </c>
      <c r="C534" s="60" t="s">
        <v>1196</v>
      </c>
      <c r="D534" s="66" t="s">
        <v>1201</v>
      </c>
      <c r="E534" s="66" t="s">
        <v>1492</v>
      </c>
      <c r="F534" s="66" t="s">
        <v>1591</v>
      </c>
      <c r="G534" s="60" t="s">
        <v>7</v>
      </c>
      <c r="H534" s="61">
        <v>0.3354166666666667</v>
      </c>
      <c r="I534" s="61">
        <v>0.3354166666666667</v>
      </c>
      <c r="J534" s="62"/>
      <c r="K534" s="63" t="s">
        <v>1720</v>
      </c>
      <c r="L534" s="64" t="s">
        <v>1201</v>
      </c>
      <c r="M534" s="64" t="s">
        <v>1492</v>
      </c>
    </row>
    <row r="535" spans="1:13" s="65" customFormat="1" ht="12" customHeight="1" x14ac:dyDescent="0.2">
      <c r="A535" s="78">
        <v>233014</v>
      </c>
      <c r="B535" s="69" t="s">
        <v>588</v>
      </c>
      <c r="C535" s="60" t="s">
        <v>1196</v>
      </c>
      <c r="D535" s="66" t="s">
        <v>1201</v>
      </c>
      <c r="E535" s="66" t="s">
        <v>1493</v>
      </c>
      <c r="F535" s="66" t="s">
        <v>1591</v>
      </c>
      <c r="G535" s="60" t="s">
        <v>7</v>
      </c>
      <c r="H535" s="61">
        <v>1.0354166666666667</v>
      </c>
      <c r="I535" s="61">
        <v>1.0354166666666667</v>
      </c>
      <c r="J535" s="62"/>
      <c r="K535" s="63" t="s">
        <v>1720</v>
      </c>
      <c r="L535" s="64" t="s">
        <v>1201</v>
      </c>
      <c r="M535" s="64" t="s">
        <v>1493</v>
      </c>
    </row>
    <row r="536" spans="1:13" s="65" customFormat="1" ht="12" customHeight="1" x14ac:dyDescent="0.2">
      <c r="A536" s="78">
        <v>233016</v>
      </c>
      <c r="B536" s="69" t="s">
        <v>589</v>
      </c>
      <c r="C536" s="60" t="s">
        <v>1196</v>
      </c>
      <c r="D536" s="66" t="s">
        <v>1204</v>
      </c>
      <c r="E536" s="66" t="s">
        <v>1494</v>
      </c>
      <c r="F536" s="66" t="s">
        <v>1593</v>
      </c>
      <c r="G536" s="60" t="s">
        <v>7</v>
      </c>
      <c r="H536" s="61">
        <v>0.27499999999999997</v>
      </c>
      <c r="I536" s="61">
        <v>0.27499999999999997</v>
      </c>
      <c r="J536" s="62"/>
      <c r="K536" s="63" t="s">
        <v>1720</v>
      </c>
      <c r="L536" s="64" t="s">
        <v>1204</v>
      </c>
      <c r="M536" s="64" t="s">
        <v>1494</v>
      </c>
    </row>
    <row r="537" spans="1:13" s="65" customFormat="1" ht="12" customHeight="1" x14ac:dyDescent="0.2">
      <c r="A537" s="78">
        <v>233032</v>
      </c>
      <c r="B537" s="69" t="s">
        <v>590</v>
      </c>
      <c r="C537" s="60" t="s">
        <v>1196</v>
      </c>
      <c r="D537" s="66" t="s">
        <v>1203</v>
      </c>
      <c r="E537" s="66" t="s">
        <v>1292</v>
      </c>
      <c r="F537" s="66" t="s">
        <v>1642</v>
      </c>
      <c r="G537" s="60" t="s">
        <v>8</v>
      </c>
      <c r="H537" s="61">
        <v>7.6388888888888886E-3</v>
      </c>
      <c r="I537" s="61"/>
      <c r="J537" s="62">
        <v>7.6388888888888886E-3</v>
      </c>
      <c r="K537" s="63" t="s">
        <v>1724</v>
      </c>
      <c r="L537" s="64" t="s">
        <v>1203</v>
      </c>
      <c r="M537" s="64" t="s">
        <v>1292</v>
      </c>
    </row>
    <row r="538" spans="1:13" s="65" customFormat="1" ht="12" customHeight="1" x14ac:dyDescent="0.2">
      <c r="A538" s="78">
        <v>233057</v>
      </c>
      <c r="B538" s="69" t="s">
        <v>591</v>
      </c>
      <c r="C538" s="60" t="s">
        <v>1196</v>
      </c>
      <c r="D538" s="66" t="s">
        <v>1200</v>
      </c>
      <c r="E538" s="66" t="s">
        <v>1419</v>
      </c>
      <c r="F538" s="66" t="s">
        <v>1588</v>
      </c>
      <c r="G538" s="60" t="s">
        <v>7</v>
      </c>
      <c r="H538" s="61">
        <v>5.4013888888888886</v>
      </c>
      <c r="I538" s="61">
        <v>5.4013888888888886</v>
      </c>
      <c r="J538" s="62"/>
      <c r="K538" s="63" t="s">
        <v>1724</v>
      </c>
      <c r="L538" s="64" t="s">
        <v>1200</v>
      </c>
      <c r="M538" s="64" t="s">
        <v>1419</v>
      </c>
    </row>
    <row r="539" spans="1:13" s="65" customFormat="1" ht="12" customHeight="1" x14ac:dyDescent="0.2">
      <c r="A539" s="78">
        <v>233121</v>
      </c>
      <c r="B539" s="69" t="s">
        <v>592</v>
      </c>
      <c r="C539" s="60" t="s">
        <v>1196</v>
      </c>
      <c r="D539" s="66" t="s">
        <v>1201</v>
      </c>
      <c r="E539" s="66" t="s">
        <v>1362</v>
      </c>
      <c r="F539" s="66" t="s">
        <v>1601</v>
      </c>
      <c r="G539" s="60" t="s">
        <v>8</v>
      </c>
      <c r="H539" s="61">
        <v>0.3430555555555555</v>
      </c>
      <c r="I539" s="61"/>
      <c r="J539" s="62">
        <v>0.3430555555555555</v>
      </c>
      <c r="K539" s="63" t="s">
        <v>1718</v>
      </c>
      <c r="L539" s="64" t="s">
        <v>1201</v>
      </c>
      <c r="M539" s="64" t="s">
        <v>1362</v>
      </c>
    </row>
    <row r="540" spans="1:13" s="65" customFormat="1" ht="12" customHeight="1" x14ac:dyDescent="0.2">
      <c r="A540" s="78">
        <v>233126</v>
      </c>
      <c r="B540" s="69" t="s">
        <v>593</v>
      </c>
      <c r="C540" s="60" t="s">
        <v>1196</v>
      </c>
      <c r="D540" s="66" t="s">
        <v>1198</v>
      </c>
      <c r="E540" s="66" t="s">
        <v>1495</v>
      </c>
      <c r="F540" s="66" t="s">
        <v>1672</v>
      </c>
      <c r="G540" s="60" t="s">
        <v>7</v>
      </c>
      <c r="H540" s="61">
        <v>0.31944444444444448</v>
      </c>
      <c r="I540" s="61">
        <v>0.31944444444444448</v>
      </c>
      <c r="J540" s="62"/>
      <c r="K540" s="63" t="s">
        <v>1722</v>
      </c>
      <c r="L540" s="64" t="s">
        <v>1198</v>
      </c>
      <c r="M540" s="64" t="s">
        <v>1495</v>
      </c>
    </row>
    <row r="541" spans="1:13" s="65" customFormat="1" ht="12" customHeight="1" x14ac:dyDescent="0.2">
      <c r="A541" s="78">
        <v>233179</v>
      </c>
      <c r="B541" s="69" t="s">
        <v>594</v>
      </c>
      <c r="C541" s="60" t="s">
        <v>1196</v>
      </c>
      <c r="D541" s="66" t="s">
        <v>1203</v>
      </c>
      <c r="E541" s="66" t="s">
        <v>1311</v>
      </c>
      <c r="F541" s="66" t="s">
        <v>1632</v>
      </c>
      <c r="G541" s="60" t="s">
        <v>7</v>
      </c>
      <c r="H541" s="61">
        <v>5.2083333333333336E-2</v>
      </c>
      <c r="I541" s="61">
        <v>5.2083333333333336E-2</v>
      </c>
      <c r="J541" s="62"/>
      <c r="K541" s="63" t="s">
        <v>1718</v>
      </c>
      <c r="L541" s="64" t="s">
        <v>1203</v>
      </c>
      <c r="M541" s="64" t="s">
        <v>1311</v>
      </c>
    </row>
    <row r="542" spans="1:13" s="65" customFormat="1" ht="12" customHeight="1" x14ac:dyDescent="0.2">
      <c r="A542" s="78">
        <v>233181</v>
      </c>
      <c r="B542" s="69" t="s">
        <v>595</v>
      </c>
      <c r="C542" s="60" t="s">
        <v>1196</v>
      </c>
      <c r="D542" s="66" t="s">
        <v>1202</v>
      </c>
      <c r="E542" s="66" t="s">
        <v>1496</v>
      </c>
      <c r="F542" s="66" t="s">
        <v>1644</v>
      </c>
      <c r="G542" s="60" t="s">
        <v>7</v>
      </c>
      <c r="H542" s="61">
        <v>0.53888888888888886</v>
      </c>
      <c r="I542" s="61">
        <v>0.53888888888888886</v>
      </c>
      <c r="J542" s="62"/>
      <c r="K542" s="63" t="s">
        <v>1723</v>
      </c>
      <c r="L542" s="64" t="s">
        <v>1202</v>
      </c>
      <c r="M542" s="64" t="s">
        <v>1496</v>
      </c>
    </row>
    <row r="543" spans="1:13" s="65" customFormat="1" ht="12" customHeight="1" x14ac:dyDescent="0.2">
      <c r="A543" s="78">
        <v>233199</v>
      </c>
      <c r="B543" s="69" t="s">
        <v>596</v>
      </c>
      <c r="C543" s="60" t="s">
        <v>1196</v>
      </c>
      <c r="D543" s="66" t="s">
        <v>1205</v>
      </c>
      <c r="E543" s="66" t="s">
        <v>1497</v>
      </c>
      <c r="F543" s="66" t="s">
        <v>1695</v>
      </c>
      <c r="G543" s="60" t="s">
        <v>8</v>
      </c>
      <c r="H543" s="61">
        <v>0.4458333333333333</v>
      </c>
      <c r="I543" s="61"/>
      <c r="J543" s="62">
        <v>0.4458333333333333</v>
      </c>
      <c r="K543" s="63" t="s">
        <v>1718</v>
      </c>
      <c r="L543" s="64" t="s">
        <v>1205</v>
      </c>
      <c r="M543" s="64" t="s">
        <v>1497</v>
      </c>
    </row>
    <row r="544" spans="1:13" s="65" customFormat="1" ht="12" customHeight="1" x14ac:dyDescent="0.2">
      <c r="A544" s="78">
        <v>233201</v>
      </c>
      <c r="B544" s="69" t="s">
        <v>597</v>
      </c>
      <c r="C544" s="60" t="s">
        <v>1196</v>
      </c>
      <c r="D544" s="66" t="s">
        <v>1198</v>
      </c>
      <c r="E544" s="66" t="s">
        <v>1365</v>
      </c>
      <c r="F544" s="66" t="s">
        <v>1672</v>
      </c>
      <c r="G544" s="60" t="s">
        <v>8</v>
      </c>
      <c r="H544" s="61">
        <v>0.19513888888888889</v>
      </c>
      <c r="I544" s="61"/>
      <c r="J544" s="62">
        <v>0.19513888888888889</v>
      </c>
      <c r="K544" s="63" t="s">
        <v>1718</v>
      </c>
      <c r="L544" s="64" t="s">
        <v>1198</v>
      </c>
      <c r="M544" s="64" t="s">
        <v>1365</v>
      </c>
    </row>
    <row r="545" spans="1:13" s="65" customFormat="1" ht="12" customHeight="1" x14ac:dyDescent="0.2">
      <c r="A545" s="78">
        <v>233202</v>
      </c>
      <c r="B545" s="69" t="s">
        <v>598</v>
      </c>
      <c r="C545" s="60" t="s">
        <v>1196</v>
      </c>
      <c r="D545" s="66" t="s">
        <v>1197</v>
      </c>
      <c r="E545" s="66" t="s">
        <v>1332</v>
      </c>
      <c r="F545" s="66" t="s">
        <v>1623</v>
      </c>
      <c r="G545" s="60" t="s">
        <v>7</v>
      </c>
      <c r="H545" s="61">
        <v>0.85138888888888886</v>
      </c>
      <c r="I545" s="61">
        <v>0.85138888888888886</v>
      </c>
      <c r="J545" s="62"/>
      <c r="K545" s="63" t="s">
        <v>1718</v>
      </c>
      <c r="L545" s="64" t="s">
        <v>1197</v>
      </c>
      <c r="M545" s="64" t="s">
        <v>1332</v>
      </c>
    </row>
    <row r="546" spans="1:13" s="65" customFormat="1" ht="12" customHeight="1" x14ac:dyDescent="0.2">
      <c r="A546" s="78">
        <v>233248</v>
      </c>
      <c r="B546" s="69" t="s">
        <v>599</v>
      </c>
      <c r="C546" s="60" t="s">
        <v>1196</v>
      </c>
      <c r="D546" s="66" t="s">
        <v>1198</v>
      </c>
      <c r="E546" s="66" t="s">
        <v>1423</v>
      </c>
      <c r="F546" s="66" t="s">
        <v>1655</v>
      </c>
      <c r="G546" s="60" t="s">
        <v>7</v>
      </c>
      <c r="H546" s="61">
        <v>0.72638888888888886</v>
      </c>
      <c r="I546" s="61">
        <v>0.72638888888888886</v>
      </c>
      <c r="J546" s="62"/>
      <c r="K546" s="63" t="s">
        <v>1723</v>
      </c>
      <c r="L546" s="64" t="s">
        <v>1198</v>
      </c>
      <c r="M546" s="64" t="s">
        <v>1423</v>
      </c>
    </row>
    <row r="547" spans="1:13" s="65" customFormat="1" ht="12" customHeight="1" x14ac:dyDescent="0.2">
      <c r="A547" s="78">
        <v>233269</v>
      </c>
      <c r="B547" s="69" t="s">
        <v>600</v>
      </c>
      <c r="C547" s="60" t="s">
        <v>1196</v>
      </c>
      <c r="D547" s="66" t="s">
        <v>1200</v>
      </c>
      <c r="E547" s="66" t="s">
        <v>1498</v>
      </c>
      <c r="F547" s="66" t="s">
        <v>1702</v>
      </c>
      <c r="G547" s="60" t="s">
        <v>8</v>
      </c>
      <c r="H547" s="61">
        <v>0.92222222222222217</v>
      </c>
      <c r="I547" s="61"/>
      <c r="J547" s="62">
        <v>0.92222222222222217</v>
      </c>
      <c r="K547" s="63" t="s">
        <v>1718</v>
      </c>
      <c r="L547" s="64" t="s">
        <v>1200</v>
      </c>
      <c r="M547" s="64" t="s">
        <v>1498</v>
      </c>
    </row>
    <row r="548" spans="1:13" s="65" customFormat="1" ht="12" customHeight="1" x14ac:dyDescent="0.2">
      <c r="A548" s="78">
        <v>233299</v>
      </c>
      <c r="B548" s="69" t="s">
        <v>601</v>
      </c>
      <c r="C548" s="60" t="s">
        <v>1196</v>
      </c>
      <c r="D548" s="66" t="s">
        <v>1202</v>
      </c>
      <c r="E548" s="66" t="s">
        <v>1499</v>
      </c>
      <c r="F548" s="66" t="s">
        <v>1693</v>
      </c>
      <c r="G548" s="60" t="s">
        <v>7</v>
      </c>
      <c r="H548" s="61">
        <v>4.4659722222222218</v>
      </c>
      <c r="I548" s="61">
        <v>4.4659722222222218</v>
      </c>
      <c r="J548" s="62"/>
      <c r="K548" s="63" t="s">
        <v>1723</v>
      </c>
      <c r="L548" s="64" t="s">
        <v>1202</v>
      </c>
      <c r="M548" s="64" t="s">
        <v>1499</v>
      </c>
    </row>
    <row r="549" spans="1:13" s="65" customFormat="1" ht="12" customHeight="1" x14ac:dyDescent="0.2">
      <c r="A549" s="78">
        <v>233302</v>
      </c>
      <c r="B549" s="69" t="s">
        <v>602</v>
      </c>
      <c r="C549" s="60" t="s">
        <v>1196</v>
      </c>
      <c r="D549" s="66" t="s">
        <v>1205</v>
      </c>
      <c r="E549" s="66" t="s">
        <v>1355</v>
      </c>
      <c r="F549" s="66" t="s">
        <v>1663</v>
      </c>
      <c r="G549" s="60" t="s">
        <v>7</v>
      </c>
      <c r="H549" s="61">
        <v>0.10902777777777778</v>
      </c>
      <c r="I549" s="61">
        <v>0.10902777777777778</v>
      </c>
      <c r="J549" s="62"/>
      <c r="K549" s="63" t="s">
        <v>1723</v>
      </c>
      <c r="L549" s="64" t="s">
        <v>1205</v>
      </c>
      <c r="M549" s="64" t="s">
        <v>1355</v>
      </c>
    </row>
    <row r="550" spans="1:13" s="65" customFormat="1" ht="12" customHeight="1" x14ac:dyDescent="0.2">
      <c r="A550" s="78">
        <v>233304</v>
      </c>
      <c r="B550" s="69" t="s">
        <v>603</v>
      </c>
      <c r="C550" s="60" t="s">
        <v>1196</v>
      </c>
      <c r="D550" s="66" t="s">
        <v>1197</v>
      </c>
      <c r="E550" s="66" t="s">
        <v>1328</v>
      </c>
      <c r="F550" s="66" t="s">
        <v>1660</v>
      </c>
      <c r="G550" s="60" t="s">
        <v>7</v>
      </c>
      <c r="H550" s="61">
        <v>5.5590277777777777</v>
      </c>
      <c r="I550" s="61">
        <v>5.5590277777777777</v>
      </c>
      <c r="J550" s="62"/>
      <c r="K550" s="63" t="s">
        <v>1718</v>
      </c>
      <c r="L550" s="64" t="s">
        <v>1197</v>
      </c>
      <c r="M550" s="64" t="s">
        <v>1328</v>
      </c>
    </row>
    <row r="551" spans="1:13" s="65" customFormat="1" ht="12" customHeight="1" x14ac:dyDescent="0.2">
      <c r="A551" s="78">
        <v>233306</v>
      </c>
      <c r="B551" s="69" t="s">
        <v>604</v>
      </c>
      <c r="C551" s="60" t="s">
        <v>1196</v>
      </c>
      <c r="D551" s="66" t="s">
        <v>1205</v>
      </c>
      <c r="E551" s="66" t="s">
        <v>1336</v>
      </c>
      <c r="F551" s="66" t="s">
        <v>1663</v>
      </c>
      <c r="G551" s="60" t="s">
        <v>8</v>
      </c>
      <c r="H551" s="61">
        <v>0.20625000000000002</v>
      </c>
      <c r="I551" s="61"/>
      <c r="J551" s="62">
        <v>0.20625000000000002</v>
      </c>
      <c r="K551" s="63" t="s">
        <v>1718</v>
      </c>
      <c r="L551" s="64" t="s">
        <v>1205</v>
      </c>
      <c r="M551" s="64" t="s">
        <v>1336</v>
      </c>
    </row>
    <row r="552" spans="1:13" s="65" customFormat="1" ht="12" customHeight="1" x14ac:dyDescent="0.2">
      <c r="A552" s="78">
        <v>233322</v>
      </c>
      <c r="B552" s="69" t="s">
        <v>605</v>
      </c>
      <c r="C552" s="60" t="s">
        <v>1196</v>
      </c>
      <c r="D552" s="66" t="s">
        <v>1202</v>
      </c>
      <c r="E552" s="66" t="s">
        <v>1325</v>
      </c>
      <c r="F552" s="66" t="s">
        <v>1659</v>
      </c>
      <c r="G552" s="60" t="s">
        <v>7</v>
      </c>
      <c r="H552" s="61">
        <v>0.48958333333333331</v>
      </c>
      <c r="I552" s="61">
        <v>0.48958333333333331</v>
      </c>
      <c r="J552" s="62"/>
      <c r="K552" s="63" t="s">
        <v>1723</v>
      </c>
      <c r="L552" s="64" t="s">
        <v>1202</v>
      </c>
      <c r="M552" s="64" t="s">
        <v>1325</v>
      </c>
    </row>
    <row r="553" spans="1:13" s="65" customFormat="1" ht="12" customHeight="1" x14ac:dyDescent="0.2">
      <c r="A553" s="78">
        <v>233350</v>
      </c>
      <c r="B553" s="69" t="s">
        <v>606</v>
      </c>
      <c r="C553" s="60" t="s">
        <v>1196</v>
      </c>
      <c r="D553" s="66" t="s">
        <v>1201</v>
      </c>
      <c r="E553" s="66" t="s">
        <v>1347</v>
      </c>
      <c r="F553" s="66" t="s">
        <v>1616</v>
      </c>
      <c r="G553" s="60" t="s">
        <v>8</v>
      </c>
      <c r="H553" s="61">
        <v>1.5645833333333332</v>
      </c>
      <c r="I553" s="61"/>
      <c r="J553" s="62">
        <v>1.5645833333333332</v>
      </c>
      <c r="K553" s="63" t="s">
        <v>1718</v>
      </c>
      <c r="L553" s="64" t="s">
        <v>1201</v>
      </c>
      <c r="M553" s="64" t="s">
        <v>1347</v>
      </c>
    </row>
    <row r="554" spans="1:13" s="65" customFormat="1" ht="12" customHeight="1" x14ac:dyDescent="0.2">
      <c r="A554" s="78">
        <v>233355</v>
      </c>
      <c r="B554" s="69" t="s">
        <v>607</v>
      </c>
      <c r="C554" s="60" t="s">
        <v>1196</v>
      </c>
      <c r="D554" s="66" t="s">
        <v>1205</v>
      </c>
      <c r="E554" s="66" t="s">
        <v>1474</v>
      </c>
      <c r="F554" s="66" t="s">
        <v>1674</v>
      </c>
      <c r="G554" s="60" t="s">
        <v>7</v>
      </c>
      <c r="H554" s="61">
        <v>1.5027777777777778</v>
      </c>
      <c r="I554" s="61">
        <v>1.5027777777777778</v>
      </c>
      <c r="J554" s="62"/>
      <c r="K554" s="63" t="s">
        <v>1718</v>
      </c>
      <c r="L554" s="64" t="s">
        <v>1205</v>
      </c>
      <c r="M554" s="64" t="s">
        <v>1474</v>
      </c>
    </row>
    <row r="555" spans="1:13" s="65" customFormat="1" ht="12" customHeight="1" x14ac:dyDescent="0.2">
      <c r="A555" s="78">
        <v>233380</v>
      </c>
      <c r="B555" s="69" t="s">
        <v>608</v>
      </c>
      <c r="C555" s="60" t="s">
        <v>1196</v>
      </c>
      <c r="D555" s="66" t="s">
        <v>1205</v>
      </c>
      <c r="E555" s="66" t="s">
        <v>1396</v>
      </c>
      <c r="F555" s="66" t="s">
        <v>1682</v>
      </c>
      <c r="G555" s="60" t="s">
        <v>7</v>
      </c>
      <c r="H555" s="61">
        <v>0.44166666666666665</v>
      </c>
      <c r="I555" s="61">
        <v>0.44166666666666665</v>
      </c>
      <c r="J555" s="62"/>
      <c r="K555" s="63" t="s">
        <v>1718</v>
      </c>
      <c r="L555" s="64" t="s">
        <v>1205</v>
      </c>
      <c r="M555" s="64" t="s">
        <v>1396</v>
      </c>
    </row>
    <row r="556" spans="1:13" s="65" customFormat="1" ht="12" customHeight="1" x14ac:dyDescent="0.2">
      <c r="A556" s="78">
        <v>233411</v>
      </c>
      <c r="B556" s="69" t="s">
        <v>609</v>
      </c>
      <c r="C556" s="60" t="s">
        <v>1196</v>
      </c>
      <c r="D556" s="66" t="s">
        <v>1201</v>
      </c>
      <c r="E556" s="66" t="s">
        <v>1441</v>
      </c>
      <c r="F556" s="66" t="s">
        <v>1697</v>
      </c>
      <c r="G556" s="60" t="s">
        <v>7</v>
      </c>
      <c r="H556" s="61">
        <v>4.7791666666666668</v>
      </c>
      <c r="I556" s="61">
        <v>4.7791666666666668</v>
      </c>
      <c r="J556" s="62"/>
      <c r="K556" s="63" t="s">
        <v>1718</v>
      </c>
      <c r="L556" s="64" t="s">
        <v>1201</v>
      </c>
      <c r="M556" s="64" t="s">
        <v>1441</v>
      </c>
    </row>
    <row r="557" spans="1:13" s="65" customFormat="1" ht="12" customHeight="1" x14ac:dyDescent="0.2">
      <c r="A557" s="78">
        <v>233434</v>
      </c>
      <c r="B557" s="69" t="s">
        <v>610</v>
      </c>
      <c r="C557" s="60" t="s">
        <v>1196</v>
      </c>
      <c r="D557" s="66" t="s">
        <v>1205</v>
      </c>
      <c r="E557" s="66" t="s">
        <v>1415</v>
      </c>
      <c r="F557" s="66" t="s">
        <v>1683</v>
      </c>
      <c r="G557" s="60" t="s">
        <v>7</v>
      </c>
      <c r="H557" s="61">
        <v>1.6076388888888888</v>
      </c>
      <c r="I557" s="61">
        <v>1.6076388888888888</v>
      </c>
      <c r="J557" s="62"/>
      <c r="K557" s="63" t="s">
        <v>1718</v>
      </c>
      <c r="L557" s="64" t="s">
        <v>1205</v>
      </c>
      <c r="M557" s="64" t="s">
        <v>1415</v>
      </c>
    </row>
    <row r="558" spans="1:13" s="65" customFormat="1" ht="12" customHeight="1" x14ac:dyDescent="0.2">
      <c r="A558" s="78">
        <v>233436</v>
      </c>
      <c r="B558" s="69" t="s">
        <v>611</v>
      </c>
      <c r="C558" s="60" t="s">
        <v>1196</v>
      </c>
      <c r="D558" s="66" t="s">
        <v>1205</v>
      </c>
      <c r="E558" s="66" t="s">
        <v>1324</v>
      </c>
      <c r="F558" s="66" t="s">
        <v>1658</v>
      </c>
      <c r="G558" s="60" t="s">
        <v>8</v>
      </c>
      <c r="H558" s="61">
        <v>5.6250000000000001E-2</v>
      </c>
      <c r="I558" s="61"/>
      <c r="J558" s="62">
        <v>5.6250000000000001E-2</v>
      </c>
      <c r="K558" s="63" t="s">
        <v>1718</v>
      </c>
      <c r="L558" s="64" t="s">
        <v>1205</v>
      </c>
      <c r="M558" s="64" t="s">
        <v>1324</v>
      </c>
    </row>
    <row r="559" spans="1:13" s="65" customFormat="1" ht="12" customHeight="1" x14ac:dyDescent="0.2">
      <c r="A559" s="78">
        <v>233445</v>
      </c>
      <c r="B559" s="69" t="s">
        <v>612</v>
      </c>
      <c r="C559" s="60" t="s">
        <v>1196</v>
      </c>
      <c r="D559" s="66" t="s">
        <v>1198</v>
      </c>
      <c r="E559" s="66" t="s">
        <v>1500</v>
      </c>
      <c r="F559" s="66" t="s">
        <v>1649</v>
      </c>
      <c r="G559" s="60" t="s">
        <v>8</v>
      </c>
      <c r="H559" s="61">
        <v>0.95972222222222225</v>
      </c>
      <c r="I559" s="61"/>
      <c r="J559" s="62">
        <v>0.95972222222222225</v>
      </c>
      <c r="K559" s="63" t="s">
        <v>1718</v>
      </c>
      <c r="L559" s="64" t="s">
        <v>1198</v>
      </c>
      <c r="M559" s="64" t="s">
        <v>1500</v>
      </c>
    </row>
    <row r="560" spans="1:13" s="65" customFormat="1" ht="12" customHeight="1" x14ac:dyDescent="0.2">
      <c r="A560" s="78">
        <v>233457</v>
      </c>
      <c r="B560" s="69" t="s">
        <v>613</v>
      </c>
      <c r="C560" s="60" t="s">
        <v>1196</v>
      </c>
      <c r="D560" s="66" t="s">
        <v>1205</v>
      </c>
      <c r="E560" s="66" t="s">
        <v>1415</v>
      </c>
      <c r="F560" s="66" t="s">
        <v>1683</v>
      </c>
      <c r="G560" s="60" t="s">
        <v>7</v>
      </c>
      <c r="H560" s="61">
        <v>3.7444444444444445</v>
      </c>
      <c r="I560" s="61">
        <v>3.7444444444444445</v>
      </c>
      <c r="J560" s="62"/>
      <c r="K560" s="63" t="s">
        <v>1718</v>
      </c>
      <c r="L560" s="64" t="s">
        <v>1205</v>
      </c>
      <c r="M560" s="64" t="s">
        <v>1415</v>
      </c>
    </row>
    <row r="561" spans="1:13" s="65" customFormat="1" ht="12" customHeight="1" x14ac:dyDescent="0.2">
      <c r="A561" s="78">
        <v>233460</v>
      </c>
      <c r="B561" s="69" t="s">
        <v>614</v>
      </c>
      <c r="C561" s="60" t="s">
        <v>1196</v>
      </c>
      <c r="D561" s="66" t="s">
        <v>1198</v>
      </c>
      <c r="E561" s="66" t="s">
        <v>1365</v>
      </c>
      <c r="F561" s="66" t="s">
        <v>1672</v>
      </c>
      <c r="G561" s="60" t="s">
        <v>7</v>
      </c>
      <c r="H561" s="61">
        <v>0.3888888888888889</v>
      </c>
      <c r="I561" s="61">
        <v>0.3888888888888889</v>
      </c>
      <c r="J561" s="62"/>
      <c r="K561" s="63" t="s">
        <v>1718</v>
      </c>
      <c r="L561" s="64" t="s">
        <v>1198</v>
      </c>
      <c r="M561" s="64" t="s">
        <v>1365</v>
      </c>
    </row>
    <row r="562" spans="1:13" s="65" customFormat="1" ht="12" customHeight="1" x14ac:dyDescent="0.2">
      <c r="A562" s="78">
        <v>233464</v>
      </c>
      <c r="B562" s="69" t="s">
        <v>615</v>
      </c>
      <c r="C562" s="60" t="s">
        <v>1196</v>
      </c>
      <c r="D562" s="66" t="s">
        <v>1198</v>
      </c>
      <c r="E562" s="66" t="s">
        <v>1320</v>
      </c>
      <c r="F562" s="66" t="s">
        <v>1655</v>
      </c>
      <c r="G562" s="60" t="s">
        <v>7</v>
      </c>
      <c r="H562" s="61">
        <v>0.1763888888888889</v>
      </c>
      <c r="I562" s="61">
        <v>0.1763888888888889</v>
      </c>
      <c r="J562" s="62"/>
      <c r="K562" s="63" t="s">
        <v>1718</v>
      </c>
      <c r="L562" s="64" t="s">
        <v>1198</v>
      </c>
      <c r="M562" s="64" t="s">
        <v>1320</v>
      </c>
    </row>
    <row r="563" spans="1:13" s="65" customFormat="1" ht="12" customHeight="1" x14ac:dyDescent="0.2">
      <c r="A563" s="78">
        <v>233465</v>
      </c>
      <c r="B563" s="69" t="s">
        <v>616</v>
      </c>
      <c r="C563" s="60" t="s">
        <v>1196</v>
      </c>
      <c r="D563" s="66" t="s">
        <v>1198</v>
      </c>
      <c r="E563" s="66" t="s">
        <v>1320</v>
      </c>
      <c r="F563" s="66" t="s">
        <v>1655</v>
      </c>
      <c r="G563" s="60" t="s">
        <v>8</v>
      </c>
      <c r="H563" s="61">
        <v>0.22777777777777777</v>
      </c>
      <c r="I563" s="61"/>
      <c r="J563" s="62">
        <v>0.22777777777777777</v>
      </c>
      <c r="K563" s="63" t="s">
        <v>1718</v>
      </c>
      <c r="L563" s="64" t="s">
        <v>1198</v>
      </c>
      <c r="M563" s="64" t="s">
        <v>1320</v>
      </c>
    </row>
    <row r="564" spans="1:13" s="65" customFormat="1" ht="12" customHeight="1" x14ac:dyDescent="0.2">
      <c r="A564" s="78">
        <v>233466</v>
      </c>
      <c r="B564" s="69" t="s">
        <v>617</v>
      </c>
      <c r="C564" s="60" t="s">
        <v>1196</v>
      </c>
      <c r="D564" s="66" t="s">
        <v>1203</v>
      </c>
      <c r="E564" s="66" t="s">
        <v>1279</v>
      </c>
      <c r="F564" s="66" t="s">
        <v>1633</v>
      </c>
      <c r="G564" s="60" t="s">
        <v>7</v>
      </c>
      <c r="H564" s="61">
        <v>1.5256944444444445</v>
      </c>
      <c r="I564" s="61">
        <v>1.5256944444444445</v>
      </c>
      <c r="J564" s="62"/>
      <c r="K564" s="63" t="s">
        <v>1724</v>
      </c>
      <c r="L564" s="64" t="s">
        <v>1203</v>
      </c>
      <c r="M564" s="64" t="s">
        <v>1279</v>
      </c>
    </row>
    <row r="565" spans="1:13" s="65" customFormat="1" ht="12" customHeight="1" x14ac:dyDescent="0.2">
      <c r="A565" s="78">
        <v>233500</v>
      </c>
      <c r="B565" s="69" t="s">
        <v>618</v>
      </c>
      <c r="C565" s="60" t="s">
        <v>1196</v>
      </c>
      <c r="D565" s="66" t="s">
        <v>1200</v>
      </c>
      <c r="E565" s="66" t="s">
        <v>1419</v>
      </c>
      <c r="F565" s="66" t="s">
        <v>1588</v>
      </c>
      <c r="G565" s="60" t="s">
        <v>8</v>
      </c>
      <c r="H565" s="61">
        <v>1.1194444444444445</v>
      </c>
      <c r="I565" s="61"/>
      <c r="J565" s="62">
        <v>1.1194444444444445</v>
      </c>
      <c r="K565" s="63" t="s">
        <v>1723</v>
      </c>
      <c r="L565" s="64" t="s">
        <v>1200</v>
      </c>
      <c r="M565" s="64" t="s">
        <v>1419</v>
      </c>
    </row>
    <row r="566" spans="1:13" s="65" customFormat="1" ht="12" customHeight="1" x14ac:dyDescent="0.2">
      <c r="A566" s="78">
        <v>233511</v>
      </c>
      <c r="B566" s="69" t="s">
        <v>619</v>
      </c>
      <c r="C566" s="60" t="s">
        <v>1196</v>
      </c>
      <c r="D566" s="66" t="s">
        <v>1199</v>
      </c>
      <c r="E566" s="66" t="s">
        <v>1296</v>
      </c>
      <c r="F566" s="66" t="s">
        <v>1645</v>
      </c>
      <c r="G566" s="60" t="s">
        <v>7</v>
      </c>
      <c r="H566" s="61">
        <v>0.4993055555555555</v>
      </c>
      <c r="I566" s="61">
        <v>0.4993055555555555</v>
      </c>
      <c r="J566" s="62"/>
      <c r="K566" s="63" t="s">
        <v>1724</v>
      </c>
      <c r="L566" s="64" t="s">
        <v>1199</v>
      </c>
      <c r="M566" s="64" t="s">
        <v>1296</v>
      </c>
    </row>
    <row r="567" spans="1:13" s="65" customFormat="1" ht="12" customHeight="1" x14ac:dyDescent="0.2">
      <c r="A567" s="78">
        <v>233524</v>
      </c>
      <c r="B567" s="69" t="s">
        <v>620</v>
      </c>
      <c r="C567" s="60" t="s">
        <v>1196</v>
      </c>
      <c r="D567" s="66" t="s">
        <v>1201</v>
      </c>
      <c r="E567" s="66" t="s">
        <v>1333</v>
      </c>
      <c r="F567" s="66" t="s">
        <v>1661</v>
      </c>
      <c r="G567" s="60" t="s">
        <v>7</v>
      </c>
      <c r="H567" s="61">
        <v>8.0687499999999996</v>
      </c>
      <c r="I567" s="61">
        <v>8.0687499999999996</v>
      </c>
      <c r="J567" s="62"/>
      <c r="K567" s="63" t="s">
        <v>1718</v>
      </c>
      <c r="L567" s="64" t="s">
        <v>1201</v>
      </c>
      <c r="M567" s="64" t="s">
        <v>1333</v>
      </c>
    </row>
    <row r="568" spans="1:13" s="65" customFormat="1" ht="12" customHeight="1" x14ac:dyDescent="0.2">
      <c r="A568" s="78">
        <v>233554</v>
      </c>
      <c r="B568" s="69" t="s">
        <v>621</v>
      </c>
      <c r="C568" s="60" t="s">
        <v>1196</v>
      </c>
      <c r="D568" s="66" t="s">
        <v>1198</v>
      </c>
      <c r="E568" s="66" t="s">
        <v>1365</v>
      </c>
      <c r="F568" s="66" t="s">
        <v>1672</v>
      </c>
      <c r="G568" s="60" t="s">
        <v>7</v>
      </c>
      <c r="H568" s="61">
        <v>0.15416666666666667</v>
      </c>
      <c r="I568" s="61">
        <v>0.15416666666666667</v>
      </c>
      <c r="J568" s="62"/>
      <c r="K568" s="63" t="s">
        <v>1718</v>
      </c>
      <c r="L568" s="64" t="s">
        <v>1198</v>
      </c>
      <c r="M568" s="64" t="s">
        <v>1365</v>
      </c>
    </row>
    <row r="569" spans="1:13" s="65" customFormat="1" ht="12" customHeight="1" x14ac:dyDescent="0.2">
      <c r="A569" s="78">
        <v>233559</v>
      </c>
      <c r="B569" s="69" t="s">
        <v>622</v>
      </c>
      <c r="C569" s="60" t="s">
        <v>1196</v>
      </c>
      <c r="D569" s="66" t="s">
        <v>1204</v>
      </c>
      <c r="E569" s="66" t="s">
        <v>1259</v>
      </c>
      <c r="F569" s="66" t="s">
        <v>1621</v>
      </c>
      <c r="G569" s="60" t="s">
        <v>8</v>
      </c>
      <c r="H569" s="61">
        <v>0.76388888888888884</v>
      </c>
      <c r="I569" s="61"/>
      <c r="J569" s="62">
        <v>0.76388888888888884</v>
      </c>
      <c r="K569" s="63" t="s">
        <v>1723</v>
      </c>
      <c r="L569" s="64" t="s">
        <v>1204</v>
      </c>
      <c r="M569" s="64" t="s">
        <v>1259</v>
      </c>
    </row>
    <row r="570" spans="1:13" s="65" customFormat="1" ht="12" customHeight="1" x14ac:dyDescent="0.2">
      <c r="A570" s="78">
        <v>233564</v>
      </c>
      <c r="B570" s="69" t="s">
        <v>623</v>
      </c>
      <c r="C570" s="60" t="s">
        <v>1196</v>
      </c>
      <c r="D570" s="66" t="s">
        <v>1200</v>
      </c>
      <c r="E570" s="66" t="s">
        <v>1375</v>
      </c>
      <c r="F570" s="66" t="s">
        <v>1677</v>
      </c>
      <c r="G570" s="60" t="s">
        <v>8</v>
      </c>
      <c r="H570" s="61">
        <v>0.67361111111111116</v>
      </c>
      <c r="I570" s="61"/>
      <c r="J570" s="62">
        <v>0.67361111111111116</v>
      </c>
      <c r="K570" s="63" t="s">
        <v>1718</v>
      </c>
      <c r="L570" s="64" t="s">
        <v>1200</v>
      </c>
      <c r="M570" s="64" t="s">
        <v>1375</v>
      </c>
    </row>
    <row r="571" spans="1:13" s="65" customFormat="1" ht="12" customHeight="1" x14ac:dyDescent="0.2">
      <c r="A571" s="78">
        <v>233565</v>
      </c>
      <c r="B571" s="69" t="s">
        <v>624</v>
      </c>
      <c r="C571" s="60" t="s">
        <v>1196</v>
      </c>
      <c r="D571" s="66" t="s">
        <v>1199</v>
      </c>
      <c r="E571" s="66" t="s">
        <v>1307</v>
      </c>
      <c r="F571" s="66" t="s">
        <v>1596</v>
      </c>
      <c r="G571" s="60" t="s">
        <v>7</v>
      </c>
      <c r="H571" s="61">
        <v>2.5486111111111112</v>
      </c>
      <c r="I571" s="61">
        <v>2.5486111111111112</v>
      </c>
      <c r="J571" s="62"/>
      <c r="K571" s="63" t="s">
        <v>1718</v>
      </c>
      <c r="L571" s="64" t="s">
        <v>1199</v>
      </c>
      <c r="M571" s="64" t="s">
        <v>1307</v>
      </c>
    </row>
    <row r="572" spans="1:13" s="65" customFormat="1" ht="12" customHeight="1" x14ac:dyDescent="0.2">
      <c r="A572" s="78">
        <v>233576</v>
      </c>
      <c r="B572" s="69" t="s">
        <v>625</v>
      </c>
      <c r="C572" s="60" t="s">
        <v>1196</v>
      </c>
      <c r="D572" s="66" t="s">
        <v>1205</v>
      </c>
      <c r="E572" s="66" t="s">
        <v>1378</v>
      </c>
      <c r="F572" s="66" t="s">
        <v>1676</v>
      </c>
      <c r="G572" s="60" t="s">
        <v>8</v>
      </c>
      <c r="H572" s="61">
        <v>1.3888888888888888E-2</v>
      </c>
      <c r="I572" s="61"/>
      <c r="J572" s="62">
        <v>1.3888888888888888E-2</v>
      </c>
      <c r="K572" s="63" t="s">
        <v>1723</v>
      </c>
      <c r="L572" s="64" t="s">
        <v>1205</v>
      </c>
      <c r="M572" s="64" t="s">
        <v>1378</v>
      </c>
    </row>
    <row r="573" spans="1:13" s="65" customFormat="1" ht="12" customHeight="1" x14ac:dyDescent="0.2">
      <c r="A573" s="78">
        <v>233584</v>
      </c>
      <c r="B573" s="69" t="s">
        <v>626</v>
      </c>
      <c r="C573" s="60" t="s">
        <v>1196</v>
      </c>
      <c r="D573" s="66" t="s">
        <v>1205</v>
      </c>
      <c r="E573" s="66" t="s">
        <v>1373</v>
      </c>
      <c r="F573" s="66" t="s">
        <v>1676</v>
      </c>
      <c r="G573" s="60" t="s">
        <v>8</v>
      </c>
      <c r="H573" s="61">
        <v>0.69652777777777775</v>
      </c>
      <c r="I573" s="61"/>
      <c r="J573" s="62">
        <v>0.69652777777777775</v>
      </c>
      <c r="K573" s="63" t="s">
        <v>1718</v>
      </c>
      <c r="L573" s="64" t="s">
        <v>1205</v>
      </c>
      <c r="M573" s="64" t="s">
        <v>1373</v>
      </c>
    </row>
    <row r="574" spans="1:13" s="65" customFormat="1" ht="12" customHeight="1" x14ac:dyDescent="0.2">
      <c r="A574" s="78">
        <v>233600</v>
      </c>
      <c r="B574" s="69" t="s">
        <v>627</v>
      </c>
      <c r="C574" s="60" t="s">
        <v>1196</v>
      </c>
      <c r="D574" s="66" t="s">
        <v>1205</v>
      </c>
      <c r="E574" s="66" t="s">
        <v>1349</v>
      </c>
      <c r="F574" s="66" t="s">
        <v>1668</v>
      </c>
      <c r="G574" s="60" t="s">
        <v>8</v>
      </c>
      <c r="H574" s="61">
        <v>0.76388888888888884</v>
      </c>
      <c r="I574" s="61"/>
      <c r="J574" s="62">
        <v>0.76388888888888884</v>
      </c>
      <c r="K574" s="63" t="s">
        <v>1723</v>
      </c>
      <c r="L574" s="64" t="s">
        <v>1205</v>
      </c>
      <c r="M574" s="64" t="s">
        <v>1349</v>
      </c>
    </row>
    <row r="575" spans="1:13" s="65" customFormat="1" ht="12" customHeight="1" x14ac:dyDescent="0.2">
      <c r="A575" s="78">
        <v>233601</v>
      </c>
      <c r="B575" s="69" t="s">
        <v>628</v>
      </c>
      <c r="C575" s="60" t="s">
        <v>1196</v>
      </c>
      <c r="D575" s="66" t="s">
        <v>1200</v>
      </c>
      <c r="E575" s="66" t="s">
        <v>1271</v>
      </c>
      <c r="F575" s="66" t="s">
        <v>1627</v>
      </c>
      <c r="G575" s="60" t="s">
        <v>7</v>
      </c>
      <c r="H575" s="61">
        <v>0.74583333333333324</v>
      </c>
      <c r="I575" s="61">
        <v>0.74583333333333324</v>
      </c>
      <c r="J575" s="62"/>
      <c r="K575" s="63" t="s">
        <v>1723</v>
      </c>
      <c r="L575" s="64" t="s">
        <v>1200</v>
      </c>
      <c r="M575" s="64" t="s">
        <v>1271</v>
      </c>
    </row>
    <row r="576" spans="1:13" s="65" customFormat="1" ht="12" customHeight="1" x14ac:dyDescent="0.2">
      <c r="A576" s="78">
        <v>233618</v>
      </c>
      <c r="B576" s="69" t="s">
        <v>629</v>
      </c>
      <c r="C576" s="60" t="s">
        <v>1196</v>
      </c>
      <c r="D576" s="66" t="s">
        <v>1203</v>
      </c>
      <c r="E576" s="66" t="s">
        <v>1356</v>
      </c>
      <c r="F576" s="66" t="s">
        <v>1638</v>
      </c>
      <c r="G576" s="60" t="s">
        <v>8</v>
      </c>
      <c r="H576" s="61">
        <v>0.50902777777777775</v>
      </c>
      <c r="I576" s="61"/>
      <c r="J576" s="62">
        <v>0.50902777777777775</v>
      </c>
      <c r="K576" s="63" t="s">
        <v>1718</v>
      </c>
      <c r="L576" s="64" t="s">
        <v>1203</v>
      </c>
      <c r="M576" s="64" t="s">
        <v>1356</v>
      </c>
    </row>
    <row r="577" spans="1:13" s="65" customFormat="1" ht="12" customHeight="1" x14ac:dyDescent="0.2">
      <c r="A577" s="78">
        <v>233628</v>
      </c>
      <c r="B577" s="69" t="s">
        <v>630</v>
      </c>
      <c r="C577" s="60" t="s">
        <v>1196</v>
      </c>
      <c r="D577" s="66" t="s">
        <v>1204</v>
      </c>
      <c r="E577" s="66" t="s">
        <v>1418</v>
      </c>
      <c r="F577" s="66" t="s">
        <v>1621</v>
      </c>
      <c r="G577" s="60" t="s">
        <v>7</v>
      </c>
      <c r="H577" s="61">
        <v>3.7631944444444443</v>
      </c>
      <c r="I577" s="61">
        <v>3.7631944444444443</v>
      </c>
      <c r="J577" s="62"/>
      <c r="K577" s="63" t="s">
        <v>1718</v>
      </c>
      <c r="L577" s="64" t="s">
        <v>1204</v>
      </c>
      <c r="M577" s="64" t="s">
        <v>1418</v>
      </c>
    </row>
    <row r="578" spans="1:13" s="65" customFormat="1" ht="12" customHeight="1" x14ac:dyDescent="0.2">
      <c r="A578" s="78">
        <v>233634</v>
      </c>
      <c r="B578" s="69" t="s">
        <v>631</v>
      </c>
      <c r="C578" s="60" t="s">
        <v>1196</v>
      </c>
      <c r="D578" s="66" t="s">
        <v>1204</v>
      </c>
      <c r="E578" s="66" t="s">
        <v>1394</v>
      </c>
      <c r="F578" s="66" t="s">
        <v>1681</v>
      </c>
      <c r="G578" s="60" t="s">
        <v>8</v>
      </c>
      <c r="H578" s="61">
        <v>0.59166666666666667</v>
      </c>
      <c r="I578" s="61"/>
      <c r="J578" s="62">
        <v>0.59166666666666667</v>
      </c>
      <c r="K578" s="63" t="s">
        <v>1718</v>
      </c>
      <c r="L578" s="64" t="s">
        <v>1204</v>
      </c>
      <c r="M578" s="64" t="s">
        <v>1394</v>
      </c>
    </row>
    <row r="579" spans="1:13" s="65" customFormat="1" ht="12" customHeight="1" x14ac:dyDescent="0.2">
      <c r="A579" s="78">
        <v>233635</v>
      </c>
      <c r="B579" s="69" t="s">
        <v>632</v>
      </c>
      <c r="C579" s="60" t="s">
        <v>1196</v>
      </c>
      <c r="D579" s="66" t="s">
        <v>1205</v>
      </c>
      <c r="E579" s="66" t="s">
        <v>1470</v>
      </c>
      <c r="F579" s="66" t="s">
        <v>1668</v>
      </c>
      <c r="G579" s="60" t="s">
        <v>7</v>
      </c>
      <c r="H579" s="61">
        <v>0.26666666666666666</v>
      </c>
      <c r="I579" s="61">
        <v>0.26666666666666666</v>
      </c>
      <c r="J579" s="62"/>
      <c r="K579" s="63" t="s">
        <v>1718</v>
      </c>
      <c r="L579" s="64" t="s">
        <v>1205</v>
      </c>
      <c r="M579" s="64" t="s">
        <v>1470</v>
      </c>
    </row>
    <row r="580" spans="1:13" s="65" customFormat="1" ht="12" customHeight="1" x14ac:dyDescent="0.2">
      <c r="A580" s="78">
        <v>233698</v>
      </c>
      <c r="B580" s="69" t="s">
        <v>633</v>
      </c>
      <c r="C580" s="60" t="s">
        <v>1196</v>
      </c>
      <c r="D580" s="66" t="s">
        <v>1205</v>
      </c>
      <c r="E580" s="66" t="s">
        <v>1470</v>
      </c>
      <c r="F580" s="66" t="s">
        <v>1668</v>
      </c>
      <c r="G580" s="60" t="s">
        <v>8</v>
      </c>
      <c r="H580" s="61">
        <v>5.6250000000000001E-2</v>
      </c>
      <c r="I580" s="61"/>
      <c r="J580" s="62">
        <v>5.6250000000000001E-2</v>
      </c>
      <c r="K580" s="63" t="s">
        <v>1718</v>
      </c>
      <c r="L580" s="64" t="s">
        <v>1205</v>
      </c>
      <c r="M580" s="64" t="s">
        <v>1470</v>
      </c>
    </row>
    <row r="581" spans="1:13" s="65" customFormat="1" ht="12" customHeight="1" x14ac:dyDescent="0.2">
      <c r="A581" s="78">
        <v>233706</v>
      </c>
      <c r="B581" s="69" t="s">
        <v>634</v>
      </c>
      <c r="C581" s="60" t="s">
        <v>1196</v>
      </c>
      <c r="D581" s="66" t="s">
        <v>1202</v>
      </c>
      <c r="E581" s="66" t="s">
        <v>1374</v>
      </c>
      <c r="F581" s="66" t="s">
        <v>1617</v>
      </c>
      <c r="G581" s="60" t="s">
        <v>8</v>
      </c>
      <c r="H581" s="61">
        <v>0.42708333333333331</v>
      </c>
      <c r="I581" s="61"/>
      <c r="J581" s="62">
        <v>0.42708333333333331</v>
      </c>
      <c r="K581" s="63" t="s">
        <v>1718</v>
      </c>
      <c r="L581" s="64" t="s">
        <v>1202</v>
      </c>
      <c r="M581" s="64" t="s">
        <v>1374</v>
      </c>
    </row>
    <row r="582" spans="1:13" s="65" customFormat="1" ht="12" customHeight="1" x14ac:dyDescent="0.2">
      <c r="A582" s="78">
        <v>233730</v>
      </c>
      <c r="B582" s="69" t="s">
        <v>635</v>
      </c>
      <c r="C582" s="60" t="s">
        <v>1196</v>
      </c>
      <c r="D582" s="66" t="s">
        <v>1203</v>
      </c>
      <c r="E582" s="66" t="s">
        <v>1318</v>
      </c>
      <c r="F582" s="66" t="s">
        <v>1633</v>
      </c>
      <c r="G582" s="60" t="s">
        <v>7</v>
      </c>
      <c r="H582" s="61">
        <v>0.24236111111111111</v>
      </c>
      <c r="I582" s="61">
        <v>0.24236111111111111</v>
      </c>
      <c r="J582" s="62"/>
      <c r="K582" s="63" t="s">
        <v>1718</v>
      </c>
      <c r="L582" s="64" t="s">
        <v>1203</v>
      </c>
      <c r="M582" s="64" t="s">
        <v>1318</v>
      </c>
    </row>
    <row r="583" spans="1:13" s="65" customFormat="1" ht="12" customHeight="1" x14ac:dyDescent="0.2">
      <c r="A583" s="78">
        <v>233740</v>
      </c>
      <c r="B583" s="69" t="s">
        <v>636</v>
      </c>
      <c r="C583" s="60" t="s">
        <v>1196</v>
      </c>
      <c r="D583" s="66" t="s">
        <v>1202</v>
      </c>
      <c r="E583" s="66" t="s">
        <v>1422</v>
      </c>
      <c r="F583" s="66" t="s">
        <v>1684</v>
      </c>
      <c r="G583" s="60" t="s">
        <v>7</v>
      </c>
      <c r="H583" s="61">
        <v>6.7361111111111108E-2</v>
      </c>
      <c r="I583" s="61">
        <v>6.7361111111111108E-2</v>
      </c>
      <c r="J583" s="62"/>
      <c r="K583" s="63" t="s">
        <v>1718</v>
      </c>
      <c r="L583" s="64" t="s">
        <v>1202</v>
      </c>
      <c r="M583" s="64" t="s">
        <v>1422</v>
      </c>
    </row>
    <row r="584" spans="1:13" s="65" customFormat="1" ht="12" customHeight="1" x14ac:dyDescent="0.2">
      <c r="A584" s="78">
        <v>233747</v>
      </c>
      <c r="B584" s="69" t="s">
        <v>637</v>
      </c>
      <c r="C584" s="60" t="s">
        <v>1196</v>
      </c>
      <c r="D584" s="66" t="s">
        <v>1203</v>
      </c>
      <c r="E584" s="66" t="s">
        <v>1251</v>
      </c>
      <c r="F584" s="66" t="s">
        <v>1615</v>
      </c>
      <c r="G584" s="60" t="s">
        <v>7</v>
      </c>
      <c r="H584" s="61">
        <v>0.3</v>
      </c>
      <c r="I584" s="61">
        <v>0.3</v>
      </c>
      <c r="J584" s="62"/>
      <c r="K584" s="63" t="s">
        <v>1722</v>
      </c>
      <c r="L584" s="64" t="s">
        <v>1203</v>
      </c>
      <c r="M584" s="64" t="s">
        <v>1251</v>
      </c>
    </row>
    <row r="585" spans="1:13" s="65" customFormat="1" ht="12" customHeight="1" x14ac:dyDescent="0.2">
      <c r="A585" s="78">
        <v>233786</v>
      </c>
      <c r="B585" s="69" t="s">
        <v>638</v>
      </c>
      <c r="C585" s="60" t="s">
        <v>1196</v>
      </c>
      <c r="D585" s="66" t="s">
        <v>1201</v>
      </c>
      <c r="E585" s="66" t="s">
        <v>1347</v>
      </c>
      <c r="F585" s="66" t="s">
        <v>1616</v>
      </c>
      <c r="G585" s="60" t="s">
        <v>8</v>
      </c>
      <c r="H585" s="61">
        <v>0.92361111111111116</v>
      </c>
      <c r="I585" s="61"/>
      <c r="J585" s="62">
        <v>0.92361111111111116</v>
      </c>
      <c r="K585" s="63" t="s">
        <v>1718</v>
      </c>
      <c r="L585" s="64" t="s">
        <v>1201</v>
      </c>
      <c r="M585" s="64" t="s">
        <v>1347</v>
      </c>
    </row>
    <row r="586" spans="1:13" s="65" customFormat="1" ht="12" customHeight="1" x14ac:dyDescent="0.2">
      <c r="A586" s="78">
        <v>233795</v>
      </c>
      <c r="B586" s="69" t="s">
        <v>639</v>
      </c>
      <c r="C586" s="60" t="s">
        <v>1196</v>
      </c>
      <c r="D586" s="66" t="s">
        <v>1199</v>
      </c>
      <c r="E586" s="66" t="s">
        <v>1281</v>
      </c>
      <c r="F586" s="66" t="s">
        <v>1635</v>
      </c>
      <c r="G586" s="60" t="s">
        <v>7</v>
      </c>
      <c r="H586" s="61">
        <v>2.6451388888888889</v>
      </c>
      <c r="I586" s="61">
        <v>2.6451388888888889</v>
      </c>
      <c r="J586" s="62"/>
      <c r="K586" s="63" t="s">
        <v>1724</v>
      </c>
      <c r="L586" s="64" t="s">
        <v>1199</v>
      </c>
      <c r="M586" s="64" t="s">
        <v>1281</v>
      </c>
    </row>
    <row r="587" spans="1:13" s="65" customFormat="1" ht="12" customHeight="1" x14ac:dyDescent="0.2">
      <c r="A587" s="78">
        <v>233797</v>
      </c>
      <c r="B587" s="69" t="s">
        <v>640</v>
      </c>
      <c r="C587" s="60" t="s">
        <v>1196</v>
      </c>
      <c r="D587" s="66" t="s">
        <v>1202</v>
      </c>
      <c r="E587" s="66" t="s">
        <v>1364</v>
      </c>
      <c r="F587" s="66" t="s">
        <v>1671</v>
      </c>
      <c r="G587" s="60" t="s">
        <v>7</v>
      </c>
      <c r="H587" s="61">
        <v>3.5645833333333332</v>
      </c>
      <c r="I587" s="61">
        <v>3.5645833333333332</v>
      </c>
      <c r="J587" s="62"/>
      <c r="K587" s="63" t="s">
        <v>1723</v>
      </c>
      <c r="L587" s="64" t="s">
        <v>1202</v>
      </c>
      <c r="M587" s="64" t="s">
        <v>1364</v>
      </c>
    </row>
    <row r="588" spans="1:13" s="65" customFormat="1" ht="12" customHeight="1" x14ac:dyDescent="0.2">
      <c r="A588" s="78">
        <v>233799</v>
      </c>
      <c r="B588" s="69" t="s">
        <v>641</v>
      </c>
      <c r="C588" s="60" t="s">
        <v>1196</v>
      </c>
      <c r="D588" s="66" t="s">
        <v>1205</v>
      </c>
      <c r="E588" s="66" t="s">
        <v>1501</v>
      </c>
      <c r="F588" s="66" t="s">
        <v>1594</v>
      </c>
      <c r="G588" s="60" t="s">
        <v>8</v>
      </c>
      <c r="H588" s="61">
        <v>0.6645833333333333</v>
      </c>
      <c r="I588" s="61"/>
      <c r="J588" s="62">
        <v>0.6645833333333333</v>
      </c>
      <c r="K588" s="63" t="s">
        <v>1720</v>
      </c>
      <c r="L588" s="64" t="s">
        <v>1205</v>
      </c>
      <c r="M588" s="64" t="s">
        <v>1501</v>
      </c>
    </row>
    <row r="589" spans="1:13" s="65" customFormat="1" ht="12" customHeight="1" x14ac:dyDescent="0.2">
      <c r="A589" s="78">
        <v>233835</v>
      </c>
      <c r="B589" s="69" t="s">
        <v>642</v>
      </c>
      <c r="C589" s="60" t="s">
        <v>1196</v>
      </c>
      <c r="D589" s="66" t="s">
        <v>1201</v>
      </c>
      <c r="E589" s="66" t="s">
        <v>1464</v>
      </c>
      <c r="F589" s="66" t="s">
        <v>1701</v>
      </c>
      <c r="G589" s="60" t="s">
        <v>7</v>
      </c>
      <c r="H589" s="61">
        <v>2.0833333333333333E-3</v>
      </c>
      <c r="I589" s="61">
        <v>2.0833333333333333E-3</v>
      </c>
      <c r="J589" s="62"/>
      <c r="K589" s="63" t="s">
        <v>1722</v>
      </c>
      <c r="L589" s="64" t="s">
        <v>1201</v>
      </c>
      <c r="M589" s="64" t="s">
        <v>1464</v>
      </c>
    </row>
    <row r="590" spans="1:13" s="65" customFormat="1" ht="12" customHeight="1" x14ac:dyDescent="0.2">
      <c r="A590" s="78">
        <v>233838</v>
      </c>
      <c r="B590" s="69" t="s">
        <v>643</v>
      </c>
      <c r="C590" s="60" t="s">
        <v>1196</v>
      </c>
      <c r="D590" s="66" t="s">
        <v>1200</v>
      </c>
      <c r="E590" s="66" t="s">
        <v>1431</v>
      </c>
      <c r="F590" s="66" t="s">
        <v>1692</v>
      </c>
      <c r="G590" s="60" t="s">
        <v>8</v>
      </c>
      <c r="H590" s="61">
        <v>0.75069444444444444</v>
      </c>
      <c r="I590" s="61"/>
      <c r="J590" s="62">
        <v>0.75069444444444444</v>
      </c>
      <c r="K590" s="63" t="s">
        <v>1718</v>
      </c>
      <c r="L590" s="64" t="s">
        <v>1200</v>
      </c>
      <c r="M590" s="64" t="s">
        <v>1431</v>
      </c>
    </row>
    <row r="591" spans="1:13" s="65" customFormat="1" ht="12" customHeight="1" x14ac:dyDescent="0.2">
      <c r="A591" s="78">
        <v>233895</v>
      </c>
      <c r="B591" s="69" t="s">
        <v>644</v>
      </c>
      <c r="C591" s="60" t="s">
        <v>1196</v>
      </c>
      <c r="D591" s="66" t="s">
        <v>1198</v>
      </c>
      <c r="E591" s="66" t="s">
        <v>1320</v>
      </c>
      <c r="F591" s="66" t="s">
        <v>1655</v>
      </c>
      <c r="G591" s="60" t="s">
        <v>8</v>
      </c>
      <c r="H591" s="61">
        <v>0.2673611111111111</v>
      </c>
      <c r="I591" s="61"/>
      <c r="J591" s="62">
        <v>0.2673611111111111</v>
      </c>
      <c r="K591" s="63" t="s">
        <v>1718</v>
      </c>
      <c r="L591" s="64" t="s">
        <v>1198</v>
      </c>
      <c r="M591" s="64" t="s">
        <v>1320</v>
      </c>
    </row>
    <row r="592" spans="1:13" s="65" customFormat="1" ht="12" customHeight="1" x14ac:dyDescent="0.2">
      <c r="A592" s="78">
        <v>233896</v>
      </c>
      <c r="B592" s="69" t="s">
        <v>645</v>
      </c>
      <c r="C592" s="60" t="s">
        <v>1196</v>
      </c>
      <c r="D592" s="66" t="s">
        <v>1204</v>
      </c>
      <c r="E592" s="66" t="s">
        <v>1425</v>
      </c>
      <c r="F592" s="66" t="s">
        <v>1690</v>
      </c>
      <c r="G592" s="60" t="s">
        <v>8</v>
      </c>
      <c r="H592" s="61">
        <v>0.20416666666666669</v>
      </c>
      <c r="I592" s="61"/>
      <c r="J592" s="62">
        <v>0.20416666666666669</v>
      </c>
      <c r="K592" s="63" t="s">
        <v>1718</v>
      </c>
      <c r="L592" s="64" t="s">
        <v>1204</v>
      </c>
      <c r="M592" s="64" t="s">
        <v>1425</v>
      </c>
    </row>
    <row r="593" spans="1:13" s="65" customFormat="1" ht="12" customHeight="1" x14ac:dyDescent="0.2">
      <c r="A593" s="78">
        <v>233901</v>
      </c>
      <c r="B593" s="69" t="s">
        <v>646</v>
      </c>
      <c r="C593" s="60" t="s">
        <v>1196</v>
      </c>
      <c r="D593" s="66" t="s">
        <v>1198</v>
      </c>
      <c r="E593" s="66" t="s">
        <v>1500</v>
      </c>
      <c r="F593" s="66" t="s">
        <v>1649</v>
      </c>
      <c r="G593" s="60" t="s">
        <v>8</v>
      </c>
      <c r="H593" s="61">
        <v>0.12222222222222223</v>
      </c>
      <c r="I593" s="61"/>
      <c r="J593" s="62">
        <v>0.12222222222222223</v>
      </c>
      <c r="K593" s="63" t="s">
        <v>1718</v>
      </c>
      <c r="L593" s="64" t="s">
        <v>1198</v>
      </c>
      <c r="M593" s="64" t="s">
        <v>1500</v>
      </c>
    </row>
    <row r="594" spans="1:13" s="65" customFormat="1" ht="12" customHeight="1" x14ac:dyDescent="0.2">
      <c r="A594" s="78">
        <v>233935</v>
      </c>
      <c r="B594" s="69" t="s">
        <v>647</v>
      </c>
      <c r="C594" s="60" t="s">
        <v>1196</v>
      </c>
      <c r="D594" s="66" t="s">
        <v>1198</v>
      </c>
      <c r="E594" s="66" t="s">
        <v>1457</v>
      </c>
      <c r="F594" s="66" t="s">
        <v>1650</v>
      </c>
      <c r="G594" s="60" t="s">
        <v>7</v>
      </c>
      <c r="H594" s="61">
        <v>0.20347222222222219</v>
      </c>
      <c r="I594" s="61">
        <v>0.20347222222222219</v>
      </c>
      <c r="J594" s="62"/>
      <c r="K594" s="63" t="s">
        <v>1718</v>
      </c>
      <c r="L594" s="64" t="s">
        <v>1198</v>
      </c>
      <c r="M594" s="64" t="s">
        <v>1457</v>
      </c>
    </row>
    <row r="595" spans="1:13" s="65" customFormat="1" ht="12" customHeight="1" x14ac:dyDescent="0.2">
      <c r="A595" s="78">
        <v>233956</v>
      </c>
      <c r="B595" s="69" t="s">
        <v>648</v>
      </c>
      <c r="C595" s="60" t="s">
        <v>1196</v>
      </c>
      <c r="D595" s="66" t="s">
        <v>1205</v>
      </c>
      <c r="E595" s="66" t="s">
        <v>1330</v>
      </c>
      <c r="F595" s="66" t="s">
        <v>1647</v>
      </c>
      <c r="G595" s="60" t="s">
        <v>7</v>
      </c>
      <c r="H595" s="61">
        <v>2.361111111111111E-2</v>
      </c>
      <c r="I595" s="61">
        <v>2.361111111111111E-2</v>
      </c>
      <c r="J595" s="62"/>
      <c r="K595" s="63" t="s">
        <v>1718</v>
      </c>
      <c r="L595" s="64" t="s">
        <v>1205</v>
      </c>
      <c r="M595" s="64" t="s">
        <v>1330</v>
      </c>
    </row>
    <row r="596" spans="1:13" s="65" customFormat="1" ht="12" customHeight="1" x14ac:dyDescent="0.2">
      <c r="A596" s="78">
        <v>233959</v>
      </c>
      <c r="B596" s="69" t="s">
        <v>649</v>
      </c>
      <c r="C596" s="60" t="s">
        <v>1196</v>
      </c>
      <c r="D596" s="66" t="s">
        <v>1204</v>
      </c>
      <c r="E596" s="66" t="s">
        <v>1408</v>
      </c>
      <c r="F596" s="66" t="s">
        <v>1687</v>
      </c>
      <c r="G596" s="60" t="s">
        <v>7</v>
      </c>
      <c r="H596" s="61">
        <v>8.6</v>
      </c>
      <c r="I596" s="61">
        <v>8.6</v>
      </c>
      <c r="J596" s="62"/>
      <c r="K596" s="63" t="s">
        <v>1718</v>
      </c>
      <c r="L596" s="64" t="s">
        <v>1204</v>
      </c>
      <c r="M596" s="64" t="s">
        <v>1408</v>
      </c>
    </row>
    <row r="597" spans="1:13" s="65" customFormat="1" ht="12" customHeight="1" x14ac:dyDescent="0.2">
      <c r="A597" s="78">
        <v>233977</v>
      </c>
      <c r="B597" s="69" t="s">
        <v>650</v>
      </c>
      <c r="C597" s="60" t="s">
        <v>1196</v>
      </c>
      <c r="D597" s="66" t="s">
        <v>1201</v>
      </c>
      <c r="E597" s="66" t="s">
        <v>1452</v>
      </c>
      <c r="F597" s="66" t="s">
        <v>1619</v>
      </c>
      <c r="G597" s="60" t="s">
        <v>8</v>
      </c>
      <c r="H597" s="61">
        <v>0.2076388888888889</v>
      </c>
      <c r="I597" s="61"/>
      <c r="J597" s="62">
        <v>0.2076388888888889</v>
      </c>
      <c r="K597" s="63" t="s">
        <v>1718</v>
      </c>
      <c r="L597" s="64" t="s">
        <v>1201</v>
      </c>
      <c r="M597" s="64" t="s">
        <v>1452</v>
      </c>
    </row>
    <row r="598" spans="1:13" s="65" customFormat="1" ht="12" customHeight="1" x14ac:dyDescent="0.2">
      <c r="A598" s="78">
        <v>234121</v>
      </c>
      <c r="B598" s="69" t="s">
        <v>651</v>
      </c>
      <c r="C598" s="60" t="s">
        <v>1196</v>
      </c>
      <c r="D598" s="66" t="s">
        <v>1201</v>
      </c>
      <c r="E598" s="66" t="s">
        <v>1452</v>
      </c>
      <c r="F598" s="66" t="s">
        <v>1619</v>
      </c>
      <c r="G598" s="60" t="s">
        <v>7</v>
      </c>
      <c r="H598" s="61">
        <v>0.19375000000000001</v>
      </c>
      <c r="I598" s="61">
        <v>0.19375000000000001</v>
      </c>
      <c r="J598" s="62"/>
      <c r="K598" s="63" t="s">
        <v>1718</v>
      </c>
      <c r="L598" s="64" t="s">
        <v>1201</v>
      </c>
      <c r="M598" s="64" t="s">
        <v>1452</v>
      </c>
    </row>
    <row r="599" spans="1:13" s="65" customFormat="1" ht="12" customHeight="1" x14ac:dyDescent="0.2">
      <c r="A599" s="78">
        <v>234141</v>
      </c>
      <c r="B599" s="69" t="s">
        <v>652</v>
      </c>
      <c r="C599" s="60" t="s">
        <v>1196</v>
      </c>
      <c r="D599" s="66" t="s">
        <v>1204</v>
      </c>
      <c r="E599" s="66" t="s">
        <v>1502</v>
      </c>
      <c r="F599" s="66" t="s">
        <v>1705</v>
      </c>
      <c r="G599" s="60" t="s">
        <v>7</v>
      </c>
      <c r="H599" s="61">
        <v>1.7840277777777778</v>
      </c>
      <c r="I599" s="61">
        <v>1.7840277777777778</v>
      </c>
      <c r="J599" s="62"/>
      <c r="K599" s="63" t="s">
        <v>1718</v>
      </c>
      <c r="L599" s="64" t="s">
        <v>1204</v>
      </c>
      <c r="M599" s="64" t="s">
        <v>1502</v>
      </c>
    </row>
    <row r="600" spans="1:13" s="65" customFormat="1" ht="12" customHeight="1" x14ac:dyDescent="0.2">
      <c r="A600" s="78">
        <v>234142</v>
      </c>
      <c r="B600" s="69" t="s">
        <v>653</v>
      </c>
      <c r="C600" s="60" t="s">
        <v>1196</v>
      </c>
      <c r="D600" s="66" t="s">
        <v>1204</v>
      </c>
      <c r="E600" s="66" t="s">
        <v>1503</v>
      </c>
      <c r="F600" s="66" t="s">
        <v>1705</v>
      </c>
      <c r="G600" s="60" t="s">
        <v>7</v>
      </c>
      <c r="H600" s="61">
        <v>0.28819444444444448</v>
      </c>
      <c r="I600" s="61">
        <v>0.28819444444444448</v>
      </c>
      <c r="J600" s="62"/>
      <c r="K600" s="63" t="s">
        <v>1723</v>
      </c>
      <c r="L600" s="64" t="s">
        <v>1204</v>
      </c>
      <c r="M600" s="64" t="s">
        <v>1503</v>
      </c>
    </row>
    <row r="601" spans="1:13" s="65" customFormat="1" ht="12" customHeight="1" x14ac:dyDescent="0.2">
      <c r="A601" s="78">
        <v>234143</v>
      </c>
      <c r="B601" s="69" t="s">
        <v>654</v>
      </c>
      <c r="C601" s="60" t="s">
        <v>1196</v>
      </c>
      <c r="D601" s="66" t="s">
        <v>1204</v>
      </c>
      <c r="E601" s="66" t="s">
        <v>1502</v>
      </c>
      <c r="F601" s="66" t="s">
        <v>1705</v>
      </c>
      <c r="G601" s="60" t="s">
        <v>7</v>
      </c>
      <c r="H601" s="61">
        <v>0.4604166666666667</v>
      </c>
      <c r="I601" s="61">
        <v>0.4604166666666667</v>
      </c>
      <c r="J601" s="62"/>
      <c r="K601" s="63" t="s">
        <v>1718</v>
      </c>
      <c r="L601" s="64" t="s">
        <v>1204</v>
      </c>
      <c r="M601" s="64" t="s">
        <v>1502</v>
      </c>
    </row>
    <row r="602" spans="1:13" s="65" customFormat="1" ht="12" customHeight="1" x14ac:dyDescent="0.2">
      <c r="A602" s="78">
        <v>234144</v>
      </c>
      <c r="B602" s="69" t="s">
        <v>655</v>
      </c>
      <c r="C602" s="60" t="s">
        <v>1196</v>
      </c>
      <c r="D602" s="66" t="s">
        <v>1204</v>
      </c>
      <c r="E602" s="66" t="s">
        <v>1504</v>
      </c>
      <c r="F602" s="66" t="s">
        <v>1593</v>
      </c>
      <c r="G602" s="60" t="s">
        <v>8</v>
      </c>
      <c r="H602" s="61">
        <v>0.7090277777777777</v>
      </c>
      <c r="I602" s="61"/>
      <c r="J602" s="62">
        <v>0.7090277777777777</v>
      </c>
      <c r="K602" s="63" t="s">
        <v>1720</v>
      </c>
      <c r="L602" s="64" t="s">
        <v>1204</v>
      </c>
      <c r="M602" s="64" t="s">
        <v>1504</v>
      </c>
    </row>
    <row r="603" spans="1:13" s="65" customFormat="1" ht="12" customHeight="1" x14ac:dyDescent="0.2">
      <c r="A603" s="78">
        <v>234146</v>
      </c>
      <c r="B603" s="69" t="s">
        <v>656</v>
      </c>
      <c r="C603" s="60" t="s">
        <v>1196</v>
      </c>
      <c r="D603" s="66" t="s">
        <v>1204</v>
      </c>
      <c r="E603" s="66" t="s">
        <v>1505</v>
      </c>
      <c r="F603" s="66" t="s">
        <v>1706</v>
      </c>
      <c r="G603" s="60" t="s">
        <v>8</v>
      </c>
      <c r="H603" s="61">
        <v>6.7548611111111114</v>
      </c>
      <c r="I603" s="61"/>
      <c r="J603" s="62">
        <v>6.7548611111111114</v>
      </c>
      <c r="K603" s="63" t="s">
        <v>1718</v>
      </c>
      <c r="L603" s="64" t="s">
        <v>1204</v>
      </c>
      <c r="M603" s="64" t="s">
        <v>1505</v>
      </c>
    </row>
    <row r="604" spans="1:13" s="65" customFormat="1" ht="12" customHeight="1" x14ac:dyDescent="0.2">
      <c r="A604" s="78">
        <v>234147</v>
      </c>
      <c r="B604" s="69" t="s">
        <v>657</v>
      </c>
      <c r="C604" s="60" t="s">
        <v>1196</v>
      </c>
      <c r="D604" s="66" t="s">
        <v>1200</v>
      </c>
      <c r="E604" s="66" t="s">
        <v>1449</v>
      </c>
      <c r="F604" s="66" t="s">
        <v>1699</v>
      </c>
      <c r="G604" s="60" t="s">
        <v>7</v>
      </c>
      <c r="H604" s="61">
        <v>2.3833333333333333</v>
      </c>
      <c r="I604" s="61">
        <v>2.3833333333333333</v>
      </c>
      <c r="J604" s="62"/>
      <c r="K604" s="63" t="s">
        <v>1718</v>
      </c>
      <c r="L604" s="64" t="s">
        <v>1200</v>
      </c>
      <c r="M604" s="64" t="s">
        <v>1449</v>
      </c>
    </row>
    <row r="605" spans="1:13" s="65" customFormat="1" ht="12" customHeight="1" x14ac:dyDescent="0.2">
      <c r="A605" s="78">
        <v>234151</v>
      </c>
      <c r="B605" s="69" t="s">
        <v>658</v>
      </c>
      <c r="C605" s="60" t="s">
        <v>1196</v>
      </c>
      <c r="D605" s="66" t="s">
        <v>1198</v>
      </c>
      <c r="E605" s="66" t="s">
        <v>1365</v>
      </c>
      <c r="F605" s="66" t="s">
        <v>1672</v>
      </c>
      <c r="G605" s="60" t="s">
        <v>7</v>
      </c>
      <c r="H605" s="61">
        <v>1.4277777777777778</v>
      </c>
      <c r="I605" s="61">
        <v>1.4277777777777778</v>
      </c>
      <c r="J605" s="62"/>
      <c r="K605" s="63" t="s">
        <v>1718</v>
      </c>
      <c r="L605" s="64" t="s">
        <v>1198</v>
      </c>
      <c r="M605" s="64" t="s">
        <v>1365</v>
      </c>
    </row>
    <row r="606" spans="1:13" s="65" customFormat="1" ht="12" customHeight="1" x14ac:dyDescent="0.2">
      <c r="A606" s="78">
        <v>234153</v>
      </c>
      <c r="B606" s="69" t="s">
        <v>659</v>
      </c>
      <c r="C606" s="60" t="s">
        <v>1196</v>
      </c>
      <c r="D606" s="66" t="s">
        <v>1203</v>
      </c>
      <c r="E606" s="66" t="s">
        <v>1506</v>
      </c>
      <c r="F606" s="66" t="s">
        <v>1592</v>
      </c>
      <c r="G606" s="60" t="s">
        <v>7</v>
      </c>
      <c r="H606" s="61">
        <v>0.1125</v>
      </c>
      <c r="I606" s="61">
        <v>0.1125</v>
      </c>
      <c r="J606" s="62"/>
      <c r="K606" s="63" t="s">
        <v>1720</v>
      </c>
      <c r="L606" s="64" t="s">
        <v>1203</v>
      </c>
      <c r="M606" s="64" t="s">
        <v>1506</v>
      </c>
    </row>
    <row r="607" spans="1:13" s="65" customFormat="1" ht="12" customHeight="1" x14ac:dyDescent="0.2">
      <c r="A607" s="78">
        <v>234161</v>
      </c>
      <c r="B607" s="69" t="s">
        <v>660</v>
      </c>
      <c r="C607" s="60" t="s">
        <v>1196</v>
      </c>
      <c r="D607" s="66" t="s">
        <v>1204</v>
      </c>
      <c r="E607" s="66" t="s">
        <v>1505</v>
      </c>
      <c r="F607" s="66" t="s">
        <v>1706</v>
      </c>
      <c r="G607" s="60" t="s">
        <v>7</v>
      </c>
      <c r="H607" s="61">
        <v>0.90902777777777777</v>
      </c>
      <c r="I607" s="61">
        <v>0.90902777777777777</v>
      </c>
      <c r="J607" s="62"/>
      <c r="K607" s="63" t="s">
        <v>1718</v>
      </c>
      <c r="L607" s="64" t="s">
        <v>1204</v>
      </c>
      <c r="M607" s="64" t="s">
        <v>1505</v>
      </c>
    </row>
    <row r="608" spans="1:13" s="65" customFormat="1" ht="12" customHeight="1" x14ac:dyDescent="0.2">
      <c r="A608" s="78">
        <v>234165</v>
      </c>
      <c r="B608" s="69" t="s">
        <v>661</v>
      </c>
      <c r="C608" s="60" t="s">
        <v>1196</v>
      </c>
      <c r="D608" s="66" t="s">
        <v>1204</v>
      </c>
      <c r="E608" s="66" t="s">
        <v>1507</v>
      </c>
      <c r="F608" s="66" t="s">
        <v>1706</v>
      </c>
      <c r="G608" s="60" t="s">
        <v>8</v>
      </c>
      <c r="H608" s="61">
        <v>1.8006944444444446</v>
      </c>
      <c r="I608" s="61"/>
      <c r="J608" s="62">
        <v>1.8006944444444446</v>
      </c>
      <c r="K608" s="63" t="s">
        <v>1723</v>
      </c>
      <c r="L608" s="64" t="s">
        <v>1204</v>
      </c>
      <c r="M608" s="64" t="s">
        <v>1507</v>
      </c>
    </row>
    <row r="609" spans="1:13" s="65" customFormat="1" ht="12" customHeight="1" x14ac:dyDescent="0.2">
      <c r="A609" s="78">
        <v>234171</v>
      </c>
      <c r="B609" s="69" t="s">
        <v>662</v>
      </c>
      <c r="C609" s="60" t="s">
        <v>1196</v>
      </c>
      <c r="D609" s="66" t="s">
        <v>1204</v>
      </c>
      <c r="E609" s="66" t="s">
        <v>1394</v>
      </c>
      <c r="F609" s="66" t="s">
        <v>1681</v>
      </c>
      <c r="G609" s="60" t="s">
        <v>8</v>
      </c>
      <c r="H609" s="61">
        <v>0.37777777777777777</v>
      </c>
      <c r="I609" s="61"/>
      <c r="J609" s="62">
        <v>0.37777777777777777</v>
      </c>
      <c r="K609" s="63" t="s">
        <v>1718</v>
      </c>
      <c r="L609" s="64" t="s">
        <v>1204</v>
      </c>
      <c r="M609" s="64" t="s">
        <v>1394</v>
      </c>
    </row>
    <row r="610" spans="1:13" s="65" customFormat="1" ht="12" customHeight="1" x14ac:dyDescent="0.2">
      <c r="A610" s="78">
        <v>234179</v>
      </c>
      <c r="B610" s="69" t="s">
        <v>663</v>
      </c>
      <c r="C610" s="60" t="s">
        <v>1196</v>
      </c>
      <c r="D610" s="66" t="s">
        <v>1197</v>
      </c>
      <c r="E610" s="66" t="s">
        <v>1283</v>
      </c>
      <c r="F610" s="66" t="s">
        <v>1636</v>
      </c>
      <c r="G610" s="60" t="s">
        <v>7</v>
      </c>
      <c r="H610" s="61">
        <v>0.25208333333333333</v>
      </c>
      <c r="I610" s="61">
        <v>0.25208333333333333</v>
      </c>
      <c r="J610" s="62"/>
      <c r="K610" s="63" t="s">
        <v>1724</v>
      </c>
      <c r="L610" s="64" t="s">
        <v>1197</v>
      </c>
      <c r="M610" s="64" t="s">
        <v>1283</v>
      </c>
    </row>
    <row r="611" spans="1:13" s="65" customFormat="1" ht="12" customHeight="1" x14ac:dyDescent="0.2">
      <c r="A611" s="78">
        <v>234208</v>
      </c>
      <c r="B611" s="69" t="s">
        <v>664</v>
      </c>
      <c r="C611" s="60" t="s">
        <v>1196</v>
      </c>
      <c r="D611" s="66" t="s">
        <v>1205</v>
      </c>
      <c r="E611" s="66" t="s">
        <v>1373</v>
      </c>
      <c r="F611" s="66" t="s">
        <v>1676</v>
      </c>
      <c r="G611" s="60" t="s">
        <v>8</v>
      </c>
      <c r="H611" s="61">
        <v>8.8888888888888892E-2</v>
      </c>
      <c r="I611" s="61"/>
      <c r="J611" s="62">
        <v>8.8888888888888892E-2</v>
      </c>
      <c r="K611" s="63" t="s">
        <v>1718</v>
      </c>
      <c r="L611" s="64" t="s">
        <v>1205</v>
      </c>
      <c r="M611" s="64" t="s">
        <v>1373</v>
      </c>
    </row>
    <row r="612" spans="1:13" s="65" customFormat="1" ht="12" customHeight="1" x14ac:dyDescent="0.2">
      <c r="A612" s="78">
        <v>234270</v>
      </c>
      <c r="B612" s="69" t="s">
        <v>665</v>
      </c>
      <c r="C612" s="60" t="s">
        <v>1196</v>
      </c>
      <c r="D612" s="66" t="s">
        <v>1205</v>
      </c>
      <c r="E612" s="66" t="s">
        <v>1439</v>
      </c>
      <c r="F612" s="66" t="s">
        <v>1689</v>
      </c>
      <c r="G612" s="60" t="s">
        <v>8</v>
      </c>
      <c r="H612" s="61">
        <v>0.27499999999999997</v>
      </c>
      <c r="I612" s="61"/>
      <c r="J612" s="62">
        <v>0.27499999999999997</v>
      </c>
      <c r="K612" s="63" t="s">
        <v>1722</v>
      </c>
      <c r="L612" s="64" t="s">
        <v>1205</v>
      </c>
      <c r="M612" s="64" t="s">
        <v>1439</v>
      </c>
    </row>
    <row r="613" spans="1:13" s="65" customFormat="1" ht="12" customHeight="1" x14ac:dyDescent="0.2">
      <c r="A613" s="78">
        <v>234278</v>
      </c>
      <c r="B613" s="69" t="s">
        <v>666</v>
      </c>
      <c r="C613" s="60" t="s">
        <v>1196</v>
      </c>
      <c r="D613" s="66" t="s">
        <v>1198</v>
      </c>
      <c r="E613" s="66" t="s">
        <v>1411</v>
      </c>
      <c r="F613" s="66" t="s">
        <v>1685</v>
      </c>
      <c r="G613" s="60" t="s">
        <v>8</v>
      </c>
      <c r="H613" s="61">
        <v>0.53125</v>
      </c>
      <c r="I613" s="61"/>
      <c r="J613" s="62">
        <v>0.53125</v>
      </c>
      <c r="K613" s="63" t="s">
        <v>1718</v>
      </c>
      <c r="L613" s="64" t="s">
        <v>1198</v>
      </c>
      <c r="M613" s="64" t="s">
        <v>1411</v>
      </c>
    </row>
    <row r="614" spans="1:13" s="65" customFormat="1" ht="12" customHeight="1" x14ac:dyDescent="0.2">
      <c r="A614" s="78">
        <v>234328</v>
      </c>
      <c r="B614" s="69" t="s">
        <v>667</v>
      </c>
      <c r="C614" s="60" t="s">
        <v>1196</v>
      </c>
      <c r="D614" s="66" t="s">
        <v>1205</v>
      </c>
      <c r="E614" s="66" t="s">
        <v>1470</v>
      </c>
      <c r="F614" s="66" t="s">
        <v>1668</v>
      </c>
      <c r="G614" s="60" t="s">
        <v>8</v>
      </c>
      <c r="H614" s="61">
        <v>0.37361111111111112</v>
      </c>
      <c r="I614" s="61"/>
      <c r="J614" s="62">
        <v>0.37361111111111112</v>
      </c>
      <c r="K614" s="63" t="s">
        <v>1718</v>
      </c>
      <c r="L614" s="64" t="s">
        <v>1205</v>
      </c>
      <c r="M614" s="64" t="s">
        <v>1470</v>
      </c>
    </row>
    <row r="615" spans="1:13" s="65" customFormat="1" ht="12" customHeight="1" x14ac:dyDescent="0.2">
      <c r="A615" s="78">
        <v>234334</v>
      </c>
      <c r="B615" s="69" t="s">
        <v>668</v>
      </c>
      <c r="C615" s="60" t="s">
        <v>1196</v>
      </c>
      <c r="D615" s="66" t="s">
        <v>1200</v>
      </c>
      <c r="E615" s="66" t="s">
        <v>1477</v>
      </c>
      <c r="F615" s="66" t="s">
        <v>1702</v>
      </c>
      <c r="G615" s="60" t="s">
        <v>8</v>
      </c>
      <c r="H615" s="61">
        <v>1.3138888888888889</v>
      </c>
      <c r="I615" s="61"/>
      <c r="J615" s="62">
        <v>1.3138888888888889</v>
      </c>
      <c r="K615" s="63" t="s">
        <v>1718</v>
      </c>
      <c r="L615" s="64" t="s">
        <v>1200</v>
      </c>
      <c r="M615" s="64" t="s">
        <v>1477</v>
      </c>
    </row>
    <row r="616" spans="1:13" s="65" customFormat="1" ht="12" customHeight="1" x14ac:dyDescent="0.2">
      <c r="A616" s="78">
        <v>234335</v>
      </c>
      <c r="B616" s="69" t="s">
        <v>669</v>
      </c>
      <c r="C616" s="60" t="s">
        <v>1196</v>
      </c>
      <c r="D616" s="66" t="s">
        <v>1203</v>
      </c>
      <c r="E616" s="66" t="s">
        <v>1508</v>
      </c>
      <c r="F616" s="66" t="s">
        <v>1667</v>
      </c>
      <c r="G616" s="60" t="s">
        <v>8</v>
      </c>
      <c r="H616" s="61">
        <v>0.71388888888888891</v>
      </c>
      <c r="I616" s="61"/>
      <c r="J616" s="62">
        <v>0.71388888888888891</v>
      </c>
      <c r="K616" s="63" t="s">
        <v>1723</v>
      </c>
      <c r="L616" s="64" t="s">
        <v>1203</v>
      </c>
      <c r="M616" s="64" t="s">
        <v>1508</v>
      </c>
    </row>
    <row r="617" spans="1:13" s="65" customFormat="1" ht="12" customHeight="1" x14ac:dyDescent="0.2">
      <c r="A617" s="78">
        <v>234353</v>
      </c>
      <c r="B617" s="69" t="s">
        <v>670</v>
      </c>
      <c r="C617" s="60" t="s">
        <v>1196</v>
      </c>
      <c r="D617" s="66" t="s">
        <v>1199</v>
      </c>
      <c r="E617" s="66" t="s">
        <v>1509</v>
      </c>
      <c r="F617" s="66" t="s">
        <v>1707</v>
      </c>
      <c r="G617" s="60" t="s">
        <v>7</v>
      </c>
      <c r="H617" s="61">
        <v>0.1361111111111111</v>
      </c>
      <c r="I617" s="61">
        <v>0.1361111111111111</v>
      </c>
      <c r="J617" s="62"/>
      <c r="K617" s="63" t="s">
        <v>1718</v>
      </c>
      <c r="L617" s="64" t="s">
        <v>1199</v>
      </c>
      <c r="M617" s="64" t="s">
        <v>1509</v>
      </c>
    </row>
    <row r="618" spans="1:13" s="65" customFormat="1" ht="12" customHeight="1" x14ac:dyDescent="0.2">
      <c r="A618" s="78">
        <v>234360</v>
      </c>
      <c r="B618" s="69" t="s">
        <v>671</v>
      </c>
      <c r="C618" s="60" t="s">
        <v>1196</v>
      </c>
      <c r="D618" s="66" t="s">
        <v>1198</v>
      </c>
      <c r="E618" s="66" t="s">
        <v>1411</v>
      </c>
      <c r="F618" s="66" t="s">
        <v>1685</v>
      </c>
      <c r="G618" s="60" t="s">
        <v>8</v>
      </c>
      <c r="H618" s="61">
        <v>0.66666666666666663</v>
      </c>
      <c r="I618" s="61"/>
      <c r="J618" s="62">
        <v>0.66666666666666663</v>
      </c>
      <c r="K618" s="63" t="s">
        <v>1718</v>
      </c>
      <c r="L618" s="64" t="s">
        <v>1198</v>
      </c>
      <c r="M618" s="64" t="s">
        <v>1411</v>
      </c>
    </row>
    <row r="619" spans="1:13" s="65" customFormat="1" ht="12" customHeight="1" x14ac:dyDescent="0.2">
      <c r="A619" s="78">
        <v>234371</v>
      </c>
      <c r="B619" s="69" t="s">
        <v>672</v>
      </c>
      <c r="C619" s="60" t="s">
        <v>1196</v>
      </c>
      <c r="D619" s="66" t="s">
        <v>1201</v>
      </c>
      <c r="E619" s="66" t="s">
        <v>1347</v>
      </c>
      <c r="F619" s="66" t="s">
        <v>1616</v>
      </c>
      <c r="G619" s="60" t="s">
        <v>7</v>
      </c>
      <c r="H619" s="61">
        <v>1.1652777777777779</v>
      </c>
      <c r="I619" s="61">
        <v>1.1652777777777779</v>
      </c>
      <c r="J619" s="62"/>
      <c r="K619" s="63" t="s">
        <v>1718</v>
      </c>
      <c r="L619" s="64" t="s">
        <v>1201</v>
      </c>
      <c r="M619" s="64" t="s">
        <v>1347</v>
      </c>
    </row>
    <row r="620" spans="1:13" s="65" customFormat="1" ht="12" customHeight="1" x14ac:dyDescent="0.2">
      <c r="A620" s="78">
        <v>234373</v>
      </c>
      <c r="B620" s="69" t="s">
        <v>673</v>
      </c>
      <c r="C620" s="60" t="s">
        <v>1196</v>
      </c>
      <c r="D620" s="66" t="s">
        <v>1203</v>
      </c>
      <c r="E620" s="66" t="s">
        <v>1440</v>
      </c>
      <c r="F620" s="66" t="s">
        <v>1696</v>
      </c>
      <c r="G620" s="60" t="s">
        <v>7</v>
      </c>
      <c r="H620" s="61">
        <v>0.47361111111111115</v>
      </c>
      <c r="I620" s="61">
        <v>0.47361111111111115</v>
      </c>
      <c r="J620" s="62"/>
      <c r="K620" s="63" t="s">
        <v>1718</v>
      </c>
      <c r="L620" s="64" t="s">
        <v>1203</v>
      </c>
      <c r="M620" s="64" t="s">
        <v>1440</v>
      </c>
    </row>
    <row r="621" spans="1:13" s="65" customFormat="1" ht="12" customHeight="1" x14ac:dyDescent="0.2">
      <c r="A621" s="78">
        <v>234405</v>
      </c>
      <c r="B621" s="69" t="s">
        <v>674</v>
      </c>
      <c r="C621" s="60" t="s">
        <v>1196</v>
      </c>
      <c r="D621" s="66" t="s">
        <v>1198</v>
      </c>
      <c r="E621" s="66" t="s">
        <v>1428</v>
      </c>
      <c r="F621" s="66" t="s">
        <v>1691</v>
      </c>
      <c r="G621" s="60" t="s">
        <v>8</v>
      </c>
      <c r="H621" s="61">
        <v>0.6479166666666667</v>
      </c>
      <c r="I621" s="61"/>
      <c r="J621" s="62">
        <v>0.6479166666666667</v>
      </c>
      <c r="K621" s="63" t="s">
        <v>1718</v>
      </c>
      <c r="L621" s="64" t="s">
        <v>1198</v>
      </c>
      <c r="M621" s="64" t="s">
        <v>1428</v>
      </c>
    </row>
    <row r="622" spans="1:13" s="65" customFormat="1" ht="12" customHeight="1" x14ac:dyDescent="0.2">
      <c r="A622" s="78">
        <v>234407</v>
      </c>
      <c r="B622" s="69" t="s">
        <v>675</v>
      </c>
      <c r="C622" s="60" t="s">
        <v>1196</v>
      </c>
      <c r="D622" s="66" t="s">
        <v>1197</v>
      </c>
      <c r="E622" s="66" t="s">
        <v>1395</v>
      </c>
      <c r="F622" s="66" t="s">
        <v>1634</v>
      </c>
      <c r="G622" s="60" t="s">
        <v>7</v>
      </c>
      <c r="H622" s="61">
        <v>8.0354166666666664</v>
      </c>
      <c r="I622" s="61">
        <v>8.0354166666666664</v>
      </c>
      <c r="J622" s="62"/>
      <c r="K622" s="63" t="s">
        <v>1718</v>
      </c>
      <c r="L622" s="64" t="s">
        <v>1197</v>
      </c>
      <c r="M622" s="64" t="s">
        <v>1395</v>
      </c>
    </row>
    <row r="623" spans="1:13" s="65" customFormat="1" ht="12" customHeight="1" x14ac:dyDescent="0.2">
      <c r="A623" s="78">
        <v>234409</v>
      </c>
      <c r="B623" s="69" t="s">
        <v>676</v>
      </c>
      <c r="C623" s="60" t="s">
        <v>1196</v>
      </c>
      <c r="D623" s="66" t="s">
        <v>1199</v>
      </c>
      <c r="E623" s="66" t="s">
        <v>1341</v>
      </c>
      <c r="F623" s="66" t="s">
        <v>1666</v>
      </c>
      <c r="G623" s="60" t="s">
        <v>7</v>
      </c>
      <c r="H623" s="61">
        <v>0.51527777777777783</v>
      </c>
      <c r="I623" s="61">
        <v>0.51527777777777783</v>
      </c>
      <c r="J623" s="62"/>
      <c r="K623" s="63" t="s">
        <v>1718</v>
      </c>
      <c r="L623" s="64" t="s">
        <v>1199</v>
      </c>
      <c r="M623" s="64" t="s">
        <v>1341</v>
      </c>
    </row>
    <row r="624" spans="1:13" s="65" customFormat="1" ht="12" customHeight="1" x14ac:dyDescent="0.2">
      <c r="A624" s="78">
        <v>234411</v>
      </c>
      <c r="B624" s="69" t="s">
        <v>677</v>
      </c>
      <c r="C624" s="60" t="s">
        <v>1196</v>
      </c>
      <c r="D624" s="66" t="s">
        <v>1197</v>
      </c>
      <c r="E624" s="66" t="s">
        <v>1332</v>
      </c>
      <c r="F624" s="66" t="s">
        <v>1623</v>
      </c>
      <c r="G624" s="60" t="s">
        <v>8</v>
      </c>
      <c r="H624" s="61">
        <v>1.3875</v>
      </c>
      <c r="I624" s="61"/>
      <c r="J624" s="62">
        <v>1.3875</v>
      </c>
      <c r="K624" s="63" t="s">
        <v>1718</v>
      </c>
      <c r="L624" s="64" t="s">
        <v>1197</v>
      </c>
      <c r="M624" s="64" t="s">
        <v>1332</v>
      </c>
    </row>
    <row r="625" spans="1:13" s="65" customFormat="1" ht="12" customHeight="1" x14ac:dyDescent="0.2">
      <c r="A625" s="78">
        <v>234417</v>
      </c>
      <c r="B625" s="69" t="s">
        <v>678</v>
      </c>
      <c r="C625" s="60" t="s">
        <v>1196</v>
      </c>
      <c r="D625" s="66" t="s">
        <v>1201</v>
      </c>
      <c r="E625" s="66" t="s">
        <v>1372</v>
      </c>
      <c r="F625" s="66" t="s">
        <v>1675</v>
      </c>
      <c r="G625" s="60" t="s">
        <v>8</v>
      </c>
      <c r="H625" s="61">
        <v>1.117361111111111</v>
      </c>
      <c r="I625" s="61"/>
      <c r="J625" s="62">
        <v>1.117361111111111</v>
      </c>
      <c r="K625" s="63" t="s">
        <v>1718</v>
      </c>
      <c r="L625" s="64" t="s">
        <v>1201</v>
      </c>
      <c r="M625" s="64" t="s">
        <v>1372</v>
      </c>
    </row>
    <row r="626" spans="1:13" s="65" customFormat="1" ht="12" customHeight="1" x14ac:dyDescent="0.2">
      <c r="A626" s="78">
        <v>234510</v>
      </c>
      <c r="B626" s="69" t="s">
        <v>679</v>
      </c>
      <c r="C626" s="60" t="s">
        <v>1196</v>
      </c>
      <c r="D626" s="66" t="s">
        <v>1199</v>
      </c>
      <c r="E626" s="66" t="s">
        <v>1510</v>
      </c>
      <c r="F626" s="66" t="s">
        <v>1587</v>
      </c>
      <c r="G626" s="60" t="s">
        <v>7</v>
      </c>
      <c r="H626" s="61">
        <v>0.20486111111111113</v>
      </c>
      <c r="I626" s="61">
        <v>0.20486111111111113</v>
      </c>
      <c r="J626" s="62"/>
      <c r="K626" s="63" t="s">
        <v>1720</v>
      </c>
      <c r="L626" s="64" t="s">
        <v>1199</v>
      </c>
      <c r="M626" s="64" t="s">
        <v>1510</v>
      </c>
    </row>
    <row r="627" spans="1:13" s="65" customFormat="1" ht="12" customHeight="1" x14ac:dyDescent="0.2">
      <c r="A627" s="78">
        <v>234530</v>
      </c>
      <c r="B627" s="69" t="s">
        <v>680</v>
      </c>
      <c r="C627" s="60" t="s">
        <v>1196</v>
      </c>
      <c r="D627" s="66" t="s">
        <v>1205</v>
      </c>
      <c r="E627" s="66" t="s">
        <v>1396</v>
      </c>
      <c r="F627" s="66" t="s">
        <v>1682</v>
      </c>
      <c r="G627" s="60" t="s">
        <v>7</v>
      </c>
      <c r="H627" s="61">
        <v>0.39930555555555558</v>
      </c>
      <c r="I627" s="61">
        <v>0.39930555555555558</v>
      </c>
      <c r="J627" s="62"/>
      <c r="K627" s="63" t="s">
        <v>1718</v>
      </c>
      <c r="L627" s="64" t="s">
        <v>1205</v>
      </c>
      <c r="M627" s="64" t="s">
        <v>1396</v>
      </c>
    </row>
    <row r="628" spans="1:13" s="65" customFormat="1" ht="12" customHeight="1" x14ac:dyDescent="0.2">
      <c r="A628" s="78">
        <v>234533</v>
      </c>
      <c r="B628" s="69" t="s">
        <v>681</v>
      </c>
      <c r="C628" s="60" t="s">
        <v>1196</v>
      </c>
      <c r="D628" s="66" t="s">
        <v>1204</v>
      </c>
      <c r="E628" s="66" t="s">
        <v>1385</v>
      </c>
      <c r="F628" s="66" t="s">
        <v>1679</v>
      </c>
      <c r="G628" s="60" t="s">
        <v>8</v>
      </c>
      <c r="H628" s="61">
        <v>3.1486111111111108</v>
      </c>
      <c r="I628" s="61"/>
      <c r="J628" s="62">
        <v>3.1486111111111108</v>
      </c>
      <c r="K628" s="63" t="s">
        <v>1718</v>
      </c>
      <c r="L628" s="64" t="s">
        <v>1204</v>
      </c>
      <c r="M628" s="64" t="s">
        <v>1385</v>
      </c>
    </row>
    <row r="629" spans="1:13" s="65" customFormat="1" ht="12" customHeight="1" x14ac:dyDescent="0.2">
      <c r="A629" s="78">
        <v>234574</v>
      </c>
      <c r="B629" s="69" t="s">
        <v>682</v>
      </c>
      <c r="C629" s="60" t="s">
        <v>1196</v>
      </c>
      <c r="D629" s="66" t="s">
        <v>1197</v>
      </c>
      <c r="E629" s="66" t="s">
        <v>1310</v>
      </c>
      <c r="F629" s="66" t="s">
        <v>1652</v>
      </c>
      <c r="G629" s="60" t="s">
        <v>7</v>
      </c>
      <c r="H629" s="61">
        <v>9.1666666666666674E-2</v>
      </c>
      <c r="I629" s="61">
        <v>9.1666666666666674E-2</v>
      </c>
      <c r="J629" s="62"/>
      <c r="K629" s="63" t="s">
        <v>1723</v>
      </c>
      <c r="L629" s="64" t="s">
        <v>1197</v>
      </c>
      <c r="M629" s="64" t="s">
        <v>1310</v>
      </c>
    </row>
    <row r="630" spans="1:13" s="65" customFormat="1" ht="12" customHeight="1" x14ac:dyDescent="0.2">
      <c r="A630" s="78">
        <v>234576</v>
      </c>
      <c r="B630" s="69" t="s">
        <v>683</v>
      </c>
      <c r="C630" s="60" t="s">
        <v>1196</v>
      </c>
      <c r="D630" s="66" t="s">
        <v>1204</v>
      </c>
      <c r="E630" s="66" t="s">
        <v>1488</v>
      </c>
      <c r="F630" s="66" t="s">
        <v>1646</v>
      </c>
      <c r="G630" s="60" t="s">
        <v>7</v>
      </c>
      <c r="H630" s="61">
        <v>8.5416666666666655E-2</v>
      </c>
      <c r="I630" s="61">
        <v>8.5416666666666655E-2</v>
      </c>
      <c r="J630" s="62"/>
      <c r="K630" s="63" t="s">
        <v>1718</v>
      </c>
      <c r="L630" s="64" t="s">
        <v>1204</v>
      </c>
      <c r="M630" s="64" t="s">
        <v>1488</v>
      </c>
    </row>
    <row r="631" spans="1:13" s="65" customFormat="1" ht="12" customHeight="1" x14ac:dyDescent="0.2">
      <c r="A631" s="78">
        <v>234591</v>
      </c>
      <c r="B631" s="69" t="s">
        <v>684</v>
      </c>
      <c r="C631" s="60" t="s">
        <v>1196</v>
      </c>
      <c r="D631" s="66" t="s">
        <v>1205</v>
      </c>
      <c r="E631" s="66" t="s">
        <v>1438</v>
      </c>
      <c r="F631" s="66" t="s">
        <v>1689</v>
      </c>
      <c r="G631" s="60" t="s">
        <v>8</v>
      </c>
      <c r="H631" s="61">
        <v>2.361111111111111E-2</v>
      </c>
      <c r="I631" s="61"/>
      <c r="J631" s="62">
        <v>2.361111111111111E-2</v>
      </c>
      <c r="K631" s="63" t="s">
        <v>1718</v>
      </c>
      <c r="L631" s="64" t="s">
        <v>1205</v>
      </c>
      <c r="M631" s="64" t="s">
        <v>1438</v>
      </c>
    </row>
    <row r="632" spans="1:13" s="65" customFormat="1" ht="12" customHeight="1" x14ac:dyDescent="0.2">
      <c r="A632" s="78">
        <v>234601</v>
      </c>
      <c r="B632" s="69" t="s">
        <v>685</v>
      </c>
      <c r="C632" s="60" t="s">
        <v>1196</v>
      </c>
      <c r="D632" s="66" t="s">
        <v>1201</v>
      </c>
      <c r="E632" s="66" t="s">
        <v>1482</v>
      </c>
      <c r="F632" s="66" t="s">
        <v>1703</v>
      </c>
      <c r="G632" s="60" t="s">
        <v>8</v>
      </c>
      <c r="H632" s="61">
        <v>2.7083333333333334E-2</v>
      </c>
      <c r="I632" s="61"/>
      <c r="J632" s="62">
        <v>2.7083333333333334E-2</v>
      </c>
      <c r="K632" s="63" t="s">
        <v>1718</v>
      </c>
      <c r="L632" s="64" t="s">
        <v>1201</v>
      </c>
      <c r="M632" s="64" t="s">
        <v>1482</v>
      </c>
    </row>
    <row r="633" spans="1:13" s="65" customFormat="1" ht="12" customHeight="1" x14ac:dyDescent="0.2">
      <c r="A633" s="78">
        <v>234608</v>
      </c>
      <c r="B633" s="69" t="s">
        <v>686</v>
      </c>
      <c r="C633" s="60" t="s">
        <v>1196</v>
      </c>
      <c r="D633" s="66" t="s">
        <v>1204</v>
      </c>
      <c r="E633" s="66" t="s">
        <v>1461</v>
      </c>
      <c r="F633" s="66" t="s">
        <v>1618</v>
      </c>
      <c r="G633" s="60" t="s">
        <v>7</v>
      </c>
      <c r="H633" s="61">
        <v>0.27083333333333331</v>
      </c>
      <c r="I633" s="61">
        <v>0.27083333333333331</v>
      </c>
      <c r="J633" s="62"/>
      <c r="K633" s="63" t="s">
        <v>1718</v>
      </c>
      <c r="L633" s="64" t="s">
        <v>1204</v>
      </c>
      <c r="M633" s="64" t="s">
        <v>1461</v>
      </c>
    </row>
    <row r="634" spans="1:13" s="65" customFormat="1" ht="12" customHeight="1" x14ac:dyDescent="0.2">
      <c r="A634" s="78">
        <v>234609</v>
      </c>
      <c r="B634" s="69" t="s">
        <v>687</v>
      </c>
      <c r="C634" s="60" t="s">
        <v>1196</v>
      </c>
      <c r="D634" s="66" t="s">
        <v>1198</v>
      </c>
      <c r="E634" s="66" t="s">
        <v>1428</v>
      </c>
      <c r="F634" s="66" t="s">
        <v>1691</v>
      </c>
      <c r="G634" s="60" t="s">
        <v>7</v>
      </c>
      <c r="H634" s="61">
        <v>0.47500000000000003</v>
      </c>
      <c r="I634" s="61">
        <v>0.47500000000000003</v>
      </c>
      <c r="J634" s="62"/>
      <c r="K634" s="63" t="s">
        <v>1718</v>
      </c>
      <c r="L634" s="64" t="s">
        <v>1198</v>
      </c>
      <c r="M634" s="64" t="s">
        <v>1428</v>
      </c>
    </row>
    <row r="635" spans="1:13" s="65" customFormat="1" ht="12" customHeight="1" x14ac:dyDescent="0.2">
      <c r="A635" s="78">
        <v>234611</v>
      </c>
      <c r="B635" s="69" t="s">
        <v>688</v>
      </c>
      <c r="C635" s="60" t="s">
        <v>1196</v>
      </c>
      <c r="D635" s="66" t="s">
        <v>1200</v>
      </c>
      <c r="E635" s="66" t="s">
        <v>1431</v>
      </c>
      <c r="F635" s="66" t="s">
        <v>1692</v>
      </c>
      <c r="G635" s="60" t="s">
        <v>8</v>
      </c>
      <c r="H635" s="61">
        <v>0.3430555555555555</v>
      </c>
      <c r="I635" s="61"/>
      <c r="J635" s="62">
        <v>0.3430555555555555</v>
      </c>
      <c r="K635" s="63" t="s">
        <v>1718</v>
      </c>
      <c r="L635" s="64" t="s">
        <v>1200</v>
      </c>
      <c r="M635" s="64" t="s">
        <v>1431</v>
      </c>
    </row>
    <row r="636" spans="1:13" s="65" customFormat="1" ht="12" customHeight="1" x14ac:dyDescent="0.2">
      <c r="A636" s="78">
        <v>234626</v>
      </c>
      <c r="B636" s="69" t="s">
        <v>689</v>
      </c>
      <c r="C636" s="60" t="s">
        <v>1196</v>
      </c>
      <c r="D636" s="66" t="s">
        <v>1204</v>
      </c>
      <c r="E636" s="66" t="s">
        <v>1388</v>
      </c>
      <c r="F636" s="66" t="s">
        <v>1612</v>
      </c>
      <c r="G636" s="60" t="s">
        <v>8</v>
      </c>
      <c r="H636" s="61">
        <v>3.1569444444444446</v>
      </c>
      <c r="I636" s="61"/>
      <c r="J636" s="62">
        <v>3.1569444444444446</v>
      </c>
      <c r="K636" s="63" t="s">
        <v>1718</v>
      </c>
      <c r="L636" s="64" t="s">
        <v>1204</v>
      </c>
      <c r="M636" s="64" t="s">
        <v>1388</v>
      </c>
    </row>
    <row r="637" spans="1:13" s="65" customFormat="1" ht="12" customHeight="1" x14ac:dyDescent="0.2">
      <c r="A637" s="78">
        <v>234640</v>
      </c>
      <c r="B637" s="69" t="s">
        <v>690</v>
      </c>
      <c r="C637" s="60" t="s">
        <v>1196</v>
      </c>
      <c r="D637" s="66" t="s">
        <v>1203</v>
      </c>
      <c r="E637" s="66" t="s">
        <v>1292</v>
      </c>
      <c r="F637" s="66" t="s">
        <v>1642</v>
      </c>
      <c r="G637" s="60" t="s">
        <v>7</v>
      </c>
      <c r="H637" s="61">
        <v>0.22083333333333333</v>
      </c>
      <c r="I637" s="61">
        <v>0.22083333333333333</v>
      </c>
      <c r="J637" s="62"/>
      <c r="K637" s="63" t="s">
        <v>1723</v>
      </c>
      <c r="L637" s="64" t="s">
        <v>1203</v>
      </c>
      <c r="M637" s="64" t="s">
        <v>1292</v>
      </c>
    </row>
    <row r="638" spans="1:13" s="65" customFormat="1" ht="12" customHeight="1" x14ac:dyDescent="0.2">
      <c r="A638" s="78">
        <v>234644</v>
      </c>
      <c r="B638" s="69" t="s">
        <v>691</v>
      </c>
      <c r="C638" s="60" t="s">
        <v>1196</v>
      </c>
      <c r="D638" s="66" t="s">
        <v>1202</v>
      </c>
      <c r="E638" s="66" t="s">
        <v>1433</v>
      </c>
      <c r="F638" s="66" t="s">
        <v>1693</v>
      </c>
      <c r="G638" s="60" t="s">
        <v>8</v>
      </c>
      <c r="H638" s="61">
        <v>0.66666666666666663</v>
      </c>
      <c r="I638" s="61"/>
      <c r="J638" s="62">
        <v>0.66666666666666663</v>
      </c>
      <c r="K638" s="63" t="s">
        <v>1718</v>
      </c>
      <c r="L638" s="64" t="s">
        <v>1202</v>
      </c>
      <c r="M638" s="64" t="s">
        <v>1433</v>
      </c>
    </row>
    <row r="639" spans="1:13" s="65" customFormat="1" ht="12" customHeight="1" x14ac:dyDescent="0.2">
      <c r="A639" s="78">
        <v>234647</v>
      </c>
      <c r="B639" s="69" t="s">
        <v>692</v>
      </c>
      <c r="C639" s="60" t="s">
        <v>1196</v>
      </c>
      <c r="D639" s="66" t="s">
        <v>1201</v>
      </c>
      <c r="E639" s="66" t="s">
        <v>1347</v>
      </c>
      <c r="F639" s="66" t="s">
        <v>1616</v>
      </c>
      <c r="G639" s="60" t="s">
        <v>8</v>
      </c>
      <c r="H639" s="61">
        <v>7.0833333333333331E-2</v>
      </c>
      <c r="I639" s="61"/>
      <c r="J639" s="62">
        <v>7.0833333333333331E-2</v>
      </c>
      <c r="K639" s="63" t="s">
        <v>1718</v>
      </c>
      <c r="L639" s="64" t="s">
        <v>1201</v>
      </c>
      <c r="M639" s="64" t="s">
        <v>1347</v>
      </c>
    </row>
    <row r="640" spans="1:13" s="65" customFormat="1" ht="12" customHeight="1" x14ac:dyDescent="0.2">
      <c r="A640" s="78">
        <v>234648</v>
      </c>
      <c r="B640" s="69" t="s">
        <v>693</v>
      </c>
      <c r="C640" s="60" t="s">
        <v>1196</v>
      </c>
      <c r="D640" s="66" t="s">
        <v>1201</v>
      </c>
      <c r="E640" s="66" t="s">
        <v>1475</v>
      </c>
      <c r="F640" s="66" t="s">
        <v>1589</v>
      </c>
      <c r="G640" s="60" t="s">
        <v>7</v>
      </c>
      <c r="H640" s="61">
        <v>8.4409722222222214</v>
      </c>
      <c r="I640" s="61">
        <v>8.4409722222222214</v>
      </c>
      <c r="J640" s="62"/>
      <c r="K640" s="63" t="s">
        <v>1718</v>
      </c>
      <c r="L640" s="64" t="s">
        <v>1201</v>
      </c>
      <c r="M640" s="64" t="s">
        <v>1475</v>
      </c>
    </row>
    <row r="641" spans="1:13" s="65" customFormat="1" ht="12" customHeight="1" x14ac:dyDescent="0.2">
      <c r="A641" s="78">
        <v>234649</v>
      </c>
      <c r="B641" s="69" t="s">
        <v>694</v>
      </c>
      <c r="C641" s="60" t="s">
        <v>1196</v>
      </c>
      <c r="D641" s="66" t="s">
        <v>1203</v>
      </c>
      <c r="E641" s="66" t="s">
        <v>1370</v>
      </c>
      <c r="F641" s="66" t="s">
        <v>1603</v>
      </c>
      <c r="G641" s="60" t="s">
        <v>8</v>
      </c>
      <c r="H641" s="61">
        <v>0.37986111111111115</v>
      </c>
      <c r="I641" s="61"/>
      <c r="J641" s="62">
        <v>0.37986111111111115</v>
      </c>
      <c r="K641" s="63" t="s">
        <v>1718</v>
      </c>
      <c r="L641" s="64" t="s">
        <v>1203</v>
      </c>
      <c r="M641" s="64" t="s">
        <v>1370</v>
      </c>
    </row>
    <row r="642" spans="1:13" s="65" customFormat="1" ht="12" customHeight="1" x14ac:dyDescent="0.2">
      <c r="A642" s="78">
        <v>234668</v>
      </c>
      <c r="B642" s="69" t="s">
        <v>695</v>
      </c>
      <c r="C642" s="60" t="s">
        <v>1196</v>
      </c>
      <c r="D642" s="66" t="s">
        <v>1204</v>
      </c>
      <c r="E642" s="66" t="s">
        <v>1507</v>
      </c>
      <c r="F642" s="66" t="s">
        <v>1706</v>
      </c>
      <c r="G642" s="60" t="s">
        <v>7</v>
      </c>
      <c r="H642" s="61">
        <v>1.0715277777777779</v>
      </c>
      <c r="I642" s="61">
        <v>1.0715277777777779</v>
      </c>
      <c r="J642" s="62"/>
      <c r="K642" s="63" t="s">
        <v>1722</v>
      </c>
      <c r="L642" s="64" t="s">
        <v>1204</v>
      </c>
      <c r="M642" s="64" t="s">
        <v>1507</v>
      </c>
    </row>
    <row r="643" spans="1:13" s="65" customFormat="1" ht="12" customHeight="1" x14ac:dyDescent="0.2">
      <c r="A643" s="78">
        <v>234669</v>
      </c>
      <c r="B643" s="69" t="s">
        <v>696</v>
      </c>
      <c r="C643" s="60" t="s">
        <v>1196</v>
      </c>
      <c r="D643" s="66" t="s">
        <v>1203</v>
      </c>
      <c r="E643" s="66" t="s">
        <v>1292</v>
      </c>
      <c r="F643" s="66" t="s">
        <v>1642</v>
      </c>
      <c r="G643" s="60" t="s">
        <v>7</v>
      </c>
      <c r="H643" s="61">
        <v>0.20555555555555557</v>
      </c>
      <c r="I643" s="61">
        <v>0.20555555555555557</v>
      </c>
      <c r="J643" s="62"/>
      <c r="K643" s="63" t="s">
        <v>1722</v>
      </c>
      <c r="L643" s="64" t="s">
        <v>1203</v>
      </c>
      <c r="M643" s="64" t="s">
        <v>1292</v>
      </c>
    </row>
    <row r="644" spans="1:13" s="65" customFormat="1" ht="12" customHeight="1" x14ac:dyDescent="0.2">
      <c r="A644" s="78">
        <v>234673</v>
      </c>
      <c r="B644" s="69" t="s">
        <v>697</v>
      </c>
      <c r="C644" s="60" t="s">
        <v>1196</v>
      </c>
      <c r="D644" s="66" t="s">
        <v>1201</v>
      </c>
      <c r="E644" s="66" t="s">
        <v>1441</v>
      </c>
      <c r="F644" s="66" t="s">
        <v>1697</v>
      </c>
      <c r="G644" s="60" t="s">
        <v>8</v>
      </c>
      <c r="H644" s="61">
        <v>4.8624999999999998</v>
      </c>
      <c r="I644" s="61"/>
      <c r="J644" s="62">
        <v>4.8624999999999998</v>
      </c>
      <c r="K644" s="63" t="s">
        <v>1718</v>
      </c>
      <c r="L644" s="64" t="s">
        <v>1201</v>
      </c>
      <c r="M644" s="64" t="s">
        <v>1441</v>
      </c>
    </row>
    <row r="645" spans="1:13" s="65" customFormat="1" ht="12" customHeight="1" x14ac:dyDescent="0.2">
      <c r="A645" s="78">
        <v>234680</v>
      </c>
      <c r="B645" s="69" t="s">
        <v>698</v>
      </c>
      <c r="C645" s="60" t="s">
        <v>1196</v>
      </c>
      <c r="D645" s="66" t="s">
        <v>1204</v>
      </c>
      <c r="E645" s="66" t="s">
        <v>1511</v>
      </c>
      <c r="F645" s="66" t="s">
        <v>1680</v>
      </c>
      <c r="G645" s="60" t="s">
        <v>7</v>
      </c>
      <c r="H645" s="61">
        <v>9.7222222222222224E-3</v>
      </c>
      <c r="I645" s="61">
        <v>9.7222222222222224E-3</v>
      </c>
      <c r="J645" s="62"/>
      <c r="K645" s="63" t="s">
        <v>1723</v>
      </c>
      <c r="L645" s="64" t="s">
        <v>1204</v>
      </c>
      <c r="M645" s="64" t="s">
        <v>1511</v>
      </c>
    </row>
    <row r="646" spans="1:13" s="65" customFormat="1" ht="12" customHeight="1" x14ac:dyDescent="0.2">
      <c r="A646" s="78">
        <v>234727</v>
      </c>
      <c r="B646" s="69" t="s">
        <v>699</v>
      </c>
      <c r="C646" s="60" t="s">
        <v>1196</v>
      </c>
      <c r="D646" s="66" t="s">
        <v>1199</v>
      </c>
      <c r="E646" s="66" t="s">
        <v>1384</v>
      </c>
      <c r="F646" s="66" t="s">
        <v>1678</v>
      </c>
      <c r="G646" s="60" t="s">
        <v>8</v>
      </c>
      <c r="H646" s="61">
        <v>1.9444444444444445E-2</v>
      </c>
      <c r="I646" s="61"/>
      <c r="J646" s="62">
        <v>1.9444444444444445E-2</v>
      </c>
      <c r="K646" s="63" t="s">
        <v>1718</v>
      </c>
      <c r="L646" s="64" t="s">
        <v>1199</v>
      </c>
      <c r="M646" s="64" t="s">
        <v>1384</v>
      </c>
    </row>
    <row r="647" spans="1:13" s="65" customFormat="1" ht="12" customHeight="1" x14ac:dyDescent="0.2">
      <c r="A647" s="78">
        <v>234732</v>
      </c>
      <c r="B647" s="69" t="s">
        <v>700</v>
      </c>
      <c r="C647" s="60" t="s">
        <v>1196</v>
      </c>
      <c r="D647" s="66" t="s">
        <v>1202</v>
      </c>
      <c r="E647" s="66" t="s">
        <v>1433</v>
      </c>
      <c r="F647" s="66" t="s">
        <v>1693</v>
      </c>
      <c r="G647" s="60" t="s">
        <v>7</v>
      </c>
      <c r="H647" s="61">
        <v>9.7680555555555557</v>
      </c>
      <c r="I647" s="61">
        <v>9.7680555555555557</v>
      </c>
      <c r="J647" s="62"/>
      <c r="K647" s="63" t="s">
        <v>1718</v>
      </c>
      <c r="L647" s="64" t="s">
        <v>1202</v>
      </c>
      <c r="M647" s="64" t="s">
        <v>1433</v>
      </c>
    </row>
    <row r="648" spans="1:13" s="65" customFormat="1" ht="12" customHeight="1" x14ac:dyDescent="0.2">
      <c r="A648" s="78">
        <v>234733</v>
      </c>
      <c r="B648" s="69" t="s">
        <v>701</v>
      </c>
      <c r="C648" s="60" t="s">
        <v>1196</v>
      </c>
      <c r="D648" s="66" t="s">
        <v>1202</v>
      </c>
      <c r="E648" s="66" t="s">
        <v>1512</v>
      </c>
      <c r="F648" s="66" t="s">
        <v>1708</v>
      </c>
      <c r="G648" s="60" t="s">
        <v>8</v>
      </c>
      <c r="H648" s="61">
        <v>4.1402777777777775</v>
      </c>
      <c r="I648" s="61"/>
      <c r="J648" s="62">
        <v>4.1402777777777775</v>
      </c>
      <c r="K648" s="63" t="s">
        <v>1718</v>
      </c>
      <c r="L648" s="64" t="s">
        <v>1202</v>
      </c>
      <c r="M648" s="64" t="s">
        <v>1512</v>
      </c>
    </row>
    <row r="649" spans="1:13" s="65" customFormat="1" ht="12" customHeight="1" x14ac:dyDescent="0.2">
      <c r="A649" s="78">
        <v>234735</v>
      </c>
      <c r="B649" s="69" t="s">
        <v>702</v>
      </c>
      <c r="C649" s="60" t="s">
        <v>1196</v>
      </c>
      <c r="D649" s="66" t="s">
        <v>1199</v>
      </c>
      <c r="E649" s="66" t="s">
        <v>1487</v>
      </c>
      <c r="F649" s="66" t="s">
        <v>1686</v>
      </c>
      <c r="G649" s="60" t="s">
        <v>8</v>
      </c>
      <c r="H649" s="61">
        <v>0.16666666666666666</v>
      </c>
      <c r="I649" s="61"/>
      <c r="J649" s="62">
        <v>0.16666666666666666</v>
      </c>
      <c r="K649" s="63" t="s">
        <v>1718</v>
      </c>
      <c r="L649" s="64" t="s">
        <v>1199</v>
      </c>
      <c r="M649" s="64" t="s">
        <v>1487</v>
      </c>
    </row>
    <row r="650" spans="1:13" s="65" customFormat="1" ht="12" customHeight="1" x14ac:dyDescent="0.2">
      <c r="A650" s="78">
        <v>234739</v>
      </c>
      <c r="B650" s="69" t="s">
        <v>703</v>
      </c>
      <c r="C650" s="60" t="s">
        <v>1196</v>
      </c>
      <c r="D650" s="66" t="s">
        <v>1204</v>
      </c>
      <c r="E650" s="66" t="s">
        <v>1459</v>
      </c>
      <c r="F650" s="66" t="s">
        <v>1604</v>
      </c>
      <c r="G650" s="60" t="s">
        <v>8</v>
      </c>
      <c r="H650" s="61">
        <v>0.5756944444444444</v>
      </c>
      <c r="I650" s="61"/>
      <c r="J650" s="62">
        <v>0.5756944444444444</v>
      </c>
      <c r="K650" s="63" t="s">
        <v>1718</v>
      </c>
      <c r="L650" s="64" t="s">
        <v>1204</v>
      </c>
      <c r="M650" s="64" t="s">
        <v>1459</v>
      </c>
    </row>
    <row r="651" spans="1:13" s="65" customFormat="1" ht="12" customHeight="1" x14ac:dyDescent="0.2">
      <c r="A651" s="78">
        <v>234743</v>
      </c>
      <c r="B651" s="69" t="s">
        <v>704</v>
      </c>
      <c r="C651" s="60" t="s">
        <v>1196</v>
      </c>
      <c r="D651" s="66" t="s">
        <v>1205</v>
      </c>
      <c r="E651" s="66" t="s">
        <v>1468</v>
      </c>
      <c r="F651" s="66" t="s">
        <v>1689</v>
      </c>
      <c r="G651" s="60" t="s">
        <v>7</v>
      </c>
      <c r="H651" s="61">
        <v>0.87638888888888899</v>
      </c>
      <c r="I651" s="61">
        <v>0.87638888888888899</v>
      </c>
      <c r="J651" s="62"/>
      <c r="K651" s="63" t="s">
        <v>1718</v>
      </c>
      <c r="L651" s="64" t="s">
        <v>1205</v>
      </c>
      <c r="M651" s="64" t="s">
        <v>1468</v>
      </c>
    </row>
    <row r="652" spans="1:13" s="65" customFormat="1" ht="12" customHeight="1" x14ac:dyDescent="0.2">
      <c r="A652" s="78">
        <v>234788</v>
      </c>
      <c r="B652" s="69" t="s">
        <v>705</v>
      </c>
      <c r="C652" s="60" t="s">
        <v>1196</v>
      </c>
      <c r="D652" s="66" t="s">
        <v>1201</v>
      </c>
      <c r="E652" s="66" t="s">
        <v>1513</v>
      </c>
      <c r="F652" s="66" t="s">
        <v>1709</v>
      </c>
      <c r="G652" s="60" t="s">
        <v>7</v>
      </c>
      <c r="H652" s="61">
        <v>2.9291666666666667</v>
      </c>
      <c r="I652" s="61">
        <v>2.9291666666666667</v>
      </c>
      <c r="J652" s="62"/>
      <c r="K652" s="63" t="s">
        <v>1718</v>
      </c>
      <c r="L652" s="64" t="s">
        <v>1201</v>
      </c>
      <c r="M652" s="64" t="s">
        <v>1513</v>
      </c>
    </row>
    <row r="653" spans="1:13" s="65" customFormat="1" ht="12" customHeight="1" x14ac:dyDescent="0.2">
      <c r="A653" s="78">
        <v>234795</v>
      </c>
      <c r="B653" s="69" t="s">
        <v>706</v>
      </c>
      <c r="C653" s="60" t="s">
        <v>1196</v>
      </c>
      <c r="D653" s="66" t="s">
        <v>1202</v>
      </c>
      <c r="E653" s="66" t="s">
        <v>1512</v>
      </c>
      <c r="F653" s="66" t="s">
        <v>1708</v>
      </c>
      <c r="G653" s="60" t="s">
        <v>7</v>
      </c>
      <c r="H653" s="61">
        <v>4.2868055555555555</v>
      </c>
      <c r="I653" s="61">
        <v>4.2868055555555555</v>
      </c>
      <c r="J653" s="62"/>
      <c r="K653" s="63" t="s">
        <v>1718</v>
      </c>
      <c r="L653" s="64" t="s">
        <v>1202</v>
      </c>
      <c r="M653" s="64" t="s">
        <v>1512</v>
      </c>
    </row>
    <row r="654" spans="1:13" s="65" customFormat="1" ht="12" customHeight="1" x14ac:dyDescent="0.2">
      <c r="A654" s="78">
        <v>234799</v>
      </c>
      <c r="B654" s="69" t="s">
        <v>707</v>
      </c>
      <c r="C654" s="60" t="s">
        <v>1196</v>
      </c>
      <c r="D654" s="66" t="s">
        <v>1201</v>
      </c>
      <c r="E654" s="66" t="s">
        <v>1513</v>
      </c>
      <c r="F654" s="66" t="s">
        <v>1709</v>
      </c>
      <c r="G654" s="60" t="s">
        <v>8</v>
      </c>
      <c r="H654" s="61">
        <v>0.1763888888888889</v>
      </c>
      <c r="I654" s="61"/>
      <c r="J654" s="62">
        <v>0.1763888888888889</v>
      </c>
      <c r="K654" s="63" t="s">
        <v>1718</v>
      </c>
      <c r="L654" s="64" t="s">
        <v>1201</v>
      </c>
      <c r="M654" s="64" t="s">
        <v>1513</v>
      </c>
    </row>
    <row r="655" spans="1:13" s="65" customFormat="1" ht="12" customHeight="1" x14ac:dyDescent="0.2">
      <c r="A655" s="78">
        <v>234802</v>
      </c>
      <c r="B655" s="69" t="s">
        <v>708</v>
      </c>
      <c r="C655" s="60" t="s">
        <v>1196</v>
      </c>
      <c r="D655" s="66" t="s">
        <v>1197</v>
      </c>
      <c r="E655" s="66" t="s">
        <v>1471</v>
      </c>
      <c r="F655" s="66" t="s">
        <v>1636</v>
      </c>
      <c r="G655" s="60" t="s">
        <v>7</v>
      </c>
      <c r="H655" s="61">
        <v>5.8673611111111112</v>
      </c>
      <c r="I655" s="61">
        <v>5.8673611111111112</v>
      </c>
      <c r="J655" s="62"/>
      <c r="K655" s="63" t="s">
        <v>1718</v>
      </c>
      <c r="L655" s="64" t="s">
        <v>1197</v>
      </c>
      <c r="M655" s="64" t="s">
        <v>1471</v>
      </c>
    </row>
    <row r="656" spans="1:13" s="65" customFormat="1" ht="12" customHeight="1" x14ac:dyDescent="0.2">
      <c r="A656" s="78">
        <v>234813</v>
      </c>
      <c r="B656" s="69" t="s">
        <v>709</v>
      </c>
      <c r="C656" s="60" t="s">
        <v>1196</v>
      </c>
      <c r="D656" s="66" t="s">
        <v>1197</v>
      </c>
      <c r="E656" s="66" t="s">
        <v>1328</v>
      </c>
      <c r="F656" s="66" t="s">
        <v>1660</v>
      </c>
      <c r="G656" s="60" t="s">
        <v>7</v>
      </c>
      <c r="H656" s="61">
        <v>6.1555555555555559</v>
      </c>
      <c r="I656" s="61">
        <v>6.1555555555555559</v>
      </c>
      <c r="J656" s="62"/>
      <c r="K656" s="63" t="s">
        <v>1718</v>
      </c>
      <c r="L656" s="64" t="s">
        <v>1197</v>
      </c>
      <c r="M656" s="64" t="s">
        <v>1328</v>
      </c>
    </row>
    <row r="657" spans="1:13" s="65" customFormat="1" ht="12" customHeight="1" x14ac:dyDescent="0.2">
      <c r="A657" s="78">
        <v>234853</v>
      </c>
      <c r="B657" s="69" t="s">
        <v>710</v>
      </c>
      <c r="C657" s="60" t="s">
        <v>1196</v>
      </c>
      <c r="D657" s="66" t="s">
        <v>1200</v>
      </c>
      <c r="E657" s="66" t="s">
        <v>1350</v>
      </c>
      <c r="F657" s="66" t="s">
        <v>1613</v>
      </c>
      <c r="G657" s="60" t="s">
        <v>8</v>
      </c>
      <c r="H657" s="61">
        <v>0.4680555555555555</v>
      </c>
      <c r="I657" s="61"/>
      <c r="J657" s="62">
        <v>0.4680555555555555</v>
      </c>
      <c r="K657" s="63" t="s">
        <v>1718</v>
      </c>
      <c r="L657" s="64" t="s">
        <v>1200</v>
      </c>
      <c r="M657" s="64" t="s">
        <v>1350</v>
      </c>
    </row>
    <row r="658" spans="1:13" s="65" customFormat="1" ht="12" customHeight="1" x14ac:dyDescent="0.2">
      <c r="A658" s="78">
        <v>234858</v>
      </c>
      <c r="B658" s="69" t="s">
        <v>711</v>
      </c>
      <c r="C658" s="60" t="s">
        <v>1196</v>
      </c>
      <c r="D658" s="66" t="s">
        <v>1202</v>
      </c>
      <c r="E658" s="66" t="s">
        <v>1455</v>
      </c>
      <c r="F658" s="66" t="s">
        <v>1700</v>
      </c>
      <c r="G658" s="60" t="s">
        <v>8</v>
      </c>
      <c r="H658" s="61">
        <v>5.2569444444444446</v>
      </c>
      <c r="I658" s="61"/>
      <c r="J658" s="62">
        <v>5.2569444444444446</v>
      </c>
      <c r="K658" s="63" t="s">
        <v>1718</v>
      </c>
      <c r="L658" s="64" t="s">
        <v>1202</v>
      </c>
      <c r="M658" s="64" t="s">
        <v>1455</v>
      </c>
    </row>
    <row r="659" spans="1:13" s="65" customFormat="1" ht="12" customHeight="1" x14ac:dyDescent="0.2">
      <c r="A659" s="78">
        <v>234860</v>
      </c>
      <c r="B659" s="69" t="s">
        <v>712</v>
      </c>
      <c r="C659" s="60" t="s">
        <v>1196</v>
      </c>
      <c r="D659" s="66" t="s">
        <v>1205</v>
      </c>
      <c r="E659" s="66" t="s">
        <v>1336</v>
      </c>
      <c r="F659" s="66" t="s">
        <v>1663</v>
      </c>
      <c r="G659" s="60" t="s">
        <v>8</v>
      </c>
      <c r="H659" s="61">
        <v>0.4909722222222222</v>
      </c>
      <c r="I659" s="61"/>
      <c r="J659" s="62">
        <v>0.4909722222222222</v>
      </c>
      <c r="K659" s="63" t="s">
        <v>1718</v>
      </c>
      <c r="L659" s="64" t="s">
        <v>1205</v>
      </c>
      <c r="M659" s="64" t="s">
        <v>1336</v>
      </c>
    </row>
    <row r="660" spans="1:13" s="65" customFormat="1" ht="12" customHeight="1" x14ac:dyDescent="0.2">
      <c r="A660" s="78">
        <v>234861</v>
      </c>
      <c r="B660" s="69" t="s">
        <v>713</v>
      </c>
      <c r="C660" s="60" t="s">
        <v>1196</v>
      </c>
      <c r="D660" s="66" t="s">
        <v>1202</v>
      </c>
      <c r="E660" s="66" t="s">
        <v>1514</v>
      </c>
      <c r="F660" s="66" t="s">
        <v>1708</v>
      </c>
      <c r="G660" s="60" t="s">
        <v>8</v>
      </c>
      <c r="H660" s="61">
        <v>0.64722222222222225</v>
      </c>
      <c r="I660" s="61"/>
      <c r="J660" s="62">
        <v>0.64722222222222225</v>
      </c>
      <c r="K660" s="63" t="s">
        <v>1722</v>
      </c>
      <c r="L660" s="64" t="s">
        <v>1202</v>
      </c>
      <c r="M660" s="64" t="s">
        <v>1514</v>
      </c>
    </row>
    <row r="661" spans="1:13" s="65" customFormat="1" ht="12" customHeight="1" x14ac:dyDescent="0.2">
      <c r="A661" s="78">
        <v>234862</v>
      </c>
      <c r="B661" s="69" t="s">
        <v>714</v>
      </c>
      <c r="C661" s="60" t="s">
        <v>1196</v>
      </c>
      <c r="D661" s="66" t="s">
        <v>1197</v>
      </c>
      <c r="E661" s="66" t="s">
        <v>1312</v>
      </c>
      <c r="F661" s="66" t="s">
        <v>1600</v>
      </c>
      <c r="G661" s="60" t="s">
        <v>7</v>
      </c>
      <c r="H661" s="61">
        <v>0.13749999999999998</v>
      </c>
      <c r="I661" s="61">
        <v>0.13749999999999998</v>
      </c>
      <c r="J661" s="62"/>
      <c r="K661" s="63" t="s">
        <v>1718</v>
      </c>
      <c r="L661" s="64" t="s">
        <v>1197</v>
      </c>
      <c r="M661" s="64" t="s">
        <v>1312</v>
      </c>
    </row>
    <row r="662" spans="1:13" s="65" customFormat="1" ht="12" customHeight="1" x14ac:dyDescent="0.2">
      <c r="A662" s="78">
        <v>234910</v>
      </c>
      <c r="B662" s="69" t="s">
        <v>715</v>
      </c>
      <c r="C662" s="60" t="s">
        <v>1196</v>
      </c>
      <c r="D662" s="66" t="s">
        <v>1203</v>
      </c>
      <c r="E662" s="66" t="s">
        <v>1370</v>
      </c>
      <c r="F662" s="66" t="s">
        <v>1603</v>
      </c>
      <c r="G662" s="60" t="s">
        <v>7</v>
      </c>
      <c r="H662" s="61">
        <v>0.36874999999999997</v>
      </c>
      <c r="I662" s="61">
        <v>0.36874999999999997</v>
      </c>
      <c r="J662" s="62"/>
      <c r="K662" s="63" t="s">
        <v>1718</v>
      </c>
      <c r="L662" s="64" t="s">
        <v>1203</v>
      </c>
      <c r="M662" s="64" t="s">
        <v>1370</v>
      </c>
    </row>
    <row r="663" spans="1:13" s="65" customFormat="1" ht="12" customHeight="1" x14ac:dyDescent="0.2">
      <c r="A663" s="78">
        <v>234931</v>
      </c>
      <c r="B663" s="69" t="s">
        <v>716</v>
      </c>
      <c r="C663" s="60" t="s">
        <v>1196</v>
      </c>
      <c r="D663" s="66" t="s">
        <v>1197</v>
      </c>
      <c r="E663" s="66" t="s">
        <v>1332</v>
      </c>
      <c r="F663" s="66" t="s">
        <v>1623</v>
      </c>
      <c r="G663" s="60" t="s">
        <v>8</v>
      </c>
      <c r="H663" s="61">
        <v>4.7222222222222221E-2</v>
      </c>
      <c r="I663" s="61"/>
      <c r="J663" s="62">
        <v>4.7222222222222221E-2</v>
      </c>
      <c r="K663" s="63" t="s">
        <v>1718</v>
      </c>
      <c r="L663" s="64" t="s">
        <v>1197</v>
      </c>
      <c r="M663" s="64" t="s">
        <v>1332</v>
      </c>
    </row>
    <row r="664" spans="1:13" s="65" customFormat="1" ht="12" customHeight="1" x14ac:dyDescent="0.2">
      <c r="A664" s="78">
        <v>234935</v>
      </c>
      <c r="B664" s="69" t="s">
        <v>717</v>
      </c>
      <c r="C664" s="60" t="s">
        <v>1196</v>
      </c>
      <c r="D664" s="66" t="s">
        <v>1201</v>
      </c>
      <c r="E664" s="66" t="s">
        <v>1515</v>
      </c>
      <c r="F664" s="66" t="s">
        <v>1591</v>
      </c>
      <c r="G664" s="60" t="s">
        <v>7</v>
      </c>
      <c r="H664" s="61">
        <v>0.15138888888888888</v>
      </c>
      <c r="I664" s="61">
        <v>0.15138888888888888</v>
      </c>
      <c r="J664" s="62"/>
      <c r="K664" s="63" t="s">
        <v>1720</v>
      </c>
      <c r="L664" s="64" t="s">
        <v>1201</v>
      </c>
      <c r="M664" s="64" t="s">
        <v>1515</v>
      </c>
    </row>
    <row r="665" spans="1:13" s="65" customFormat="1" ht="12" customHeight="1" x14ac:dyDescent="0.2">
      <c r="A665" s="78">
        <v>234938</v>
      </c>
      <c r="B665" s="69" t="s">
        <v>718</v>
      </c>
      <c r="C665" s="60" t="s">
        <v>1196</v>
      </c>
      <c r="D665" s="66" t="s">
        <v>1204</v>
      </c>
      <c r="E665" s="66" t="s">
        <v>1516</v>
      </c>
      <c r="F665" s="66" t="s">
        <v>1593</v>
      </c>
      <c r="G665" s="60" t="s">
        <v>8</v>
      </c>
      <c r="H665" s="61">
        <v>1.0020833333333334</v>
      </c>
      <c r="I665" s="61"/>
      <c r="J665" s="62">
        <v>1.0020833333333334</v>
      </c>
      <c r="K665" s="63" t="s">
        <v>1720</v>
      </c>
      <c r="L665" s="64" t="s">
        <v>1204</v>
      </c>
      <c r="M665" s="64" t="s">
        <v>1516</v>
      </c>
    </row>
    <row r="666" spans="1:13" s="65" customFormat="1" ht="12" customHeight="1" x14ac:dyDescent="0.2">
      <c r="A666" s="78">
        <v>234952</v>
      </c>
      <c r="B666" s="69" t="s">
        <v>719</v>
      </c>
      <c r="C666" s="60" t="s">
        <v>1196</v>
      </c>
      <c r="D666" s="66" t="s">
        <v>1201</v>
      </c>
      <c r="E666" s="66" t="s">
        <v>1517</v>
      </c>
      <c r="F666" s="66" t="s">
        <v>1709</v>
      </c>
      <c r="G666" s="60" t="s">
        <v>7</v>
      </c>
      <c r="H666" s="61">
        <v>0.87708333333333333</v>
      </c>
      <c r="I666" s="61">
        <v>0.87708333333333333</v>
      </c>
      <c r="J666" s="62"/>
      <c r="K666" s="63" t="s">
        <v>1722</v>
      </c>
      <c r="L666" s="64" t="s">
        <v>1201</v>
      </c>
      <c r="M666" s="64" t="s">
        <v>1517</v>
      </c>
    </row>
    <row r="667" spans="1:13" s="65" customFormat="1" ht="12" customHeight="1" x14ac:dyDescent="0.2">
      <c r="A667" s="78">
        <v>235001</v>
      </c>
      <c r="B667" s="69" t="s">
        <v>720</v>
      </c>
      <c r="C667" s="60" t="s">
        <v>1196</v>
      </c>
      <c r="D667" s="66" t="s">
        <v>1197</v>
      </c>
      <c r="E667" s="66" t="s">
        <v>1316</v>
      </c>
      <c r="F667" s="66" t="s">
        <v>1629</v>
      </c>
      <c r="G667" s="60" t="s">
        <v>7</v>
      </c>
      <c r="H667" s="61">
        <v>2.911111111111111</v>
      </c>
      <c r="I667" s="61">
        <v>2.911111111111111</v>
      </c>
      <c r="J667" s="62"/>
      <c r="K667" s="63" t="s">
        <v>1718</v>
      </c>
      <c r="L667" s="64" t="s">
        <v>1197</v>
      </c>
      <c r="M667" s="64" t="s">
        <v>1316</v>
      </c>
    </row>
    <row r="668" spans="1:13" s="65" customFormat="1" ht="12" customHeight="1" x14ac:dyDescent="0.2">
      <c r="A668" s="78">
        <v>235023</v>
      </c>
      <c r="B668" s="69" t="s">
        <v>721</v>
      </c>
      <c r="C668" s="60" t="s">
        <v>1196</v>
      </c>
      <c r="D668" s="66" t="s">
        <v>1204</v>
      </c>
      <c r="E668" s="66" t="s">
        <v>1459</v>
      </c>
      <c r="F668" s="66" t="s">
        <v>1604</v>
      </c>
      <c r="G668" s="60" t="s">
        <v>7</v>
      </c>
      <c r="H668" s="61">
        <v>0.52986111111111112</v>
      </c>
      <c r="I668" s="61">
        <v>0.52986111111111112</v>
      </c>
      <c r="J668" s="62"/>
      <c r="K668" s="63" t="s">
        <v>1718</v>
      </c>
      <c r="L668" s="64" t="s">
        <v>1204</v>
      </c>
      <c r="M668" s="64" t="s">
        <v>1459</v>
      </c>
    </row>
    <row r="669" spans="1:13" s="65" customFormat="1" ht="12" customHeight="1" x14ac:dyDescent="0.2">
      <c r="A669" s="78">
        <v>235040</v>
      </c>
      <c r="B669" s="69" t="s">
        <v>722</v>
      </c>
      <c r="C669" s="60" t="s">
        <v>1196</v>
      </c>
      <c r="D669" s="66" t="s">
        <v>1202</v>
      </c>
      <c r="E669" s="66" t="s">
        <v>1512</v>
      </c>
      <c r="F669" s="66" t="s">
        <v>1708</v>
      </c>
      <c r="G669" s="60" t="s">
        <v>8</v>
      </c>
      <c r="H669" s="61">
        <v>6.4909722222222221</v>
      </c>
      <c r="I669" s="61"/>
      <c r="J669" s="62">
        <v>6.4909722222222221</v>
      </c>
      <c r="K669" s="63" t="s">
        <v>1718</v>
      </c>
      <c r="L669" s="64" t="s">
        <v>1202</v>
      </c>
      <c r="M669" s="64" t="s">
        <v>1512</v>
      </c>
    </row>
    <row r="670" spans="1:13" s="65" customFormat="1" ht="12" customHeight="1" x14ac:dyDescent="0.2">
      <c r="A670" s="78">
        <v>235056</v>
      </c>
      <c r="B670" s="69" t="s">
        <v>723</v>
      </c>
      <c r="C670" s="60" t="s">
        <v>1196</v>
      </c>
      <c r="D670" s="66" t="s">
        <v>1201</v>
      </c>
      <c r="E670" s="66" t="s">
        <v>1441</v>
      </c>
      <c r="F670" s="66" t="s">
        <v>1697</v>
      </c>
      <c r="G670" s="60" t="s">
        <v>8</v>
      </c>
      <c r="H670" s="61">
        <v>2.8458333333333332</v>
      </c>
      <c r="I670" s="61"/>
      <c r="J670" s="62">
        <v>2.8458333333333332</v>
      </c>
      <c r="K670" s="63" t="s">
        <v>1718</v>
      </c>
      <c r="L670" s="64" t="s">
        <v>1201</v>
      </c>
      <c r="M670" s="64" t="s">
        <v>1441</v>
      </c>
    </row>
    <row r="671" spans="1:13" s="65" customFormat="1" ht="12" customHeight="1" x14ac:dyDescent="0.2">
      <c r="A671" s="78">
        <v>235076</v>
      </c>
      <c r="B671" s="69" t="s">
        <v>724</v>
      </c>
      <c r="C671" s="60" t="s">
        <v>1196</v>
      </c>
      <c r="D671" s="66" t="s">
        <v>1202</v>
      </c>
      <c r="E671" s="66" t="s">
        <v>1514</v>
      </c>
      <c r="F671" s="66" t="s">
        <v>1708</v>
      </c>
      <c r="G671" s="60" t="s">
        <v>8</v>
      </c>
      <c r="H671" s="61">
        <v>0.70138888888888884</v>
      </c>
      <c r="I671" s="61"/>
      <c r="J671" s="62">
        <v>0.70138888888888884</v>
      </c>
      <c r="K671" s="63" t="s">
        <v>1723</v>
      </c>
      <c r="L671" s="64" t="s">
        <v>1202</v>
      </c>
      <c r="M671" s="64" t="s">
        <v>1514</v>
      </c>
    </row>
    <row r="672" spans="1:13" s="65" customFormat="1" ht="12" customHeight="1" x14ac:dyDescent="0.2">
      <c r="A672" s="78">
        <v>235112</v>
      </c>
      <c r="B672" s="69" t="s">
        <v>725</v>
      </c>
      <c r="C672" s="60" t="s">
        <v>1196</v>
      </c>
      <c r="D672" s="66" t="s">
        <v>1199</v>
      </c>
      <c r="E672" s="66" t="s">
        <v>1323</v>
      </c>
      <c r="F672" s="66" t="s">
        <v>1657</v>
      </c>
      <c r="G672" s="60" t="s">
        <v>7</v>
      </c>
      <c r="H672" s="61">
        <v>0.13472222222222222</v>
      </c>
      <c r="I672" s="61">
        <v>0.13472222222222222</v>
      </c>
      <c r="J672" s="62"/>
      <c r="K672" s="63" t="s">
        <v>1718</v>
      </c>
      <c r="L672" s="64" t="s">
        <v>1199</v>
      </c>
      <c r="M672" s="64" t="s">
        <v>1323</v>
      </c>
    </row>
    <row r="673" spans="1:13" s="65" customFormat="1" ht="12" customHeight="1" x14ac:dyDescent="0.2">
      <c r="A673" s="78">
        <v>235152</v>
      </c>
      <c r="B673" s="69" t="s">
        <v>726</v>
      </c>
      <c r="C673" s="60" t="s">
        <v>1196</v>
      </c>
      <c r="D673" s="66" t="s">
        <v>1199</v>
      </c>
      <c r="E673" s="66" t="s">
        <v>1518</v>
      </c>
      <c r="F673" s="66" t="s">
        <v>1657</v>
      </c>
      <c r="G673" s="60" t="s">
        <v>7</v>
      </c>
      <c r="H673" s="61">
        <v>2.3875000000000002</v>
      </c>
      <c r="I673" s="61">
        <v>2.3875000000000002</v>
      </c>
      <c r="J673" s="62"/>
      <c r="K673" s="63" t="s">
        <v>1722</v>
      </c>
      <c r="L673" s="64" t="s">
        <v>1199</v>
      </c>
      <c r="M673" s="64" t="s">
        <v>1518</v>
      </c>
    </row>
    <row r="674" spans="1:13" s="65" customFormat="1" ht="12" customHeight="1" x14ac:dyDescent="0.2">
      <c r="A674" s="78">
        <v>235156</v>
      </c>
      <c r="B674" s="69" t="s">
        <v>727</v>
      </c>
      <c r="C674" s="60" t="s">
        <v>1196</v>
      </c>
      <c r="D674" s="66" t="s">
        <v>1199</v>
      </c>
      <c r="E674" s="66" t="s">
        <v>1518</v>
      </c>
      <c r="F674" s="66" t="s">
        <v>1657</v>
      </c>
      <c r="G674" s="60" t="s">
        <v>8</v>
      </c>
      <c r="H674" s="61">
        <v>3.888888888888889E-2</v>
      </c>
      <c r="I674" s="61"/>
      <c r="J674" s="62">
        <v>3.888888888888889E-2</v>
      </c>
      <c r="K674" s="63" t="s">
        <v>1723</v>
      </c>
      <c r="L674" s="64" t="s">
        <v>1199</v>
      </c>
      <c r="M674" s="64" t="s">
        <v>1518</v>
      </c>
    </row>
    <row r="675" spans="1:13" s="65" customFormat="1" ht="12" customHeight="1" x14ac:dyDescent="0.2">
      <c r="A675" s="78">
        <v>235178</v>
      </c>
      <c r="B675" s="69" t="s">
        <v>728</v>
      </c>
      <c r="C675" s="60" t="s">
        <v>1196</v>
      </c>
      <c r="D675" s="66" t="s">
        <v>1205</v>
      </c>
      <c r="E675" s="66" t="s">
        <v>1391</v>
      </c>
      <c r="F675" s="66" t="s">
        <v>1620</v>
      </c>
      <c r="G675" s="60" t="s">
        <v>8</v>
      </c>
      <c r="H675" s="61">
        <v>0.22847222222222222</v>
      </c>
      <c r="I675" s="61"/>
      <c r="J675" s="62">
        <v>0.22847222222222222</v>
      </c>
      <c r="K675" s="63" t="s">
        <v>1718</v>
      </c>
      <c r="L675" s="64" t="s">
        <v>1205</v>
      </c>
      <c r="M675" s="64" t="s">
        <v>1391</v>
      </c>
    </row>
    <row r="676" spans="1:13" s="65" customFormat="1" ht="12" customHeight="1" x14ac:dyDescent="0.2">
      <c r="A676" s="78">
        <v>235184</v>
      </c>
      <c r="B676" s="69" t="s">
        <v>729</v>
      </c>
      <c r="C676" s="60" t="s">
        <v>1196</v>
      </c>
      <c r="D676" s="66" t="s">
        <v>1198</v>
      </c>
      <c r="E676" s="66" t="s">
        <v>1383</v>
      </c>
      <c r="F676" s="66" t="s">
        <v>1611</v>
      </c>
      <c r="G676" s="60" t="s">
        <v>8</v>
      </c>
      <c r="H676" s="61">
        <v>2.2916666666666669E-2</v>
      </c>
      <c r="I676" s="61"/>
      <c r="J676" s="62">
        <v>2.2916666666666669E-2</v>
      </c>
      <c r="K676" s="63" t="s">
        <v>1718</v>
      </c>
      <c r="L676" s="64" t="s">
        <v>1198</v>
      </c>
      <c r="M676" s="64" t="s">
        <v>1383</v>
      </c>
    </row>
    <row r="677" spans="1:13" s="65" customFormat="1" ht="12" customHeight="1" x14ac:dyDescent="0.2">
      <c r="A677" s="78">
        <v>235185</v>
      </c>
      <c r="B677" s="69" t="s">
        <v>730</v>
      </c>
      <c r="C677" s="60" t="s">
        <v>1196</v>
      </c>
      <c r="D677" s="66" t="s">
        <v>1202</v>
      </c>
      <c r="E677" s="66" t="s">
        <v>1374</v>
      </c>
      <c r="F677" s="66" t="s">
        <v>1617</v>
      </c>
      <c r="G677" s="60" t="s">
        <v>8</v>
      </c>
      <c r="H677" s="61">
        <v>1.3479166666666667</v>
      </c>
      <c r="I677" s="61"/>
      <c r="J677" s="62">
        <v>1.3479166666666667</v>
      </c>
      <c r="K677" s="63" t="s">
        <v>1718</v>
      </c>
      <c r="L677" s="64" t="s">
        <v>1202</v>
      </c>
      <c r="M677" s="64" t="s">
        <v>1374</v>
      </c>
    </row>
    <row r="678" spans="1:13" s="65" customFormat="1" ht="12" customHeight="1" x14ac:dyDescent="0.2">
      <c r="A678" s="78">
        <v>235200</v>
      </c>
      <c r="B678" s="69" t="s">
        <v>731</v>
      </c>
      <c r="C678" s="60" t="s">
        <v>1196</v>
      </c>
      <c r="D678" s="66" t="s">
        <v>1198</v>
      </c>
      <c r="E678" s="66" t="s">
        <v>1363</v>
      </c>
      <c r="F678" s="66" t="s">
        <v>1664</v>
      </c>
      <c r="G678" s="60" t="s">
        <v>8</v>
      </c>
      <c r="H678" s="61">
        <v>0.46388888888888885</v>
      </c>
      <c r="I678" s="61"/>
      <c r="J678" s="62">
        <v>0.46388888888888885</v>
      </c>
      <c r="K678" s="63" t="s">
        <v>1718</v>
      </c>
      <c r="L678" s="64" t="s">
        <v>1198</v>
      </c>
      <c r="M678" s="64" t="s">
        <v>1363</v>
      </c>
    </row>
    <row r="679" spans="1:13" s="65" customFormat="1" ht="12" customHeight="1" x14ac:dyDescent="0.2">
      <c r="A679" s="78">
        <v>235204</v>
      </c>
      <c r="B679" s="69" t="s">
        <v>732</v>
      </c>
      <c r="C679" s="60" t="s">
        <v>1196</v>
      </c>
      <c r="D679" s="66" t="s">
        <v>1199</v>
      </c>
      <c r="E679" s="66" t="s">
        <v>1518</v>
      </c>
      <c r="F679" s="66" t="s">
        <v>1657</v>
      </c>
      <c r="G679" s="60" t="s">
        <v>8</v>
      </c>
      <c r="H679" s="61">
        <v>0.59444444444444444</v>
      </c>
      <c r="I679" s="61"/>
      <c r="J679" s="62">
        <v>0.59444444444444444</v>
      </c>
      <c r="K679" s="63" t="s">
        <v>1723</v>
      </c>
      <c r="L679" s="64" t="s">
        <v>1199</v>
      </c>
      <c r="M679" s="64" t="s">
        <v>1518</v>
      </c>
    </row>
    <row r="680" spans="1:13" s="65" customFormat="1" ht="12" customHeight="1" x14ac:dyDescent="0.2">
      <c r="A680" s="78">
        <v>235215</v>
      </c>
      <c r="B680" s="69" t="s">
        <v>733</v>
      </c>
      <c r="C680" s="60" t="s">
        <v>1196</v>
      </c>
      <c r="D680" s="66" t="s">
        <v>1201</v>
      </c>
      <c r="E680" s="66" t="s">
        <v>1463</v>
      </c>
      <c r="F680" s="66" t="s">
        <v>1701</v>
      </c>
      <c r="G680" s="60" t="s">
        <v>8</v>
      </c>
      <c r="H680" s="61">
        <v>0.43611111111111112</v>
      </c>
      <c r="I680" s="61"/>
      <c r="J680" s="62">
        <v>0.43611111111111112</v>
      </c>
      <c r="K680" s="63" t="s">
        <v>1718</v>
      </c>
      <c r="L680" s="64" t="s">
        <v>1201</v>
      </c>
      <c r="M680" s="64" t="s">
        <v>1463</v>
      </c>
    </row>
    <row r="681" spans="1:13" s="65" customFormat="1" ht="12" customHeight="1" x14ac:dyDescent="0.2">
      <c r="A681" s="78">
        <v>235232</v>
      </c>
      <c r="B681" s="69" t="s">
        <v>734</v>
      </c>
      <c r="C681" s="60" t="s">
        <v>1196</v>
      </c>
      <c r="D681" s="66" t="s">
        <v>1201</v>
      </c>
      <c r="E681" s="66" t="s">
        <v>1347</v>
      </c>
      <c r="F681" s="66" t="s">
        <v>1616</v>
      </c>
      <c r="G681" s="60" t="s">
        <v>7</v>
      </c>
      <c r="H681" s="61">
        <v>0.66111111111111109</v>
      </c>
      <c r="I681" s="61">
        <v>0.66111111111111109</v>
      </c>
      <c r="J681" s="62"/>
      <c r="K681" s="63" t="s">
        <v>1718</v>
      </c>
      <c r="L681" s="64" t="s">
        <v>1201</v>
      </c>
      <c r="M681" s="64" t="s">
        <v>1347</v>
      </c>
    </row>
    <row r="682" spans="1:13" s="65" customFormat="1" ht="12" customHeight="1" x14ac:dyDescent="0.2">
      <c r="A682" s="78">
        <v>235236</v>
      </c>
      <c r="B682" s="69" t="s">
        <v>735</v>
      </c>
      <c r="C682" s="60" t="s">
        <v>1196</v>
      </c>
      <c r="D682" s="66" t="s">
        <v>1200</v>
      </c>
      <c r="E682" s="66" t="s">
        <v>1228</v>
      </c>
      <c r="F682" s="66" t="s">
        <v>1597</v>
      </c>
      <c r="G682" s="60" t="s">
        <v>8</v>
      </c>
      <c r="H682" s="61">
        <v>1.3194444444444444E-2</v>
      </c>
      <c r="I682" s="61"/>
      <c r="J682" s="62">
        <v>1.3194444444444444E-2</v>
      </c>
      <c r="K682" s="63" t="s">
        <v>1723</v>
      </c>
      <c r="L682" s="64" t="s">
        <v>1200</v>
      </c>
      <c r="M682" s="64" t="s">
        <v>1228</v>
      </c>
    </row>
    <row r="683" spans="1:13" s="65" customFormat="1" ht="12" customHeight="1" x14ac:dyDescent="0.2">
      <c r="A683" s="78">
        <v>235242</v>
      </c>
      <c r="B683" s="69" t="s">
        <v>736</v>
      </c>
      <c r="C683" s="60" t="s">
        <v>1196</v>
      </c>
      <c r="D683" s="66" t="s">
        <v>1197</v>
      </c>
      <c r="E683" s="66" t="s">
        <v>1276</v>
      </c>
      <c r="F683" s="66" t="s">
        <v>1630</v>
      </c>
      <c r="G683" s="60" t="s">
        <v>7</v>
      </c>
      <c r="H683" s="61">
        <v>0.26666666666666666</v>
      </c>
      <c r="I683" s="61">
        <v>0.26666666666666666</v>
      </c>
      <c r="J683" s="62"/>
      <c r="K683" s="63" t="s">
        <v>1718</v>
      </c>
      <c r="L683" s="64" t="s">
        <v>1197</v>
      </c>
      <c r="M683" s="64" t="s">
        <v>1276</v>
      </c>
    </row>
    <row r="684" spans="1:13" s="65" customFormat="1" ht="12" customHeight="1" x14ac:dyDescent="0.2">
      <c r="A684" s="78">
        <v>235243</v>
      </c>
      <c r="B684" s="69" t="s">
        <v>737</v>
      </c>
      <c r="C684" s="60" t="s">
        <v>1196</v>
      </c>
      <c r="D684" s="66" t="s">
        <v>1200</v>
      </c>
      <c r="E684" s="66" t="s">
        <v>1329</v>
      </c>
      <c r="F684" s="66" t="s">
        <v>1627</v>
      </c>
      <c r="G684" s="60" t="s">
        <v>7</v>
      </c>
      <c r="H684" s="61">
        <v>5.347222222222222E-2</v>
      </c>
      <c r="I684" s="61">
        <v>5.347222222222222E-2</v>
      </c>
      <c r="J684" s="62"/>
      <c r="K684" s="63" t="s">
        <v>1718</v>
      </c>
      <c r="L684" s="64" t="s">
        <v>1200</v>
      </c>
      <c r="M684" s="64" t="s">
        <v>1329</v>
      </c>
    </row>
    <row r="685" spans="1:13" s="65" customFormat="1" ht="12" customHeight="1" x14ac:dyDescent="0.2">
      <c r="A685" s="78">
        <v>235257</v>
      </c>
      <c r="B685" s="69" t="s">
        <v>738</v>
      </c>
      <c r="C685" s="60" t="s">
        <v>1196</v>
      </c>
      <c r="D685" s="66" t="s">
        <v>1199</v>
      </c>
      <c r="E685" s="66" t="s">
        <v>1323</v>
      </c>
      <c r="F685" s="66" t="s">
        <v>1657</v>
      </c>
      <c r="G685" s="60" t="s">
        <v>8</v>
      </c>
      <c r="H685" s="61">
        <v>0.33124999999999999</v>
      </c>
      <c r="I685" s="61"/>
      <c r="J685" s="62">
        <v>0.33124999999999999</v>
      </c>
      <c r="K685" s="63" t="s">
        <v>1718</v>
      </c>
      <c r="L685" s="64" t="s">
        <v>1199</v>
      </c>
      <c r="M685" s="64" t="s">
        <v>1323</v>
      </c>
    </row>
    <row r="686" spans="1:13" s="65" customFormat="1" ht="12" customHeight="1" x14ac:dyDescent="0.2">
      <c r="A686" s="78">
        <v>235260</v>
      </c>
      <c r="B686" s="69" t="s">
        <v>739</v>
      </c>
      <c r="C686" s="60" t="s">
        <v>1196</v>
      </c>
      <c r="D686" s="66" t="s">
        <v>1202</v>
      </c>
      <c r="E686" s="66" t="s">
        <v>1319</v>
      </c>
      <c r="F686" s="66" t="s">
        <v>1654</v>
      </c>
      <c r="G686" s="60" t="s">
        <v>8</v>
      </c>
      <c r="H686" s="61">
        <v>1.1548611111111111</v>
      </c>
      <c r="I686" s="61"/>
      <c r="J686" s="62">
        <v>1.1548611111111111</v>
      </c>
      <c r="K686" s="63" t="s">
        <v>1723</v>
      </c>
      <c r="L686" s="64" t="s">
        <v>1202</v>
      </c>
      <c r="M686" s="64" t="s">
        <v>1319</v>
      </c>
    </row>
    <row r="687" spans="1:13" s="65" customFormat="1" ht="12" customHeight="1" x14ac:dyDescent="0.2">
      <c r="A687" s="78">
        <v>235264</v>
      </c>
      <c r="B687" s="69" t="s">
        <v>740</v>
      </c>
      <c r="C687" s="60" t="s">
        <v>1196</v>
      </c>
      <c r="D687" s="66" t="s">
        <v>1203</v>
      </c>
      <c r="E687" s="66" t="s">
        <v>1356</v>
      </c>
      <c r="F687" s="66" t="s">
        <v>1638</v>
      </c>
      <c r="G687" s="60" t="s">
        <v>7</v>
      </c>
      <c r="H687" s="61">
        <v>0.16388888888888889</v>
      </c>
      <c r="I687" s="61">
        <v>0.16388888888888889</v>
      </c>
      <c r="J687" s="62"/>
      <c r="K687" s="63" t="s">
        <v>1718</v>
      </c>
      <c r="L687" s="64" t="s">
        <v>1203</v>
      </c>
      <c r="M687" s="64" t="s">
        <v>1356</v>
      </c>
    </row>
    <row r="688" spans="1:13" s="65" customFormat="1" ht="12" customHeight="1" x14ac:dyDescent="0.2">
      <c r="A688" s="78">
        <v>235308</v>
      </c>
      <c r="B688" s="69" t="s">
        <v>741</v>
      </c>
      <c r="C688" s="60" t="s">
        <v>1196</v>
      </c>
      <c r="D688" s="66" t="s">
        <v>1199</v>
      </c>
      <c r="E688" s="66" t="s">
        <v>1354</v>
      </c>
      <c r="F688" s="66" t="s">
        <v>1669</v>
      </c>
      <c r="G688" s="60" t="s">
        <v>8</v>
      </c>
      <c r="H688" s="61">
        <v>0.92083333333333339</v>
      </c>
      <c r="I688" s="61"/>
      <c r="J688" s="62">
        <v>0.92083333333333339</v>
      </c>
      <c r="K688" s="63" t="s">
        <v>1718</v>
      </c>
      <c r="L688" s="64" t="s">
        <v>1199</v>
      </c>
      <c r="M688" s="64" t="s">
        <v>1354</v>
      </c>
    </row>
    <row r="689" spans="1:13" s="65" customFormat="1" ht="12" customHeight="1" x14ac:dyDescent="0.2">
      <c r="A689" s="78">
        <v>235365</v>
      </c>
      <c r="B689" s="69" t="s">
        <v>742</v>
      </c>
      <c r="C689" s="60" t="s">
        <v>1196</v>
      </c>
      <c r="D689" s="66" t="s">
        <v>1203</v>
      </c>
      <c r="E689" s="66" t="s">
        <v>1436</v>
      </c>
      <c r="F689" s="66" t="s">
        <v>1696</v>
      </c>
      <c r="G689" s="60" t="s">
        <v>8</v>
      </c>
      <c r="H689" s="61">
        <v>0.52083333333333337</v>
      </c>
      <c r="I689" s="61"/>
      <c r="J689" s="62">
        <v>0.52083333333333337</v>
      </c>
      <c r="K689" s="63" t="s">
        <v>1722</v>
      </c>
      <c r="L689" s="64" t="s">
        <v>1203</v>
      </c>
      <c r="M689" s="64" t="s">
        <v>1436</v>
      </c>
    </row>
    <row r="690" spans="1:13" s="65" customFormat="1" ht="12" customHeight="1" x14ac:dyDescent="0.2">
      <c r="A690" s="78">
        <v>235366</v>
      </c>
      <c r="B690" s="69" t="s">
        <v>743</v>
      </c>
      <c r="C690" s="60" t="s">
        <v>1196</v>
      </c>
      <c r="D690" s="66" t="s">
        <v>1205</v>
      </c>
      <c r="E690" s="66" t="s">
        <v>1397</v>
      </c>
      <c r="F690" s="66" t="s">
        <v>1631</v>
      </c>
      <c r="G690" s="60" t="s">
        <v>8</v>
      </c>
      <c r="H690" s="61">
        <v>0.46319444444444446</v>
      </c>
      <c r="I690" s="61"/>
      <c r="J690" s="62">
        <v>0.46319444444444446</v>
      </c>
      <c r="K690" s="63" t="s">
        <v>1718</v>
      </c>
      <c r="L690" s="64" t="s">
        <v>1205</v>
      </c>
      <c r="M690" s="64" t="s">
        <v>1397</v>
      </c>
    </row>
    <row r="691" spans="1:13" s="65" customFormat="1" ht="12" customHeight="1" x14ac:dyDescent="0.2">
      <c r="A691" s="78">
        <v>235367</v>
      </c>
      <c r="B691" s="69" t="s">
        <v>744</v>
      </c>
      <c r="C691" s="60" t="s">
        <v>1196</v>
      </c>
      <c r="D691" s="66" t="s">
        <v>1205</v>
      </c>
      <c r="E691" s="66" t="s">
        <v>1519</v>
      </c>
      <c r="F691" s="66" t="s">
        <v>1710</v>
      </c>
      <c r="G691" s="60" t="s">
        <v>8</v>
      </c>
      <c r="H691" s="61">
        <v>1.1958333333333333</v>
      </c>
      <c r="I691" s="61"/>
      <c r="J691" s="62">
        <v>1.1958333333333333</v>
      </c>
      <c r="K691" s="63" t="s">
        <v>1718</v>
      </c>
      <c r="L691" s="64" t="s">
        <v>1205</v>
      </c>
      <c r="M691" s="64" t="s">
        <v>1519</v>
      </c>
    </row>
    <row r="692" spans="1:13" s="65" customFormat="1" ht="12" customHeight="1" x14ac:dyDescent="0.2">
      <c r="A692" s="78">
        <v>235375</v>
      </c>
      <c r="B692" s="69" t="s">
        <v>745</v>
      </c>
      <c r="C692" s="60" t="s">
        <v>1196</v>
      </c>
      <c r="D692" s="66" t="s">
        <v>1204</v>
      </c>
      <c r="E692" s="66" t="s">
        <v>1520</v>
      </c>
      <c r="F692" s="66" t="s">
        <v>1593</v>
      </c>
      <c r="G692" s="60" t="s">
        <v>8</v>
      </c>
      <c r="H692" s="61">
        <v>0.93888888888888899</v>
      </c>
      <c r="I692" s="61"/>
      <c r="J692" s="62">
        <v>0.93888888888888899</v>
      </c>
      <c r="K692" s="63" t="s">
        <v>1720</v>
      </c>
      <c r="L692" s="64" t="s">
        <v>1204</v>
      </c>
      <c r="M692" s="64" t="s">
        <v>1520</v>
      </c>
    </row>
    <row r="693" spans="1:13" s="65" customFormat="1" ht="12" customHeight="1" x14ac:dyDescent="0.2">
      <c r="A693" s="78">
        <v>235376</v>
      </c>
      <c r="B693" s="69" t="s">
        <v>746</v>
      </c>
      <c r="C693" s="60" t="s">
        <v>1196</v>
      </c>
      <c r="D693" s="66" t="s">
        <v>1204</v>
      </c>
      <c r="E693" s="66" t="s">
        <v>1502</v>
      </c>
      <c r="F693" s="66" t="s">
        <v>1705</v>
      </c>
      <c r="G693" s="60" t="s">
        <v>7</v>
      </c>
      <c r="H693" s="61">
        <v>0.49236111111111108</v>
      </c>
      <c r="I693" s="61">
        <v>0.49236111111111108</v>
      </c>
      <c r="J693" s="62"/>
      <c r="K693" s="63" t="s">
        <v>1718</v>
      </c>
      <c r="L693" s="64" t="s">
        <v>1204</v>
      </c>
      <c r="M693" s="64" t="s">
        <v>1502</v>
      </c>
    </row>
    <row r="694" spans="1:13" s="65" customFormat="1" ht="12" customHeight="1" x14ac:dyDescent="0.2">
      <c r="A694" s="78">
        <v>235399</v>
      </c>
      <c r="B694" s="69" t="s">
        <v>747</v>
      </c>
      <c r="C694" s="60" t="s">
        <v>1196</v>
      </c>
      <c r="D694" s="66" t="s">
        <v>1201</v>
      </c>
      <c r="E694" s="66" t="s">
        <v>1452</v>
      </c>
      <c r="F694" s="66" t="s">
        <v>1619</v>
      </c>
      <c r="G694" s="60" t="s">
        <v>8</v>
      </c>
      <c r="H694" s="61">
        <v>2.0833333333333332E-2</v>
      </c>
      <c r="I694" s="61"/>
      <c r="J694" s="62">
        <v>2.0833333333333332E-2</v>
      </c>
      <c r="K694" s="63" t="s">
        <v>1718</v>
      </c>
      <c r="L694" s="64" t="s">
        <v>1201</v>
      </c>
      <c r="M694" s="64" t="s">
        <v>1452</v>
      </c>
    </row>
    <row r="695" spans="1:13" s="65" customFormat="1" ht="12" customHeight="1" x14ac:dyDescent="0.2">
      <c r="A695" s="78">
        <v>235411</v>
      </c>
      <c r="B695" s="69" t="s">
        <v>748</v>
      </c>
      <c r="C695" s="60" t="s">
        <v>1196</v>
      </c>
      <c r="D695" s="66" t="s">
        <v>1198</v>
      </c>
      <c r="E695" s="66" t="s">
        <v>1457</v>
      </c>
      <c r="F695" s="66" t="s">
        <v>1650</v>
      </c>
      <c r="G695" s="60" t="s">
        <v>7</v>
      </c>
      <c r="H695" s="61">
        <v>1.6486111111111112</v>
      </c>
      <c r="I695" s="61">
        <v>1.6486111111111112</v>
      </c>
      <c r="J695" s="62"/>
      <c r="K695" s="63" t="s">
        <v>1718</v>
      </c>
      <c r="L695" s="64" t="s">
        <v>1198</v>
      </c>
      <c r="M695" s="64" t="s">
        <v>1457</v>
      </c>
    </row>
    <row r="696" spans="1:13" s="65" customFormat="1" ht="12" customHeight="1" x14ac:dyDescent="0.2">
      <c r="A696" s="78">
        <v>235432</v>
      </c>
      <c r="B696" s="69" t="s">
        <v>749</v>
      </c>
      <c r="C696" s="60" t="s">
        <v>1196</v>
      </c>
      <c r="D696" s="66" t="s">
        <v>1204</v>
      </c>
      <c r="E696" s="66" t="s">
        <v>1521</v>
      </c>
      <c r="F696" s="66" t="s">
        <v>1711</v>
      </c>
      <c r="G696" s="60" t="s">
        <v>8</v>
      </c>
      <c r="H696" s="61">
        <v>1.2347222222222223</v>
      </c>
      <c r="I696" s="61"/>
      <c r="J696" s="62">
        <v>1.2347222222222223</v>
      </c>
      <c r="K696" s="63" t="s">
        <v>1718</v>
      </c>
      <c r="L696" s="64" t="s">
        <v>1204</v>
      </c>
      <c r="M696" s="64" t="s">
        <v>1521</v>
      </c>
    </row>
    <row r="697" spans="1:13" s="65" customFormat="1" ht="12" customHeight="1" x14ac:dyDescent="0.2">
      <c r="A697" s="78">
        <v>235459</v>
      </c>
      <c r="B697" s="69" t="s">
        <v>750</v>
      </c>
      <c r="C697" s="60" t="s">
        <v>1196</v>
      </c>
      <c r="D697" s="66" t="s">
        <v>1201</v>
      </c>
      <c r="E697" s="66" t="s">
        <v>1434</v>
      </c>
      <c r="F697" s="66" t="s">
        <v>1694</v>
      </c>
      <c r="G697" s="60" t="s">
        <v>8</v>
      </c>
      <c r="H697" s="61">
        <v>0.60555555555555551</v>
      </c>
      <c r="I697" s="61"/>
      <c r="J697" s="62">
        <v>0.60555555555555551</v>
      </c>
      <c r="K697" s="63" t="s">
        <v>1718</v>
      </c>
      <c r="L697" s="64" t="s">
        <v>1201</v>
      </c>
      <c r="M697" s="64" t="s">
        <v>1434</v>
      </c>
    </row>
    <row r="698" spans="1:13" s="65" customFormat="1" ht="12" customHeight="1" x14ac:dyDescent="0.2">
      <c r="A698" s="78">
        <v>235468</v>
      </c>
      <c r="B698" s="69" t="s">
        <v>751</v>
      </c>
      <c r="C698" s="60" t="s">
        <v>1196</v>
      </c>
      <c r="D698" s="66" t="s">
        <v>1201</v>
      </c>
      <c r="E698" s="66" t="s">
        <v>1379</v>
      </c>
      <c r="F698" s="66" t="s">
        <v>1675</v>
      </c>
      <c r="G698" s="60" t="s">
        <v>8</v>
      </c>
      <c r="H698" s="61">
        <v>1.7625</v>
      </c>
      <c r="I698" s="61"/>
      <c r="J698" s="62">
        <v>1.7625</v>
      </c>
      <c r="K698" s="63" t="s">
        <v>1723</v>
      </c>
      <c r="L698" s="64" t="s">
        <v>1201</v>
      </c>
      <c r="M698" s="64" t="s">
        <v>1379</v>
      </c>
    </row>
    <row r="699" spans="1:13" s="65" customFormat="1" ht="12" customHeight="1" x14ac:dyDescent="0.2">
      <c r="A699" s="78">
        <v>235471</v>
      </c>
      <c r="B699" s="69" t="s">
        <v>752</v>
      </c>
      <c r="C699" s="60" t="s">
        <v>1196</v>
      </c>
      <c r="D699" s="66" t="s">
        <v>1205</v>
      </c>
      <c r="E699" s="66" t="s">
        <v>1522</v>
      </c>
      <c r="F699" s="66" t="s">
        <v>1695</v>
      </c>
      <c r="G699" s="60" t="s">
        <v>8</v>
      </c>
      <c r="H699" s="61">
        <v>0.36874999999999997</v>
      </c>
      <c r="I699" s="61"/>
      <c r="J699" s="62">
        <v>0.36874999999999997</v>
      </c>
      <c r="K699" s="63" t="s">
        <v>1722</v>
      </c>
      <c r="L699" s="64" t="s">
        <v>1205</v>
      </c>
      <c r="M699" s="64" t="s">
        <v>1522</v>
      </c>
    </row>
    <row r="700" spans="1:13" s="65" customFormat="1" ht="12" customHeight="1" x14ac:dyDescent="0.2">
      <c r="A700" s="78">
        <v>235474</v>
      </c>
      <c r="B700" s="69" t="s">
        <v>753</v>
      </c>
      <c r="C700" s="60" t="s">
        <v>1196</v>
      </c>
      <c r="D700" s="66" t="s">
        <v>1205</v>
      </c>
      <c r="E700" s="66" t="s">
        <v>1336</v>
      </c>
      <c r="F700" s="66" t="s">
        <v>1663</v>
      </c>
      <c r="G700" s="60" t="s">
        <v>8</v>
      </c>
      <c r="H700" s="61">
        <v>0.37083333333333335</v>
      </c>
      <c r="I700" s="61"/>
      <c r="J700" s="62">
        <v>0.37083333333333335</v>
      </c>
      <c r="K700" s="63" t="s">
        <v>1718</v>
      </c>
      <c r="L700" s="64" t="s">
        <v>1205</v>
      </c>
      <c r="M700" s="64" t="s">
        <v>1336</v>
      </c>
    </row>
    <row r="701" spans="1:13" s="65" customFormat="1" ht="12" customHeight="1" x14ac:dyDescent="0.2">
      <c r="A701" s="78">
        <v>235476</v>
      </c>
      <c r="B701" s="69" t="s">
        <v>754</v>
      </c>
      <c r="C701" s="60" t="s">
        <v>1196</v>
      </c>
      <c r="D701" s="66" t="s">
        <v>1200</v>
      </c>
      <c r="E701" s="66" t="s">
        <v>1523</v>
      </c>
      <c r="F701" s="66" t="s">
        <v>1598</v>
      </c>
      <c r="G701" s="60" t="s">
        <v>8</v>
      </c>
      <c r="H701" s="61">
        <v>1.9625000000000001</v>
      </c>
      <c r="I701" s="61"/>
      <c r="J701" s="62">
        <v>1.9625000000000001</v>
      </c>
      <c r="K701" s="63" t="s">
        <v>1721</v>
      </c>
      <c r="L701" s="64" t="s">
        <v>1200</v>
      </c>
      <c r="M701" s="64" t="s">
        <v>1523</v>
      </c>
    </row>
    <row r="702" spans="1:13" s="65" customFormat="1" ht="12" customHeight="1" x14ac:dyDescent="0.2">
      <c r="A702" s="78">
        <v>235478</v>
      </c>
      <c r="B702" s="69" t="s">
        <v>755</v>
      </c>
      <c r="C702" s="60" t="s">
        <v>1196</v>
      </c>
      <c r="D702" s="66" t="s">
        <v>1199</v>
      </c>
      <c r="E702" s="66" t="s">
        <v>1524</v>
      </c>
      <c r="F702" s="66" t="s">
        <v>1587</v>
      </c>
      <c r="G702" s="60" t="s">
        <v>8</v>
      </c>
      <c r="H702" s="61">
        <v>0.22638888888888889</v>
      </c>
      <c r="I702" s="61"/>
      <c r="J702" s="62">
        <v>0.22638888888888889</v>
      </c>
      <c r="K702" s="63" t="s">
        <v>1720</v>
      </c>
      <c r="L702" s="64" t="s">
        <v>1199</v>
      </c>
      <c r="M702" s="64" t="s">
        <v>1524</v>
      </c>
    </row>
    <row r="703" spans="1:13" s="65" customFormat="1" ht="12" customHeight="1" x14ac:dyDescent="0.2">
      <c r="A703" s="78">
        <v>235485</v>
      </c>
      <c r="B703" s="69" t="s">
        <v>756</v>
      </c>
      <c r="C703" s="60" t="s">
        <v>1196</v>
      </c>
      <c r="D703" s="66" t="s">
        <v>1202</v>
      </c>
      <c r="E703" s="66" t="s">
        <v>1525</v>
      </c>
      <c r="F703" s="66" t="s">
        <v>1590</v>
      </c>
      <c r="G703" s="60" t="s">
        <v>8</v>
      </c>
      <c r="H703" s="61">
        <v>0.3833333333333333</v>
      </c>
      <c r="I703" s="61"/>
      <c r="J703" s="62">
        <v>0.3833333333333333</v>
      </c>
      <c r="K703" s="63" t="s">
        <v>1720</v>
      </c>
      <c r="L703" s="64" t="s">
        <v>1202</v>
      </c>
      <c r="M703" s="64" t="s">
        <v>1525</v>
      </c>
    </row>
    <row r="704" spans="1:13" s="65" customFormat="1" ht="12" customHeight="1" x14ac:dyDescent="0.2">
      <c r="A704" s="78">
        <v>235488</v>
      </c>
      <c r="B704" s="69" t="s">
        <v>757</v>
      </c>
      <c r="C704" s="60" t="s">
        <v>1196</v>
      </c>
      <c r="D704" s="66" t="s">
        <v>1198</v>
      </c>
      <c r="E704" s="66" t="s">
        <v>1490</v>
      </c>
      <c r="F704" s="66" t="s">
        <v>1606</v>
      </c>
      <c r="G704" s="60" t="s">
        <v>7</v>
      </c>
      <c r="H704" s="61">
        <v>7.5</v>
      </c>
      <c r="I704" s="61">
        <v>7.5</v>
      </c>
      <c r="J704" s="62"/>
      <c r="K704" s="63" t="s">
        <v>1718</v>
      </c>
      <c r="L704" s="64" t="s">
        <v>1198</v>
      </c>
      <c r="M704" s="64" t="s">
        <v>1490</v>
      </c>
    </row>
    <row r="705" spans="1:13" s="65" customFormat="1" ht="12" customHeight="1" x14ac:dyDescent="0.2">
      <c r="A705" s="78">
        <v>235490</v>
      </c>
      <c r="B705" s="69" t="s">
        <v>758</v>
      </c>
      <c r="C705" s="60" t="s">
        <v>1196</v>
      </c>
      <c r="D705" s="66" t="s">
        <v>1205</v>
      </c>
      <c r="E705" s="66" t="s">
        <v>1366</v>
      </c>
      <c r="F705" s="66" t="s">
        <v>1640</v>
      </c>
      <c r="G705" s="60" t="s">
        <v>8</v>
      </c>
      <c r="H705" s="61">
        <v>0.86111111111111116</v>
      </c>
      <c r="I705" s="61"/>
      <c r="J705" s="62">
        <v>0.86111111111111116</v>
      </c>
      <c r="K705" s="63" t="s">
        <v>1718</v>
      </c>
      <c r="L705" s="64" t="s">
        <v>1205</v>
      </c>
      <c r="M705" s="64" t="s">
        <v>1366</v>
      </c>
    </row>
    <row r="706" spans="1:13" s="65" customFormat="1" ht="12" customHeight="1" x14ac:dyDescent="0.2">
      <c r="A706" s="78">
        <v>235491</v>
      </c>
      <c r="B706" s="69" t="s">
        <v>759</v>
      </c>
      <c r="C706" s="60" t="s">
        <v>1196</v>
      </c>
      <c r="D706" s="66" t="s">
        <v>1205</v>
      </c>
      <c r="E706" s="66" t="s">
        <v>1497</v>
      </c>
      <c r="F706" s="66" t="s">
        <v>1695</v>
      </c>
      <c r="G706" s="60" t="s">
        <v>8</v>
      </c>
      <c r="H706" s="61">
        <v>1.3097222222222222</v>
      </c>
      <c r="I706" s="61"/>
      <c r="J706" s="62">
        <v>1.3097222222222222</v>
      </c>
      <c r="K706" s="63" t="s">
        <v>1718</v>
      </c>
      <c r="L706" s="64" t="s">
        <v>1205</v>
      </c>
      <c r="M706" s="64" t="s">
        <v>1497</v>
      </c>
    </row>
    <row r="707" spans="1:13" s="65" customFormat="1" ht="12" customHeight="1" x14ac:dyDescent="0.2">
      <c r="A707" s="78">
        <v>235496</v>
      </c>
      <c r="B707" s="69" t="s">
        <v>760</v>
      </c>
      <c r="C707" s="60" t="s">
        <v>1196</v>
      </c>
      <c r="D707" s="66" t="s">
        <v>1201</v>
      </c>
      <c r="E707" s="66" t="s">
        <v>1452</v>
      </c>
      <c r="F707" s="66" t="s">
        <v>1619</v>
      </c>
      <c r="G707" s="60" t="s">
        <v>7</v>
      </c>
      <c r="H707" s="61">
        <v>1.5187499999999998</v>
      </c>
      <c r="I707" s="61">
        <v>1.5187499999999998</v>
      </c>
      <c r="J707" s="62"/>
      <c r="K707" s="63" t="s">
        <v>1718</v>
      </c>
      <c r="L707" s="64" t="s">
        <v>1201</v>
      </c>
      <c r="M707" s="64" t="s">
        <v>1452</v>
      </c>
    </row>
    <row r="708" spans="1:13" s="65" customFormat="1" ht="12" customHeight="1" x14ac:dyDescent="0.2">
      <c r="A708" s="78">
        <v>235498</v>
      </c>
      <c r="B708" s="69" t="s">
        <v>761</v>
      </c>
      <c r="C708" s="60" t="s">
        <v>1196</v>
      </c>
      <c r="D708" s="66" t="s">
        <v>1202</v>
      </c>
      <c r="E708" s="66" t="s">
        <v>1361</v>
      </c>
      <c r="F708" s="66" t="s">
        <v>1654</v>
      </c>
      <c r="G708" s="60" t="s">
        <v>7</v>
      </c>
      <c r="H708" s="61">
        <v>2.2284722222222224</v>
      </c>
      <c r="I708" s="61">
        <v>2.2284722222222224</v>
      </c>
      <c r="J708" s="62"/>
      <c r="K708" s="63" t="s">
        <v>1718</v>
      </c>
      <c r="L708" s="64" t="s">
        <v>1202</v>
      </c>
      <c r="M708" s="64" t="s">
        <v>1361</v>
      </c>
    </row>
    <row r="709" spans="1:13" s="65" customFormat="1" ht="12" customHeight="1" x14ac:dyDescent="0.2">
      <c r="A709" s="78">
        <v>235499</v>
      </c>
      <c r="B709" s="69" t="s">
        <v>762</v>
      </c>
      <c r="C709" s="60" t="s">
        <v>1196</v>
      </c>
      <c r="D709" s="66" t="s">
        <v>1205</v>
      </c>
      <c r="E709" s="66" t="s">
        <v>1346</v>
      </c>
      <c r="F709" s="66" t="s">
        <v>1609</v>
      </c>
      <c r="G709" s="60" t="s">
        <v>7</v>
      </c>
      <c r="H709" s="61">
        <v>0.90833333333333333</v>
      </c>
      <c r="I709" s="61">
        <v>0.90833333333333333</v>
      </c>
      <c r="J709" s="62"/>
      <c r="K709" s="63" t="s">
        <v>1718</v>
      </c>
      <c r="L709" s="64" t="s">
        <v>1205</v>
      </c>
      <c r="M709" s="64" t="s">
        <v>1346</v>
      </c>
    </row>
    <row r="710" spans="1:13" s="65" customFormat="1" ht="12" customHeight="1" x14ac:dyDescent="0.2">
      <c r="A710" s="78">
        <v>235502</v>
      </c>
      <c r="B710" s="69" t="s">
        <v>763</v>
      </c>
      <c r="C710" s="60" t="s">
        <v>1196</v>
      </c>
      <c r="D710" s="66" t="s">
        <v>1197</v>
      </c>
      <c r="E710" s="66" t="s">
        <v>1308</v>
      </c>
      <c r="F710" s="66" t="s">
        <v>1624</v>
      </c>
      <c r="G710" s="60" t="s">
        <v>7</v>
      </c>
      <c r="H710" s="61">
        <v>0.6791666666666667</v>
      </c>
      <c r="I710" s="61">
        <v>0.6791666666666667</v>
      </c>
      <c r="J710" s="62"/>
      <c r="K710" s="63" t="s">
        <v>1718</v>
      </c>
      <c r="L710" s="64" t="s">
        <v>1197</v>
      </c>
      <c r="M710" s="64" t="s">
        <v>1308</v>
      </c>
    </row>
    <row r="711" spans="1:13" s="65" customFormat="1" ht="12" customHeight="1" x14ac:dyDescent="0.2">
      <c r="A711" s="78">
        <v>235511</v>
      </c>
      <c r="B711" s="69" t="s">
        <v>764</v>
      </c>
      <c r="C711" s="60" t="s">
        <v>1196</v>
      </c>
      <c r="D711" s="66" t="s">
        <v>1197</v>
      </c>
      <c r="E711" s="66" t="s">
        <v>1308</v>
      </c>
      <c r="F711" s="66" t="s">
        <v>1624</v>
      </c>
      <c r="G711" s="60" t="s">
        <v>8</v>
      </c>
      <c r="H711" s="61">
        <v>0.87222222222222223</v>
      </c>
      <c r="I711" s="61"/>
      <c r="J711" s="62">
        <v>0.87222222222222223</v>
      </c>
      <c r="K711" s="63" t="s">
        <v>1718</v>
      </c>
      <c r="L711" s="64" t="s">
        <v>1197</v>
      </c>
      <c r="M711" s="64" t="s">
        <v>1308</v>
      </c>
    </row>
    <row r="712" spans="1:13" s="65" customFormat="1" ht="12" customHeight="1" x14ac:dyDescent="0.2">
      <c r="A712" s="78">
        <v>235528</v>
      </c>
      <c r="B712" s="69" t="s">
        <v>765</v>
      </c>
      <c r="C712" s="60" t="s">
        <v>1196</v>
      </c>
      <c r="D712" s="66" t="s">
        <v>1205</v>
      </c>
      <c r="E712" s="66" t="s">
        <v>1373</v>
      </c>
      <c r="F712" s="66" t="s">
        <v>1676</v>
      </c>
      <c r="G712" s="60" t="s">
        <v>8</v>
      </c>
      <c r="H712" s="61">
        <v>0.75208333333333333</v>
      </c>
      <c r="I712" s="61"/>
      <c r="J712" s="62">
        <v>0.75208333333333333</v>
      </c>
      <c r="K712" s="63" t="s">
        <v>1718</v>
      </c>
      <c r="L712" s="64" t="s">
        <v>1205</v>
      </c>
      <c r="M712" s="64" t="s">
        <v>1373</v>
      </c>
    </row>
    <row r="713" spans="1:13" s="65" customFormat="1" ht="12" customHeight="1" x14ac:dyDescent="0.2">
      <c r="A713" s="78">
        <v>235529</v>
      </c>
      <c r="B713" s="69" t="s">
        <v>766</v>
      </c>
      <c r="C713" s="60" t="s">
        <v>1196</v>
      </c>
      <c r="D713" s="66" t="s">
        <v>1205</v>
      </c>
      <c r="E713" s="66" t="s">
        <v>1519</v>
      </c>
      <c r="F713" s="66" t="s">
        <v>1710</v>
      </c>
      <c r="G713" s="60" t="s">
        <v>8</v>
      </c>
      <c r="H713" s="61">
        <v>0.3756944444444445</v>
      </c>
      <c r="I713" s="61"/>
      <c r="J713" s="62">
        <v>0.3756944444444445</v>
      </c>
      <c r="K713" s="63" t="s">
        <v>1718</v>
      </c>
      <c r="L713" s="64" t="s">
        <v>1205</v>
      </c>
      <c r="M713" s="64" t="s">
        <v>1519</v>
      </c>
    </row>
    <row r="714" spans="1:13" s="65" customFormat="1" ht="12" customHeight="1" x14ac:dyDescent="0.2">
      <c r="A714" s="78">
        <v>235552</v>
      </c>
      <c r="B714" s="69" t="s">
        <v>767</v>
      </c>
      <c r="C714" s="60" t="s">
        <v>1196</v>
      </c>
      <c r="D714" s="66" t="s">
        <v>1205</v>
      </c>
      <c r="E714" s="66" t="s">
        <v>1526</v>
      </c>
      <c r="F714" s="66" t="s">
        <v>1710</v>
      </c>
      <c r="G714" s="60" t="s">
        <v>7</v>
      </c>
      <c r="H714" s="61">
        <v>2.0118055555555556</v>
      </c>
      <c r="I714" s="61">
        <v>2.0118055555555556</v>
      </c>
      <c r="J714" s="62"/>
      <c r="K714" s="63" t="s">
        <v>1723</v>
      </c>
      <c r="L714" s="64" t="s">
        <v>1205</v>
      </c>
      <c r="M714" s="64" t="s">
        <v>1526</v>
      </c>
    </row>
    <row r="715" spans="1:13" s="65" customFormat="1" ht="12" customHeight="1" x14ac:dyDescent="0.2">
      <c r="A715" s="78">
        <v>235556</v>
      </c>
      <c r="B715" s="69" t="s">
        <v>768</v>
      </c>
      <c r="C715" s="60" t="s">
        <v>1196</v>
      </c>
      <c r="D715" s="66" t="s">
        <v>1198</v>
      </c>
      <c r="E715" s="66" t="s">
        <v>1527</v>
      </c>
      <c r="F715" s="66" t="s">
        <v>1586</v>
      </c>
      <c r="G715" s="60" t="s">
        <v>7</v>
      </c>
      <c r="H715" s="61">
        <v>0.8881944444444444</v>
      </c>
      <c r="I715" s="61">
        <v>0.8881944444444444</v>
      </c>
      <c r="J715" s="62"/>
      <c r="K715" s="63" t="s">
        <v>1720</v>
      </c>
      <c r="L715" s="64" t="s">
        <v>1198</v>
      </c>
      <c r="M715" s="64" t="s">
        <v>1527</v>
      </c>
    </row>
    <row r="716" spans="1:13" s="65" customFormat="1" ht="12" customHeight="1" x14ac:dyDescent="0.2">
      <c r="A716" s="78">
        <v>235557</v>
      </c>
      <c r="B716" s="69" t="s">
        <v>769</v>
      </c>
      <c r="C716" s="60" t="s">
        <v>1196</v>
      </c>
      <c r="D716" s="66" t="s">
        <v>1199</v>
      </c>
      <c r="E716" s="66" t="s">
        <v>1509</v>
      </c>
      <c r="F716" s="66" t="s">
        <v>1707</v>
      </c>
      <c r="G716" s="60" t="s">
        <v>8</v>
      </c>
      <c r="H716" s="61">
        <v>0.85625000000000007</v>
      </c>
      <c r="I716" s="61"/>
      <c r="J716" s="62">
        <v>0.85625000000000007</v>
      </c>
      <c r="K716" s="63" t="s">
        <v>1718</v>
      </c>
      <c r="L716" s="64" t="s">
        <v>1199</v>
      </c>
      <c r="M716" s="64" t="s">
        <v>1509</v>
      </c>
    </row>
    <row r="717" spans="1:13" s="65" customFormat="1" ht="12" customHeight="1" x14ac:dyDescent="0.2">
      <c r="A717" s="78">
        <v>235578</v>
      </c>
      <c r="B717" s="69" t="s">
        <v>770</v>
      </c>
      <c r="C717" s="60" t="s">
        <v>1196</v>
      </c>
      <c r="D717" s="66" t="s">
        <v>1201</v>
      </c>
      <c r="E717" s="66" t="s">
        <v>1482</v>
      </c>
      <c r="F717" s="66" t="s">
        <v>1703</v>
      </c>
      <c r="G717" s="60" t="s">
        <v>8</v>
      </c>
      <c r="H717" s="61">
        <v>1.1368055555555556</v>
      </c>
      <c r="I717" s="61"/>
      <c r="J717" s="62">
        <v>1.1368055555555556</v>
      </c>
      <c r="K717" s="63" t="s">
        <v>1718</v>
      </c>
      <c r="L717" s="64" t="s">
        <v>1201</v>
      </c>
      <c r="M717" s="64" t="s">
        <v>1482</v>
      </c>
    </row>
    <row r="718" spans="1:13" s="65" customFormat="1" ht="12" customHeight="1" x14ac:dyDescent="0.2">
      <c r="A718" s="78">
        <v>235586</v>
      </c>
      <c r="B718" s="69" t="s">
        <v>771</v>
      </c>
      <c r="C718" s="60" t="s">
        <v>1196</v>
      </c>
      <c r="D718" s="66" t="s">
        <v>1197</v>
      </c>
      <c r="E718" s="66" t="s">
        <v>1528</v>
      </c>
      <c r="F718" s="66" t="s">
        <v>1595</v>
      </c>
      <c r="G718" s="60" t="s">
        <v>7</v>
      </c>
      <c r="H718" s="61">
        <v>0.13055555555555556</v>
      </c>
      <c r="I718" s="61">
        <v>0.13055555555555556</v>
      </c>
      <c r="J718" s="62"/>
      <c r="K718" s="63" t="s">
        <v>1720</v>
      </c>
      <c r="L718" s="64" t="s">
        <v>1197</v>
      </c>
      <c r="M718" s="64" t="s">
        <v>1528</v>
      </c>
    </row>
    <row r="719" spans="1:13" s="65" customFormat="1" ht="12" customHeight="1" x14ac:dyDescent="0.2">
      <c r="A719" s="78">
        <v>235651</v>
      </c>
      <c r="B719" s="69" t="s">
        <v>772</v>
      </c>
      <c r="C719" s="60" t="s">
        <v>1196</v>
      </c>
      <c r="D719" s="66" t="s">
        <v>1205</v>
      </c>
      <c r="E719" s="66" t="s">
        <v>1373</v>
      </c>
      <c r="F719" s="66" t="s">
        <v>1676</v>
      </c>
      <c r="G719" s="60" t="s">
        <v>8</v>
      </c>
      <c r="H719" s="61">
        <v>0.35902777777777778</v>
      </c>
      <c r="I719" s="61"/>
      <c r="J719" s="62">
        <v>0.35902777777777778</v>
      </c>
      <c r="K719" s="63" t="s">
        <v>1718</v>
      </c>
      <c r="L719" s="64" t="s">
        <v>1205</v>
      </c>
      <c r="M719" s="64" t="s">
        <v>1373</v>
      </c>
    </row>
    <row r="720" spans="1:13" s="65" customFormat="1" ht="12" customHeight="1" x14ac:dyDescent="0.2">
      <c r="A720" s="78">
        <v>235678</v>
      </c>
      <c r="B720" s="69" t="s">
        <v>773</v>
      </c>
      <c r="C720" s="60" t="s">
        <v>1196</v>
      </c>
      <c r="D720" s="66" t="s">
        <v>1197</v>
      </c>
      <c r="E720" s="66" t="s">
        <v>1316</v>
      </c>
      <c r="F720" s="66" t="s">
        <v>1629</v>
      </c>
      <c r="G720" s="60" t="s">
        <v>7</v>
      </c>
      <c r="H720" s="61">
        <v>1.1243055555555554</v>
      </c>
      <c r="I720" s="61">
        <v>1.1243055555555554</v>
      </c>
      <c r="J720" s="62"/>
      <c r="K720" s="63" t="s">
        <v>1718</v>
      </c>
      <c r="L720" s="64" t="s">
        <v>1197</v>
      </c>
      <c r="M720" s="64" t="s">
        <v>1316</v>
      </c>
    </row>
    <row r="721" spans="1:13" s="65" customFormat="1" ht="12" customHeight="1" x14ac:dyDescent="0.2">
      <c r="A721" s="78">
        <v>235697</v>
      </c>
      <c r="B721" s="69" t="s">
        <v>774</v>
      </c>
      <c r="C721" s="60" t="s">
        <v>1196</v>
      </c>
      <c r="D721" s="66" t="s">
        <v>1205</v>
      </c>
      <c r="E721" s="66" t="s">
        <v>1529</v>
      </c>
      <c r="F721" s="66" t="s">
        <v>1594</v>
      </c>
      <c r="G721" s="60" t="s">
        <v>8</v>
      </c>
      <c r="H721" s="61">
        <v>0.89097222222222217</v>
      </c>
      <c r="I721" s="61"/>
      <c r="J721" s="62">
        <v>0.89097222222222217</v>
      </c>
      <c r="K721" s="63" t="s">
        <v>1720</v>
      </c>
      <c r="L721" s="64" t="s">
        <v>1205</v>
      </c>
      <c r="M721" s="64" t="s">
        <v>1529</v>
      </c>
    </row>
    <row r="722" spans="1:13" s="65" customFormat="1" ht="12" customHeight="1" x14ac:dyDescent="0.2">
      <c r="A722" s="78">
        <v>235704</v>
      </c>
      <c r="B722" s="69" t="s">
        <v>775</v>
      </c>
      <c r="C722" s="60" t="s">
        <v>1196</v>
      </c>
      <c r="D722" s="66" t="s">
        <v>1198</v>
      </c>
      <c r="E722" s="66" t="s">
        <v>1490</v>
      </c>
      <c r="F722" s="66" t="s">
        <v>1606</v>
      </c>
      <c r="G722" s="60" t="s">
        <v>7</v>
      </c>
      <c r="H722" s="61">
        <v>6.7</v>
      </c>
      <c r="I722" s="61">
        <v>6.7</v>
      </c>
      <c r="J722" s="62"/>
      <c r="K722" s="63" t="s">
        <v>1718</v>
      </c>
      <c r="L722" s="64" t="s">
        <v>1198</v>
      </c>
      <c r="M722" s="64" t="s">
        <v>1490</v>
      </c>
    </row>
    <row r="723" spans="1:13" s="65" customFormat="1" ht="12" customHeight="1" x14ac:dyDescent="0.2">
      <c r="A723" s="78">
        <v>235710</v>
      </c>
      <c r="B723" s="69" t="s">
        <v>776</v>
      </c>
      <c r="C723" s="60" t="s">
        <v>1196</v>
      </c>
      <c r="D723" s="66" t="s">
        <v>1204</v>
      </c>
      <c r="E723" s="66" t="s">
        <v>1388</v>
      </c>
      <c r="F723" s="66" t="s">
        <v>1612</v>
      </c>
      <c r="G723" s="60" t="s">
        <v>7</v>
      </c>
      <c r="H723" s="61">
        <v>0.85625000000000007</v>
      </c>
      <c r="I723" s="61">
        <v>0.85625000000000007</v>
      </c>
      <c r="J723" s="62"/>
      <c r="K723" s="63" t="s">
        <v>1718</v>
      </c>
      <c r="L723" s="64" t="s">
        <v>1204</v>
      </c>
      <c r="M723" s="64" t="s">
        <v>1388</v>
      </c>
    </row>
    <row r="724" spans="1:13" s="65" customFormat="1" ht="12" customHeight="1" x14ac:dyDescent="0.2">
      <c r="A724" s="78">
        <v>235711</v>
      </c>
      <c r="B724" s="69" t="s">
        <v>777</v>
      </c>
      <c r="C724" s="60" t="s">
        <v>1196</v>
      </c>
      <c r="D724" s="66" t="s">
        <v>1204</v>
      </c>
      <c r="E724" s="66" t="s">
        <v>1505</v>
      </c>
      <c r="F724" s="66" t="s">
        <v>1706</v>
      </c>
      <c r="G724" s="60" t="s">
        <v>8</v>
      </c>
      <c r="H724" s="61">
        <v>3.3423611111111113</v>
      </c>
      <c r="I724" s="61"/>
      <c r="J724" s="62">
        <v>3.3423611111111113</v>
      </c>
      <c r="K724" s="63" t="s">
        <v>1718</v>
      </c>
      <c r="L724" s="64" t="s">
        <v>1204</v>
      </c>
      <c r="M724" s="64" t="s">
        <v>1505</v>
      </c>
    </row>
    <row r="725" spans="1:13" s="65" customFormat="1" ht="12" customHeight="1" x14ac:dyDescent="0.2">
      <c r="A725" s="78">
        <v>235725</v>
      </c>
      <c r="B725" s="69" t="s">
        <v>778</v>
      </c>
      <c r="C725" s="60" t="s">
        <v>1196</v>
      </c>
      <c r="D725" s="66" t="s">
        <v>1204</v>
      </c>
      <c r="E725" s="66" t="s">
        <v>1505</v>
      </c>
      <c r="F725" s="66" t="s">
        <v>1706</v>
      </c>
      <c r="G725" s="60" t="s">
        <v>7</v>
      </c>
      <c r="H725" s="61">
        <v>0.82777777777777783</v>
      </c>
      <c r="I725" s="61">
        <v>0.82777777777777783</v>
      </c>
      <c r="J725" s="62"/>
      <c r="K725" s="63" t="s">
        <v>1718</v>
      </c>
      <c r="L725" s="64" t="s">
        <v>1204</v>
      </c>
      <c r="M725" s="64" t="s">
        <v>1505</v>
      </c>
    </row>
    <row r="726" spans="1:13" s="65" customFormat="1" ht="12" customHeight="1" x14ac:dyDescent="0.2">
      <c r="A726" s="78">
        <v>235727</v>
      </c>
      <c r="B726" s="69" t="s">
        <v>779</v>
      </c>
      <c r="C726" s="60" t="s">
        <v>1196</v>
      </c>
      <c r="D726" s="66" t="s">
        <v>1201</v>
      </c>
      <c r="E726" s="66" t="s">
        <v>1485</v>
      </c>
      <c r="F726" s="66" t="s">
        <v>1703</v>
      </c>
      <c r="G726" s="60" t="s">
        <v>7</v>
      </c>
      <c r="H726" s="61">
        <v>0.50347222222222221</v>
      </c>
      <c r="I726" s="61">
        <v>0.50347222222222221</v>
      </c>
      <c r="J726" s="62"/>
      <c r="K726" s="63" t="s">
        <v>1723</v>
      </c>
      <c r="L726" s="64" t="s">
        <v>1201</v>
      </c>
      <c r="M726" s="64" t="s">
        <v>1485</v>
      </c>
    </row>
    <row r="727" spans="1:13" s="65" customFormat="1" ht="12" customHeight="1" x14ac:dyDescent="0.2">
      <c r="A727" s="78">
        <v>235729</v>
      </c>
      <c r="B727" s="69" t="s">
        <v>780</v>
      </c>
      <c r="C727" s="60" t="s">
        <v>1196</v>
      </c>
      <c r="D727" s="66" t="s">
        <v>1204</v>
      </c>
      <c r="E727" s="66" t="s">
        <v>1418</v>
      </c>
      <c r="F727" s="66" t="s">
        <v>1621</v>
      </c>
      <c r="G727" s="60" t="s">
        <v>7</v>
      </c>
      <c r="H727" s="61">
        <v>0.62986111111111109</v>
      </c>
      <c r="I727" s="61">
        <v>0.62986111111111109</v>
      </c>
      <c r="J727" s="62"/>
      <c r="K727" s="63" t="s">
        <v>1718</v>
      </c>
      <c r="L727" s="64" t="s">
        <v>1204</v>
      </c>
      <c r="M727" s="64" t="s">
        <v>1418</v>
      </c>
    </row>
    <row r="728" spans="1:13" s="65" customFormat="1" ht="12" customHeight="1" x14ac:dyDescent="0.2">
      <c r="A728" s="78">
        <v>235730</v>
      </c>
      <c r="B728" s="69" t="s">
        <v>781</v>
      </c>
      <c r="C728" s="60" t="s">
        <v>1196</v>
      </c>
      <c r="D728" s="66" t="s">
        <v>1198</v>
      </c>
      <c r="E728" s="66" t="s">
        <v>1500</v>
      </c>
      <c r="F728" s="66" t="s">
        <v>1649</v>
      </c>
      <c r="G728" s="60" t="s">
        <v>8</v>
      </c>
      <c r="H728" s="61">
        <v>0.19097222222222221</v>
      </c>
      <c r="I728" s="61"/>
      <c r="J728" s="62">
        <v>0.19097222222222221</v>
      </c>
      <c r="K728" s="63" t="s">
        <v>1718</v>
      </c>
      <c r="L728" s="64" t="s">
        <v>1198</v>
      </c>
      <c r="M728" s="64" t="s">
        <v>1500</v>
      </c>
    </row>
    <row r="729" spans="1:13" s="65" customFormat="1" ht="12" customHeight="1" x14ac:dyDescent="0.2">
      <c r="A729" s="78">
        <v>235731</v>
      </c>
      <c r="B729" s="69" t="s">
        <v>782</v>
      </c>
      <c r="C729" s="60" t="s">
        <v>1196</v>
      </c>
      <c r="D729" s="66" t="s">
        <v>1198</v>
      </c>
      <c r="E729" s="66" t="s">
        <v>1500</v>
      </c>
      <c r="F729" s="66" t="s">
        <v>1649</v>
      </c>
      <c r="G729" s="60" t="s">
        <v>7</v>
      </c>
      <c r="H729" s="61">
        <v>0.54652777777777783</v>
      </c>
      <c r="I729" s="61">
        <v>0.54652777777777783</v>
      </c>
      <c r="J729" s="62"/>
      <c r="K729" s="63" t="s">
        <v>1718</v>
      </c>
      <c r="L729" s="64" t="s">
        <v>1198</v>
      </c>
      <c r="M729" s="64" t="s">
        <v>1500</v>
      </c>
    </row>
    <row r="730" spans="1:13" s="65" customFormat="1" ht="12" customHeight="1" x14ac:dyDescent="0.2">
      <c r="A730" s="78">
        <v>235743</v>
      </c>
      <c r="B730" s="69" t="s">
        <v>783</v>
      </c>
      <c r="C730" s="60" t="s">
        <v>1196</v>
      </c>
      <c r="D730" s="66" t="s">
        <v>1204</v>
      </c>
      <c r="E730" s="66" t="s">
        <v>1530</v>
      </c>
      <c r="F730" s="66" t="s">
        <v>1681</v>
      </c>
      <c r="G730" s="60" t="s">
        <v>7</v>
      </c>
      <c r="H730" s="61">
        <v>0.41736111111111113</v>
      </c>
      <c r="I730" s="61">
        <v>0.41736111111111113</v>
      </c>
      <c r="J730" s="62"/>
      <c r="K730" s="63" t="s">
        <v>1723</v>
      </c>
      <c r="L730" s="64" t="s">
        <v>1204</v>
      </c>
      <c r="M730" s="64" t="s">
        <v>1530</v>
      </c>
    </row>
    <row r="731" spans="1:13" s="65" customFormat="1" ht="12" customHeight="1" x14ac:dyDescent="0.2">
      <c r="A731" s="78">
        <v>235747</v>
      </c>
      <c r="B731" s="69" t="s">
        <v>784</v>
      </c>
      <c r="C731" s="60" t="s">
        <v>1196</v>
      </c>
      <c r="D731" s="66" t="s">
        <v>1205</v>
      </c>
      <c r="E731" s="66" t="s">
        <v>1330</v>
      </c>
      <c r="F731" s="66" t="s">
        <v>1647</v>
      </c>
      <c r="G731" s="60" t="s">
        <v>8</v>
      </c>
      <c r="H731" s="61">
        <v>1.10625</v>
      </c>
      <c r="I731" s="61"/>
      <c r="J731" s="62">
        <v>1.10625</v>
      </c>
      <c r="K731" s="63" t="s">
        <v>1718</v>
      </c>
      <c r="L731" s="64" t="s">
        <v>1205</v>
      </c>
      <c r="M731" s="64" t="s">
        <v>1330</v>
      </c>
    </row>
    <row r="732" spans="1:13" s="65" customFormat="1" ht="12" customHeight="1" x14ac:dyDescent="0.2">
      <c r="A732" s="78">
        <v>235748</v>
      </c>
      <c r="B732" s="69" t="s">
        <v>785</v>
      </c>
      <c r="C732" s="60" t="s">
        <v>1196</v>
      </c>
      <c r="D732" s="66" t="s">
        <v>1197</v>
      </c>
      <c r="E732" s="66" t="s">
        <v>1471</v>
      </c>
      <c r="F732" s="66" t="s">
        <v>1636</v>
      </c>
      <c r="G732" s="60" t="s">
        <v>7</v>
      </c>
      <c r="H732" s="61">
        <v>0.7416666666666667</v>
      </c>
      <c r="I732" s="61">
        <v>0.7416666666666667</v>
      </c>
      <c r="J732" s="62"/>
      <c r="K732" s="63" t="s">
        <v>1718</v>
      </c>
      <c r="L732" s="64" t="s">
        <v>1197</v>
      </c>
      <c r="M732" s="64" t="s">
        <v>1471</v>
      </c>
    </row>
    <row r="733" spans="1:13" s="65" customFormat="1" ht="12" customHeight="1" x14ac:dyDescent="0.2">
      <c r="A733" s="78">
        <v>235756</v>
      </c>
      <c r="B733" s="69" t="s">
        <v>786</v>
      </c>
      <c r="C733" s="60" t="s">
        <v>1196</v>
      </c>
      <c r="D733" s="66" t="s">
        <v>1205</v>
      </c>
      <c r="E733" s="66" t="s">
        <v>1415</v>
      </c>
      <c r="F733" s="66" t="s">
        <v>1683</v>
      </c>
      <c r="G733" s="60" t="s">
        <v>7</v>
      </c>
      <c r="H733" s="61">
        <v>1.0347222222222223</v>
      </c>
      <c r="I733" s="61">
        <v>1.0347222222222223</v>
      </c>
      <c r="J733" s="62"/>
      <c r="K733" s="63" t="s">
        <v>1718</v>
      </c>
      <c r="L733" s="64" t="s">
        <v>1205</v>
      </c>
      <c r="M733" s="64" t="s">
        <v>1415</v>
      </c>
    </row>
    <row r="734" spans="1:13" s="65" customFormat="1" ht="12" customHeight="1" x14ac:dyDescent="0.2">
      <c r="A734" s="78">
        <v>235760</v>
      </c>
      <c r="B734" s="69" t="s">
        <v>787</v>
      </c>
      <c r="C734" s="60" t="s">
        <v>1196</v>
      </c>
      <c r="D734" s="66" t="s">
        <v>1199</v>
      </c>
      <c r="E734" s="66" t="s">
        <v>1420</v>
      </c>
      <c r="F734" s="66" t="s">
        <v>1670</v>
      </c>
      <c r="G734" s="60" t="s">
        <v>7</v>
      </c>
      <c r="H734" s="61">
        <v>0.45902777777777781</v>
      </c>
      <c r="I734" s="61">
        <v>0.45902777777777781</v>
      </c>
      <c r="J734" s="62"/>
      <c r="K734" s="63" t="s">
        <v>1718</v>
      </c>
      <c r="L734" s="64" t="s">
        <v>1199</v>
      </c>
      <c r="M734" s="64" t="s">
        <v>1420</v>
      </c>
    </row>
    <row r="735" spans="1:13" s="65" customFormat="1" ht="12" customHeight="1" x14ac:dyDescent="0.2">
      <c r="A735" s="78">
        <v>235800</v>
      </c>
      <c r="B735" s="69" t="s">
        <v>788</v>
      </c>
      <c r="C735" s="60" t="s">
        <v>1196</v>
      </c>
      <c r="D735" s="66" t="s">
        <v>1203</v>
      </c>
      <c r="E735" s="66" t="s">
        <v>1288</v>
      </c>
      <c r="F735" s="66" t="s">
        <v>1639</v>
      </c>
      <c r="G735" s="60" t="s">
        <v>7</v>
      </c>
      <c r="H735" s="61">
        <v>1.7986111111111112</v>
      </c>
      <c r="I735" s="61">
        <v>1.7986111111111112</v>
      </c>
      <c r="J735" s="62"/>
      <c r="K735" s="63" t="s">
        <v>1723</v>
      </c>
      <c r="L735" s="64" t="s">
        <v>1203</v>
      </c>
      <c r="M735" s="64" t="s">
        <v>1288</v>
      </c>
    </row>
    <row r="736" spans="1:13" s="65" customFormat="1" ht="12" customHeight="1" x14ac:dyDescent="0.2">
      <c r="A736" s="78">
        <v>235803</v>
      </c>
      <c r="B736" s="69" t="s">
        <v>789</v>
      </c>
      <c r="C736" s="60" t="s">
        <v>1196</v>
      </c>
      <c r="D736" s="66" t="s">
        <v>1200</v>
      </c>
      <c r="E736" s="66" t="s">
        <v>1472</v>
      </c>
      <c r="F736" s="66" t="s">
        <v>1622</v>
      </c>
      <c r="G736" s="60" t="s">
        <v>8</v>
      </c>
      <c r="H736" s="61">
        <v>1.9819444444444445</v>
      </c>
      <c r="I736" s="61"/>
      <c r="J736" s="62">
        <v>1.9819444444444445</v>
      </c>
      <c r="K736" s="63" t="s">
        <v>1718</v>
      </c>
      <c r="L736" s="64" t="s">
        <v>1200</v>
      </c>
      <c r="M736" s="64" t="s">
        <v>1472</v>
      </c>
    </row>
    <row r="737" spans="1:13" s="65" customFormat="1" ht="12" customHeight="1" x14ac:dyDescent="0.2">
      <c r="A737" s="78">
        <v>235804</v>
      </c>
      <c r="B737" s="69" t="s">
        <v>790</v>
      </c>
      <c r="C737" s="60" t="s">
        <v>1196</v>
      </c>
      <c r="D737" s="66" t="s">
        <v>1204</v>
      </c>
      <c r="E737" s="66" t="s">
        <v>1531</v>
      </c>
      <c r="F737" s="66" t="s">
        <v>1711</v>
      </c>
      <c r="G737" s="60" t="s">
        <v>7</v>
      </c>
      <c r="H737" s="61">
        <v>9.7201388888888882</v>
      </c>
      <c r="I737" s="61">
        <v>9.7201388888888882</v>
      </c>
      <c r="J737" s="62"/>
      <c r="K737" s="63" t="s">
        <v>1722</v>
      </c>
      <c r="L737" s="64" t="s">
        <v>1204</v>
      </c>
      <c r="M737" s="64" t="s">
        <v>1531</v>
      </c>
    </row>
    <row r="738" spans="1:13" s="65" customFormat="1" ht="12" customHeight="1" x14ac:dyDescent="0.2">
      <c r="A738" s="78">
        <v>235819</v>
      </c>
      <c r="B738" s="69" t="s">
        <v>791</v>
      </c>
      <c r="C738" s="60" t="s">
        <v>1196</v>
      </c>
      <c r="D738" s="66" t="s">
        <v>1204</v>
      </c>
      <c r="E738" s="66" t="s">
        <v>1237</v>
      </c>
      <c r="F738" s="66" t="s">
        <v>1604</v>
      </c>
      <c r="G738" s="60" t="s">
        <v>8</v>
      </c>
      <c r="H738" s="61">
        <v>2.9861111111111113E-2</v>
      </c>
      <c r="I738" s="61"/>
      <c r="J738" s="62">
        <v>2.9861111111111113E-2</v>
      </c>
      <c r="K738" s="63" t="s">
        <v>1724</v>
      </c>
      <c r="L738" s="64" t="s">
        <v>1204</v>
      </c>
      <c r="M738" s="64" t="s">
        <v>1237</v>
      </c>
    </row>
    <row r="739" spans="1:13" s="65" customFormat="1" ht="12" customHeight="1" x14ac:dyDescent="0.2">
      <c r="A739" s="78">
        <v>235838</v>
      </c>
      <c r="B739" s="69" t="s">
        <v>792</v>
      </c>
      <c r="C739" s="60" t="s">
        <v>1196</v>
      </c>
      <c r="D739" s="66" t="s">
        <v>1204</v>
      </c>
      <c r="E739" s="66" t="s">
        <v>1532</v>
      </c>
      <c r="F739" s="66" t="s">
        <v>1712</v>
      </c>
      <c r="G739" s="60" t="s">
        <v>8</v>
      </c>
      <c r="H739" s="61">
        <v>7.0916666666666659</v>
      </c>
      <c r="I739" s="61"/>
      <c r="J739" s="62">
        <v>7.0916666666666659</v>
      </c>
      <c r="K739" s="63" t="s">
        <v>1718</v>
      </c>
      <c r="L739" s="64" t="s">
        <v>1204</v>
      </c>
      <c r="M739" s="64" t="s">
        <v>1532</v>
      </c>
    </row>
    <row r="740" spans="1:13" s="65" customFormat="1" ht="12" customHeight="1" x14ac:dyDescent="0.2">
      <c r="A740" s="78">
        <v>235843</v>
      </c>
      <c r="B740" s="69" t="s">
        <v>793</v>
      </c>
      <c r="C740" s="60" t="s">
        <v>1196</v>
      </c>
      <c r="D740" s="66" t="s">
        <v>1199</v>
      </c>
      <c r="E740" s="66" t="s">
        <v>1341</v>
      </c>
      <c r="F740" s="66" t="s">
        <v>1666</v>
      </c>
      <c r="G740" s="60" t="s">
        <v>7</v>
      </c>
      <c r="H740" s="61">
        <v>1.226388888888889</v>
      </c>
      <c r="I740" s="61">
        <v>1.226388888888889</v>
      </c>
      <c r="J740" s="62"/>
      <c r="K740" s="63" t="s">
        <v>1718</v>
      </c>
      <c r="L740" s="64" t="s">
        <v>1199</v>
      </c>
      <c r="M740" s="64" t="s">
        <v>1341</v>
      </c>
    </row>
    <row r="741" spans="1:13" s="65" customFormat="1" ht="12" customHeight="1" x14ac:dyDescent="0.2">
      <c r="A741" s="78">
        <v>235844</v>
      </c>
      <c r="B741" s="69" t="s">
        <v>794</v>
      </c>
      <c r="C741" s="60" t="s">
        <v>1196</v>
      </c>
      <c r="D741" s="66" t="s">
        <v>1204</v>
      </c>
      <c r="E741" s="66" t="s">
        <v>1459</v>
      </c>
      <c r="F741" s="66" t="s">
        <v>1604</v>
      </c>
      <c r="G741" s="60" t="s">
        <v>8</v>
      </c>
      <c r="H741" s="61">
        <v>3.0555555555555555E-2</v>
      </c>
      <c r="I741" s="61"/>
      <c r="J741" s="62">
        <v>3.0555555555555555E-2</v>
      </c>
      <c r="K741" s="63" t="s">
        <v>1718</v>
      </c>
      <c r="L741" s="64" t="s">
        <v>1204</v>
      </c>
      <c r="M741" s="64" t="s">
        <v>1459</v>
      </c>
    </row>
    <row r="742" spans="1:13" s="65" customFormat="1" ht="12" customHeight="1" x14ac:dyDescent="0.2">
      <c r="A742" s="78">
        <v>235849</v>
      </c>
      <c r="B742" s="69" t="s">
        <v>795</v>
      </c>
      <c r="C742" s="60" t="s">
        <v>1196</v>
      </c>
      <c r="D742" s="66" t="s">
        <v>1203</v>
      </c>
      <c r="E742" s="66" t="s">
        <v>1467</v>
      </c>
      <c r="F742" s="66" t="s">
        <v>1648</v>
      </c>
      <c r="G742" s="60" t="s">
        <v>7</v>
      </c>
      <c r="H742" s="61">
        <v>14.361111111111111</v>
      </c>
      <c r="I742" s="61">
        <v>14.361111111111111</v>
      </c>
      <c r="J742" s="62"/>
      <c r="K742" s="63" t="s">
        <v>1718</v>
      </c>
      <c r="L742" s="64" t="s">
        <v>1203</v>
      </c>
      <c r="M742" s="64" t="s">
        <v>1467</v>
      </c>
    </row>
    <row r="743" spans="1:13" s="65" customFormat="1" ht="12" customHeight="1" x14ac:dyDescent="0.2">
      <c r="A743" s="78">
        <v>235865</v>
      </c>
      <c r="B743" s="69" t="s">
        <v>796</v>
      </c>
      <c r="C743" s="60" t="s">
        <v>1196</v>
      </c>
      <c r="D743" s="66" t="s">
        <v>1203</v>
      </c>
      <c r="E743" s="66" t="s">
        <v>1292</v>
      </c>
      <c r="F743" s="66" t="s">
        <v>1642</v>
      </c>
      <c r="G743" s="60" t="s">
        <v>7</v>
      </c>
      <c r="H743" s="61">
        <v>2.9861111111111113E-2</v>
      </c>
      <c r="I743" s="61">
        <v>2.9861111111111113E-2</v>
      </c>
      <c r="J743" s="62"/>
      <c r="K743" s="63" t="s">
        <v>1723</v>
      </c>
      <c r="L743" s="64" t="s">
        <v>1203</v>
      </c>
      <c r="M743" s="64" t="s">
        <v>1292</v>
      </c>
    </row>
    <row r="744" spans="1:13" s="65" customFormat="1" ht="12" customHeight="1" x14ac:dyDescent="0.2">
      <c r="A744" s="78">
        <v>235882</v>
      </c>
      <c r="B744" s="69" t="s">
        <v>797</v>
      </c>
      <c r="C744" s="60" t="s">
        <v>1196</v>
      </c>
      <c r="D744" s="66" t="s">
        <v>1197</v>
      </c>
      <c r="E744" s="66" t="s">
        <v>1316</v>
      </c>
      <c r="F744" s="66" t="s">
        <v>1629</v>
      </c>
      <c r="G744" s="60" t="s">
        <v>7</v>
      </c>
      <c r="H744" s="61">
        <v>0.61805555555555558</v>
      </c>
      <c r="I744" s="61">
        <v>0.61805555555555558</v>
      </c>
      <c r="J744" s="62"/>
      <c r="K744" s="63" t="s">
        <v>1718</v>
      </c>
      <c r="L744" s="64" t="s">
        <v>1197</v>
      </c>
      <c r="M744" s="64" t="s">
        <v>1316</v>
      </c>
    </row>
    <row r="745" spans="1:13" s="65" customFormat="1" ht="12" customHeight="1" x14ac:dyDescent="0.2">
      <c r="A745" s="78">
        <v>235894</v>
      </c>
      <c r="B745" s="69" t="s">
        <v>798</v>
      </c>
      <c r="C745" s="60" t="s">
        <v>1196</v>
      </c>
      <c r="D745" s="66" t="s">
        <v>1197</v>
      </c>
      <c r="E745" s="66" t="s">
        <v>1312</v>
      </c>
      <c r="F745" s="66" t="s">
        <v>1600</v>
      </c>
      <c r="G745" s="60" t="s">
        <v>8</v>
      </c>
      <c r="H745" s="61">
        <v>0.74722222222222223</v>
      </c>
      <c r="I745" s="61"/>
      <c r="J745" s="62">
        <v>0.74722222222222223</v>
      </c>
      <c r="K745" s="63" t="s">
        <v>1718</v>
      </c>
      <c r="L745" s="64" t="s">
        <v>1197</v>
      </c>
      <c r="M745" s="64" t="s">
        <v>1312</v>
      </c>
    </row>
    <row r="746" spans="1:13" s="65" customFormat="1" ht="12" customHeight="1" x14ac:dyDescent="0.2">
      <c r="A746" s="78">
        <v>235897</v>
      </c>
      <c r="B746" s="69" t="s">
        <v>799</v>
      </c>
      <c r="C746" s="60" t="s">
        <v>1196</v>
      </c>
      <c r="D746" s="66" t="s">
        <v>1200</v>
      </c>
      <c r="E746" s="66" t="s">
        <v>1424</v>
      </c>
      <c r="F746" s="66" t="s">
        <v>1597</v>
      </c>
      <c r="G746" s="60" t="s">
        <v>8</v>
      </c>
      <c r="H746" s="61">
        <v>0.60347222222222219</v>
      </c>
      <c r="I746" s="61"/>
      <c r="J746" s="62">
        <v>0.60347222222222219</v>
      </c>
      <c r="K746" s="63" t="s">
        <v>1718</v>
      </c>
      <c r="L746" s="64" t="s">
        <v>1200</v>
      </c>
      <c r="M746" s="64" t="s">
        <v>1424</v>
      </c>
    </row>
    <row r="747" spans="1:13" s="65" customFormat="1" ht="12" customHeight="1" x14ac:dyDescent="0.2">
      <c r="A747" s="78">
        <v>235901</v>
      </c>
      <c r="B747" s="69" t="s">
        <v>800</v>
      </c>
      <c r="C747" s="60" t="s">
        <v>1196</v>
      </c>
      <c r="D747" s="66" t="s">
        <v>1198</v>
      </c>
      <c r="E747" s="66" t="s">
        <v>1445</v>
      </c>
      <c r="F747" s="66" t="s">
        <v>1599</v>
      </c>
      <c r="G747" s="60" t="s">
        <v>8</v>
      </c>
      <c r="H747" s="61">
        <v>1.2138888888888888</v>
      </c>
      <c r="I747" s="61"/>
      <c r="J747" s="62">
        <v>1.2138888888888888</v>
      </c>
      <c r="K747" s="63" t="s">
        <v>1718</v>
      </c>
      <c r="L747" s="64" t="s">
        <v>1198</v>
      </c>
      <c r="M747" s="64" t="s">
        <v>1445</v>
      </c>
    </row>
    <row r="748" spans="1:13" s="65" customFormat="1" ht="12" customHeight="1" x14ac:dyDescent="0.2">
      <c r="A748" s="78">
        <v>235902</v>
      </c>
      <c r="B748" s="69" t="s">
        <v>801</v>
      </c>
      <c r="C748" s="60" t="s">
        <v>1196</v>
      </c>
      <c r="D748" s="66" t="s">
        <v>1202</v>
      </c>
      <c r="E748" s="66" t="s">
        <v>1361</v>
      </c>
      <c r="F748" s="66" t="s">
        <v>1654</v>
      </c>
      <c r="G748" s="60" t="s">
        <v>7</v>
      </c>
      <c r="H748" s="61">
        <v>1.3347222222222221</v>
      </c>
      <c r="I748" s="61">
        <v>1.3347222222222221</v>
      </c>
      <c r="J748" s="62"/>
      <c r="K748" s="63" t="s">
        <v>1718</v>
      </c>
      <c r="L748" s="64" t="s">
        <v>1202</v>
      </c>
      <c r="M748" s="64" t="s">
        <v>1361</v>
      </c>
    </row>
    <row r="749" spans="1:13" s="65" customFormat="1" ht="12" customHeight="1" x14ac:dyDescent="0.2">
      <c r="A749" s="78">
        <v>235907</v>
      </c>
      <c r="B749" s="69" t="s">
        <v>802</v>
      </c>
      <c r="C749" s="60" t="s">
        <v>1196</v>
      </c>
      <c r="D749" s="66" t="s">
        <v>1198</v>
      </c>
      <c r="E749" s="66" t="s">
        <v>1363</v>
      </c>
      <c r="F749" s="66" t="s">
        <v>1664</v>
      </c>
      <c r="G749" s="60" t="s">
        <v>7</v>
      </c>
      <c r="H749" s="61">
        <v>9.0277777777777776E-2</v>
      </c>
      <c r="I749" s="61">
        <v>9.0277777777777776E-2</v>
      </c>
      <c r="J749" s="62"/>
      <c r="K749" s="63" t="s">
        <v>1718</v>
      </c>
      <c r="L749" s="64" t="s">
        <v>1198</v>
      </c>
      <c r="M749" s="64" t="s">
        <v>1363</v>
      </c>
    </row>
    <row r="750" spans="1:13" s="65" customFormat="1" ht="12" customHeight="1" x14ac:dyDescent="0.2">
      <c r="A750" s="78">
        <v>235908</v>
      </c>
      <c r="B750" s="69" t="s">
        <v>803</v>
      </c>
      <c r="C750" s="60" t="s">
        <v>1196</v>
      </c>
      <c r="D750" s="66" t="s">
        <v>1199</v>
      </c>
      <c r="E750" s="66" t="s">
        <v>1401</v>
      </c>
      <c r="F750" s="66" t="s">
        <v>1645</v>
      </c>
      <c r="G750" s="60" t="s">
        <v>8</v>
      </c>
      <c r="H750" s="61">
        <v>0.61319444444444449</v>
      </c>
      <c r="I750" s="61"/>
      <c r="J750" s="62">
        <v>0.61319444444444449</v>
      </c>
      <c r="K750" s="63" t="s">
        <v>1718</v>
      </c>
      <c r="L750" s="64" t="s">
        <v>1199</v>
      </c>
      <c r="M750" s="64" t="s">
        <v>1401</v>
      </c>
    </row>
    <row r="751" spans="1:13" s="65" customFormat="1" ht="12" customHeight="1" x14ac:dyDescent="0.2">
      <c r="A751" s="78">
        <v>235930</v>
      </c>
      <c r="B751" s="69" t="s">
        <v>804</v>
      </c>
      <c r="C751" s="60" t="s">
        <v>1196</v>
      </c>
      <c r="D751" s="66" t="s">
        <v>1199</v>
      </c>
      <c r="E751" s="66" t="s">
        <v>1307</v>
      </c>
      <c r="F751" s="66" t="s">
        <v>1596</v>
      </c>
      <c r="G751" s="60" t="s">
        <v>8</v>
      </c>
      <c r="H751" s="61">
        <v>0.30694444444444441</v>
      </c>
      <c r="I751" s="61"/>
      <c r="J751" s="62">
        <v>0.30694444444444441</v>
      </c>
      <c r="K751" s="63" t="s">
        <v>1718</v>
      </c>
      <c r="L751" s="64" t="s">
        <v>1199</v>
      </c>
      <c r="M751" s="64" t="s">
        <v>1307</v>
      </c>
    </row>
    <row r="752" spans="1:13" s="65" customFormat="1" ht="12" customHeight="1" x14ac:dyDescent="0.2">
      <c r="A752" s="78">
        <v>235951</v>
      </c>
      <c r="B752" s="69" t="s">
        <v>805</v>
      </c>
      <c r="C752" s="60" t="s">
        <v>1196</v>
      </c>
      <c r="D752" s="66" t="s">
        <v>1201</v>
      </c>
      <c r="E752" s="66" t="s">
        <v>1463</v>
      </c>
      <c r="F752" s="66" t="s">
        <v>1701</v>
      </c>
      <c r="G752" s="60" t="s">
        <v>8</v>
      </c>
      <c r="H752" s="61">
        <v>5.5555555555555558E-3</v>
      </c>
      <c r="I752" s="61"/>
      <c r="J752" s="62">
        <v>5.5555555555555558E-3</v>
      </c>
      <c r="K752" s="63" t="s">
        <v>1718</v>
      </c>
      <c r="L752" s="64" t="s">
        <v>1201</v>
      </c>
      <c r="M752" s="64" t="s">
        <v>1463</v>
      </c>
    </row>
    <row r="753" spans="1:13" s="65" customFormat="1" ht="12" customHeight="1" x14ac:dyDescent="0.2">
      <c r="A753" s="78">
        <v>235957</v>
      </c>
      <c r="B753" s="69" t="s">
        <v>806</v>
      </c>
      <c r="C753" s="60" t="s">
        <v>1196</v>
      </c>
      <c r="D753" s="66" t="s">
        <v>1205</v>
      </c>
      <c r="E753" s="66" t="s">
        <v>1533</v>
      </c>
      <c r="F753" s="66" t="s">
        <v>1689</v>
      </c>
      <c r="G753" s="60" t="s">
        <v>7</v>
      </c>
      <c r="H753" s="61">
        <v>20.12361111111111</v>
      </c>
      <c r="I753" s="61">
        <v>20.12361111111111</v>
      </c>
      <c r="J753" s="62"/>
      <c r="K753" s="63" t="s">
        <v>1723</v>
      </c>
      <c r="L753" s="64" t="s">
        <v>1205</v>
      </c>
      <c r="M753" s="64" t="s">
        <v>1533</v>
      </c>
    </row>
    <row r="754" spans="1:13" s="65" customFormat="1" ht="12" customHeight="1" x14ac:dyDescent="0.2">
      <c r="A754" s="78">
        <v>235960</v>
      </c>
      <c r="B754" s="69" t="s">
        <v>807</v>
      </c>
      <c r="C754" s="60" t="s">
        <v>1196</v>
      </c>
      <c r="D754" s="66" t="s">
        <v>1199</v>
      </c>
      <c r="E754" s="66" t="s">
        <v>1443</v>
      </c>
      <c r="F754" s="66" t="s">
        <v>1698</v>
      </c>
      <c r="G754" s="60" t="s">
        <v>8</v>
      </c>
      <c r="H754" s="61">
        <v>0.12916666666666668</v>
      </c>
      <c r="I754" s="61"/>
      <c r="J754" s="62">
        <v>0.12916666666666668</v>
      </c>
      <c r="K754" s="63" t="s">
        <v>1718</v>
      </c>
      <c r="L754" s="64" t="s">
        <v>1199</v>
      </c>
      <c r="M754" s="64" t="s">
        <v>1443</v>
      </c>
    </row>
    <row r="755" spans="1:13" s="65" customFormat="1" ht="12" customHeight="1" x14ac:dyDescent="0.2">
      <c r="A755" s="78">
        <v>235963</v>
      </c>
      <c r="B755" s="69" t="s">
        <v>808</v>
      </c>
      <c r="C755" s="60" t="s">
        <v>1196</v>
      </c>
      <c r="D755" s="66" t="s">
        <v>1205</v>
      </c>
      <c r="E755" s="66" t="s">
        <v>1534</v>
      </c>
      <c r="F755" s="66" t="s">
        <v>1689</v>
      </c>
      <c r="G755" s="60" t="s">
        <v>7</v>
      </c>
      <c r="H755" s="61">
        <v>22.666666666666668</v>
      </c>
      <c r="I755" s="61">
        <v>22.666666666666668</v>
      </c>
      <c r="J755" s="62"/>
      <c r="K755" s="63" t="s">
        <v>1718</v>
      </c>
      <c r="L755" s="64" t="s">
        <v>1205</v>
      </c>
      <c r="M755" s="64" t="s">
        <v>1534</v>
      </c>
    </row>
    <row r="756" spans="1:13" s="65" customFormat="1" ht="12" customHeight="1" x14ac:dyDescent="0.2">
      <c r="A756" s="78">
        <v>235966</v>
      </c>
      <c r="B756" s="69" t="s">
        <v>809</v>
      </c>
      <c r="C756" s="60" t="s">
        <v>1196</v>
      </c>
      <c r="D756" s="66" t="s">
        <v>1205</v>
      </c>
      <c r="E756" s="66" t="s">
        <v>1533</v>
      </c>
      <c r="F756" s="66" t="s">
        <v>1689</v>
      </c>
      <c r="G756" s="60" t="s">
        <v>7</v>
      </c>
      <c r="H756" s="61">
        <v>1.9659722222222222</v>
      </c>
      <c r="I756" s="61">
        <v>1.9659722222222222</v>
      </c>
      <c r="J756" s="62"/>
      <c r="K756" s="63" t="s">
        <v>1722</v>
      </c>
      <c r="L756" s="64" t="s">
        <v>1205</v>
      </c>
      <c r="M756" s="64" t="s">
        <v>1533</v>
      </c>
    </row>
    <row r="757" spans="1:13" s="65" customFormat="1" ht="12" customHeight="1" x14ac:dyDescent="0.2">
      <c r="A757" s="78">
        <v>235967</v>
      </c>
      <c r="B757" s="69" t="s">
        <v>810</v>
      </c>
      <c r="C757" s="60" t="s">
        <v>1196</v>
      </c>
      <c r="D757" s="66" t="s">
        <v>1201</v>
      </c>
      <c r="E757" s="66" t="s">
        <v>1535</v>
      </c>
      <c r="F757" s="66" t="s">
        <v>1591</v>
      </c>
      <c r="G757" s="60" t="s">
        <v>8</v>
      </c>
      <c r="H757" s="61">
        <v>0.67569444444444438</v>
      </c>
      <c r="I757" s="61"/>
      <c r="J757" s="62">
        <v>0.67569444444444438</v>
      </c>
      <c r="K757" s="63" t="s">
        <v>1720</v>
      </c>
      <c r="L757" s="64" t="s">
        <v>1201</v>
      </c>
      <c r="M757" s="64" t="s">
        <v>1535</v>
      </c>
    </row>
    <row r="758" spans="1:13" s="65" customFormat="1" ht="12" customHeight="1" x14ac:dyDescent="0.2">
      <c r="A758" s="78">
        <v>235974</v>
      </c>
      <c r="B758" s="69" t="s">
        <v>811</v>
      </c>
      <c r="C758" s="60" t="s">
        <v>1196</v>
      </c>
      <c r="D758" s="66" t="s">
        <v>1199</v>
      </c>
      <c r="E758" s="66" t="s">
        <v>1340</v>
      </c>
      <c r="F758" s="66" t="s">
        <v>1665</v>
      </c>
      <c r="G758" s="60" t="s">
        <v>8</v>
      </c>
      <c r="H758" s="61">
        <v>0.75347222222222221</v>
      </c>
      <c r="I758" s="61"/>
      <c r="J758" s="62">
        <v>0.75347222222222221</v>
      </c>
      <c r="K758" s="63" t="s">
        <v>1718</v>
      </c>
      <c r="L758" s="64" t="s">
        <v>1199</v>
      </c>
      <c r="M758" s="64" t="s">
        <v>1340</v>
      </c>
    </row>
    <row r="759" spans="1:13" s="65" customFormat="1" ht="12" customHeight="1" x14ac:dyDescent="0.2">
      <c r="A759" s="78">
        <v>235978</v>
      </c>
      <c r="B759" s="69" t="s">
        <v>812</v>
      </c>
      <c r="C759" s="60" t="s">
        <v>1196</v>
      </c>
      <c r="D759" s="66" t="s">
        <v>1197</v>
      </c>
      <c r="E759" s="66" t="s">
        <v>1483</v>
      </c>
      <c r="F759" s="66" t="s">
        <v>1704</v>
      </c>
      <c r="G759" s="60" t="s">
        <v>7</v>
      </c>
      <c r="H759" s="61">
        <v>0.4375</v>
      </c>
      <c r="I759" s="61">
        <v>0.4375</v>
      </c>
      <c r="J759" s="62"/>
      <c r="K759" s="63" t="s">
        <v>1718</v>
      </c>
      <c r="L759" s="64" t="s">
        <v>1197</v>
      </c>
      <c r="M759" s="64" t="s">
        <v>1483</v>
      </c>
    </row>
    <row r="760" spans="1:13" s="65" customFormat="1" ht="12" customHeight="1" x14ac:dyDescent="0.2">
      <c r="A760" s="78">
        <v>235980</v>
      </c>
      <c r="B760" s="69" t="s">
        <v>813</v>
      </c>
      <c r="C760" s="60" t="s">
        <v>1196</v>
      </c>
      <c r="D760" s="66" t="s">
        <v>1200</v>
      </c>
      <c r="E760" s="66" t="s">
        <v>1536</v>
      </c>
      <c r="F760" s="66" t="s">
        <v>1713</v>
      </c>
      <c r="G760" s="60" t="s">
        <v>8</v>
      </c>
      <c r="H760" s="61">
        <v>8.6805555555555566E-2</v>
      </c>
      <c r="I760" s="61"/>
      <c r="J760" s="62">
        <v>8.6805555555555566E-2</v>
      </c>
      <c r="K760" s="63" t="s">
        <v>1722</v>
      </c>
      <c r="L760" s="64" t="s">
        <v>1200</v>
      </c>
      <c r="M760" s="64" t="s">
        <v>1536</v>
      </c>
    </row>
    <row r="761" spans="1:13" s="65" customFormat="1" ht="12" customHeight="1" x14ac:dyDescent="0.2">
      <c r="A761" s="78">
        <v>235982</v>
      </c>
      <c r="B761" s="69" t="s">
        <v>814</v>
      </c>
      <c r="C761" s="60" t="s">
        <v>1196</v>
      </c>
      <c r="D761" s="66" t="s">
        <v>1200</v>
      </c>
      <c r="E761" s="66" t="s">
        <v>1537</v>
      </c>
      <c r="F761" s="66" t="s">
        <v>1713</v>
      </c>
      <c r="G761" s="60" t="s">
        <v>8</v>
      </c>
      <c r="H761" s="61">
        <v>0.61249999999999993</v>
      </c>
      <c r="I761" s="61"/>
      <c r="J761" s="62">
        <v>0.61249999999999993</v>
      </c>
      <c r="K761" s="63" t="s">
        <v>1718</v>
      </c>
      <c r="L761" s="64" t="s">
        <v>1200</v>
      </c>
      <c r="M761" s="64" t="s">
        <v>1537</v>
      </c>
    </row>
    <row r="762" spans="1:13" s="65" customFormat="1" ht="12" customHeight="1" x14ac:dyDescent="0.2">
      <c r="A762" s="78">
        <v>235983</v>
      </c>
      <c r="B762" s="69" t="s">
        <v>815</v>
      </c>
      <c r="C762" s="60" t="s">
        <v>1196</v>
      </c>
      <c r="D762" s="66" t="s">
        <v>1200</v>
      </c>
      <c r="E762" s="66" t="s">
        <v>1537</v>
      </c>
      <c r="F762" s="66" t="s">
        <v>1713</v>
      </c>
      <c r="G762" s="60" t="s">
        <v>7</v>
      </c>
      <c r="H762" s="61">
        <v>1.8041666666666667</v>
      </c>
      <c r="I762" s="61">
        <v>1.8041666666666667</v>
      </c>
      <c r="J762" s="62"/>
      <c r="K762" s="63" t="s">
        <v>1718</v>
      </c>
      <c r="L762" s="64" t="s">
        <v>1200</v>
      </c>
      <c r="M762" s="64" t="s">
        <v>1537</v>
      </c>
    </row>
    <row r="763" spans="1:13" s="65" customFormat="1" ht="12" customHeight="1" x14ac:dyDescent="0.2">
      <c r="A763" s="78">
        <v>236001</v>
      </c>
      <c r="B763" s="69" t="s">
        <v>816</v>
      </c>
      <c r="C763" s="60" t="s">
        <v>1196</v>
      </c>
      <c r="D763" s="66" t="s">
        <v>1203</v>
      </c>
      <c r="E763" s="66" t="s">
        <v>1440</v>
      </c>
      <c r="F763" s="66" t="s">
        <v>1696</v>
      </c>
      <c r="G763" s="60" t="s">
        <v>8</v>
      </c>
      <c r="H763" s="61">
        <v>0.14722222222222223</v>
      </c>
      <c r="I763" s="61"/>
      <c r="J763" s="62">
        <v>0.14722222222222223</v>
      </c>
      <c r="K763" s="63" t="s">
        <v>1718</v>
      </c>
      <c r="L763" s="64" t="s">
        <v>1203</v>
      </c>
      <c r="M763" s="64" t="s">
        <v>1440</v>
      </c>
    </row>
    <row r="764" spans="1:13" s="65" customFormat="1" ht="12" customHeight="1" x14ac:dyDescent="0.2">
      <c r="A764" s="78">
        <v>236003</v>
      </c>
      <c r="B764" s="69" t="s">
        <v>817</v>
      </c>
      <c r="C764" s="60" t="s">
        <v>1196</v>
      </c>
      <c r="D764" s="66" t="s">
        <v>1205</v>
      </c>
      <c r="E764" s="66" t="s">
        <v>1538</v>
      </c>
      <c r="F764" s="66" t="s">
        <v>1594</v>
      </c>
      <c r="G764" s="60" t="s">
        <v>8</v>
      </c>
      <c r="H764" s="61">
        <v>0.42569444444444443</v>
      </c>
      <c r="I764" s="61"/>
      <c r="J764" s="62">
        <v>0.42569444444444443</v>
      </c>
      <c r="K764" s="63" t="s">
        <v>1720</v>
      </c>
      <c r="L764" s="64" t="s">
        <v>1205</v>
      </c>
      <c r="M764" s="64" t="s">
        <v>1538</v>
      </c>
    </row>
    <row r="765" spans="1:13" s="65" customFormat="1" ht="12" customHeight="1" x14ac:dyDescent="0.2">
      <c r="A765" s="78">
        <v>236004</v>
      </c>
      <c r="B765" s="69" t="s">
        <v>818</v>
      </c>
      <c r="C765" s="60" t="s">
        <v>1196</v>
      </c>
      <c r="D765" s="66" t="s">
        <v>1200</v>
      </c>
      <c r="E765" s="66" t="s">
        <v>1451</v>
      </c>
      <c r="F765" s="66" t="s">
        <v>1662</v>
      </c>
      <c r="G765" s="60" t="s">
        <v>7</v>
      </c>
      <c r="H765" s="61">
        <v>0.55347222222222225</v>
      </c>
      <c r="I765" s="61">
        <v>0.55347222222222225</v>
      </c>
      <c r="J765" s="62"/>
      <c r="K765" s="63" t="s">
        <v>1723</v>
      </c>
      <c r="L765" s="64" t="s">
        <v>1200</v>
      </c>
      <c r="M765" s="64" t="s">
        <v>1451</v>
      </c>
    </row>
    <row r="766" spans="1:13" s="65" customFormat="1" ht="12" customHeight="1" x14ac:dyDescent="0.2">
      <c r="A766" s="78">
        <v>236032</v>
      </c>
      <c r="B766" s="69" t="s">
        <v>819</v>
      </c>
      <c r="C766" s="60" t="s">
        <v>1196</v>
      </c>
      <c r="D766" s="66" t="s">
        <v>1204</v>
      </c>
      <c r="E766" s="66" t="s">
        <v>1321</v>
      </c>
      <c r="F766" s="66" t="s">
        <v>1656</v>
      </c>
      <c r="G766" s="60" t="s">
        <v>7</v>
      </c>
      <c r="H766" s="61">
        <v>0.10694444444444444</v>
      </c>
      <c r="I766" s="61">
        <v>0.10694444444444444</v>
      </c>
      <c r="J766" s="62"/>
      <c r="K766" s="63" t="s">
        <v>1718</v>
      </c>
      <c r="L766" s="64" t="s">
        <v>1204</v>
      </c>
      <c r="M766" s="64" t="s">
        <v>1321</v>
      </c>
    </row>
    <row r="767" spans="1:13" s="65" customFormat="1" ht="12" customHeight="1" x14ac:dyDescent="0.2">
      <c r="A767" s="78">
        <v>236041</v>
      </c>
      <c r="B767" s="69" t="s">
        <v>820</v>
      </c>
      <c r="C767" s="60" t="s">
        <v>1196</v>
      </c>
      <c r="D767" s="66" t="s">
        <v>1200</v>
      </c>
      <c r="E767" s="66" t="s">
        <v>1539</v>
      </c>
      <c r="F767" s="66" t="s">
        <v>1598</v>
      </c>
      <c r="G767" s="60" t="s">
        <v>8</v>
      </c>
      <c r="H767" s="61">
        <v>0.63611111111111118</v>
      </c>
      <c r="I767" s="61"/>
      <c r="J767" s="62">
        <v>0.63611111111111118</v>
      </c>
      <c r="K767" s="63" t="s">
        <v>1720</v>
      </c>
      <c r="L767" s="64" t="s">
        <v>1200</v>
      </c>
      <c r="M767" s="64" t="s">
        <v>1539</v>
      </c>
    </row>
    <row r="768" spans="1:13" s="65" customFormat="1" ht="12" customHeight="1" x14ac:dyDescent="0.2">
      <c r="A768" s="78">
        <v>236042</v>
      </c>
      <c r="B768" s="69" t="s">
        <v>821</v>
      </c>
      <c r="C768" s="60" t="s">
        <v>1196</v>
      </c>
      <c r="D768" s="66" t="s">
        <v>1205</v>
      </c>
      <c r="E768" s="66" t="s">
        <v>1396</v>
      </c>
      <c r="F768" s="66" t="s">
        <v>1682</v>
      </c>
      <c r="G768" s="60" t="s">
        <v>7</v>
      </c>
      <c r="H768" s="61">
        <v>0.4770833333333333</v>
      </c>
      <c r="I768" s="61">
        <v>0.4770833333333333</v>
      </c>
      <c r="J768" s="62"/>
      <c r="K768" s="63" t="s">
        <v>1718</v>
      </c>
      <c r="L768" s="64" t="s">
        <v>1205</v>
      </c>
      <c r="M768" s="64" t="s">
        <v>1396</v>
      </c>
    </row>
    <row r="769" spans="1:13" s="65" customFormat="1" ht="12" customHeight="1" x14ac:dyDescent="0.2">
      <c r="A769" s="78">
        <v>236044</v>
      </c>
      <c r="B769" s="69" t="s">
        <v>822</v>
      </c>
      <c r="C769" s="60" t="s">
        <v>1196</v>
      </c>
      <c r="D769" s="66" t="s">
        <v>1201</v>
      </c>
      <c r="E769" s="66" t="s">
        <v>1540</v>
      </c>
      <c r="F769" s="66" t="s">
        <v>1697</v>
      </c>
      <c r="G769" s="60" t="s">
        <v>7</v>
      </c>
      <c r="H769" s="61">
        <v>1.5034722222222223</v>
      </c>
      <c r="I769" s="61">
        <v>1.5034722222222223</v>
      </c>
      <c r="J769" s="62"/>
      <c r="K769" s="63" t="s">
        <v>1722</v>
      </c>
      <c r="L769" s="64" t="s">
        <v>1201</v>
      </c>
      <c r="M769" s="64" t="s">
        <v>1540</v>
      </c>
    </row>
    <row r="770" spans="1:13" s="65" customFormat="1" ht="12" customHeight="1" x14ac:dyDescent="0.2">
      <c r="A770" s="78">
        <v>236084</v>
      </c>
      <c r="B770" s="69" t="s">
        <v>823</v>
      </c>
      <c r="C770" s="60" t="s">
        <v>1196</v>
      </c>
      <c r="D770" s="66" t="s">
        <v>1204</v>
      </c>
      <c r="E770" s="66" t="s">
        <v>1505</v>
      </c>
      <c r="F770" s="66" t="s">
        <v>1706</v>
      </c>
      <c r="G770" s="60" t="s">
        <v>8</v>
      </c>
      <c r="H770" s="61">
        <v>0.39166666666666666</v>
      </c>
      <c r="I770" s="61"/>
      <c r="J770" s="62">
        <v>0.39166666666666666</v>
      </c>
      <c r="K770" s="63" t="s">
        <v>1718</v>
      </c>
      <c r="L770" s="64" t="s">
        <v>1204</v>
      </c>
      <c r="M770" s="64" t="s">
        <v>1505</v>
      </c>
    </row>
    <row r="771" spans="1:13" s="65" customFormat="1" ht="12" customHeight="1" x14ac:dyDescent="0.2">
      <c r="A771" s="78">
        <v>236087</v>
      </c>
      <c r="B771" s="69" t="s">
        <v>824</v>
      </c>
      <c r="C771" s="60" t="s">
        <v>1196</v>
      </c>
      <c r="D771" s="66" t="s">
        <v>1197</v>
      </c>
      <c r="E771" s="66" t="s">
        <v>1206</v>
      </c>
      <c r="F771" s="66" t="s">
        <v>1585</v>
      </c>
      <c r="G771" s="60" t="s">
        <v>7</v>
      </c>
      <c r="H771" s="61">
        <v>0.86458333333333337</v>
      </c>
      <c r="I771" s="61">
        <v>0.86458333333333337</v>
      </c>
      <c r="J771" s="62"/>
      <c r="K771" s="63" t="s">
        <v>1727</v>
      </c>
      <c r="L771" s="64" t="s">
        <v>1197</v>
      </c>
      <c r="M771" s="64" t="s">
        <v>1206</v>
      </c>
    </row>
    <row r="772" spans="1:13" s="65" customFormat="1" ht="12" customHeight="1" x14ac:dyDescent="0.2">
      <c r="A772" s="78">
        <v>236130</v>
      </c>
      <c r="B772" s="69" t="s">
        <v>825</v>
      </c>
      <c r="C772" s="60" t="s">
        <v>1196</v>
      </c>
      <c r="D772" s="66" t="s">
        <v>1204</v>
      </c>
      <c r="E772" s="66" t="s">
        <v>1503</v>
      </c>
      <c r="F772" s="66" t="s">
        <v>1705</v>
      </c>
      <c r="G772" s="60" t="s">
        <v>8</v>
      </c>
      <c r="H772" s="61">
        <v>0.40972222222222227</v>
      </c>
      <c r="I772" s="61"/>
      <c r="J772" s="62">
        <v>0.40972222222222227</v>
      </c>
      <c r="K772" s="63" t="s">
        <v>1722</v>
      </c>
      <c r="L772" s="64" t="s">
        <v>1204</v>
      </c>
      <c r="M772" s="64" t="s">
        <v>1503</v>
      </c>
    </row>
    <row r="773" spans="1:13" s="65" customFormat="1" ht="12" customHeight="1" x14ac:dyDescent="0.2">
      <c r="A773" s="78">
        <v>236141</v>
      </c>
      <c r="B773" s="69" t="s">
        <v>826</v>
      </c>
      <c r="C773" s="60" t="s">
        <v>1196</v>
      </c>
      <c r="D773" s="66" t="s">
        <v>1197</v>
      </c>
      <c r="E773" s="66" t="s">
        <v>1283</v>
      </c>
      <c r="F773" s="66" t="s">
        <v>1636</v>
      </c>
      <c r="G773" s="60" t="s">
        <v>7</v>
      </c>
      <c r="H773" s="61">
        <v>1.7090277777777776</v>
      </c>
      <c r="I773" s="61">
        <v>1.7090277777777776</v>
      </c>
      <c r="J773" s="62"/>
      <c r="K773" s="63" t="s">
        <v>1723</v>
      </c>
      <c r="L773" s="64" t="s">
        <v>1197</v>
      </c>
      <c r="M773" s="64" t="s">
        <v>1283</v>
      </c>
    </row>
    <row r="774" spans="1:13" s="65" customFormat="1" ht="12" customHeight="1" x14ac:dyDescent="0.2">
      <c r="A774" s="78">
        <v>236147</v>
      </c>
      <c r="B774" s="69" t="s">
        <v>827</v>
      </c>
      <c r="C774" s="60" t="s">
        <v>1196</v>
      </c>
      <c r="D774" s="66" t="s">
        <v>1198</v>
      </c>
      <c r="E774" s="66" t="s">
        <v>1304</v>
      </c>
      <c r="F774" s="66" t="s">
        <v>1650</v>
      </c>
      <c r="G774" s="60" t="s">
        <v>8</v>
      </c>
      <c r="H774" s="61">
        <v>0.58611111111111114</v>
      </c>
      <c r="I774" s="61"/>
      <c r="J774" s="62">
        <v>0.58611111111111114</v>
      </c>
      <c r="K774" s="63" t="s">
        <v>1723</v>
      </c>
      <c r="L774" s="64" t="s">
        <v>1198</v>
      </c>
      <c r="M774" s="64" t="s">
        <v>1304</v>
      </c>
    </row>
    <row r="775" spans="1:13" s="65" customFormat="1" ht="12" customHeight="1" x14ac:dyDescent="0.2">
      <c r="A775" s="78">
        <v>236158</v>
      </c>
      <c r="B775" s="69" t="s">
        <v>828</v>
      </c>
      <c r="C775" s="60" t="s">
        <v>1196</v>
      </c>
      <c r="D775" s="66" t="s">
        <v>1205</v>
      </c>
      <c r="E775" s="66" t="s">
        <v>1359</v>
      </c>
      <c r="F775" s="66" t="s">
        <v>1594</v>
      </c>
      <c r="G775" s="60" t="s">
        <v>8</v>
      </c>
      <c r="H775" s="61">
        <v>1.8430555555555557</v>
      </c>
      <c r="I775" s="61"/>
      <c r="J775" s="62">
        <v>1.8430555555555557</v>
      </c>
      <c r="K775" s="63" t="s">
        <v>1721</v>
      </c>
      <c r="L775" s="64" t="s">
        <v>1205</v>
      </c>
      <c r="M775" s="64" t="s">
        <v>1359</v>
      </c>
    </row>
    <row r="776" spans="1:13" s="65" customFormat="1" ht="12" customHeight="1" x14ac:dyDescent="0.2">
      <c r="A776" s="78">
        <v>236168</v>
      </c>
      <c r="B776" s="69" t="s">
        <v>829</v>
      </c>
      <c r="C776" s="60" t="s">
        <v>1196</v>
      </c>
      <c r="D776" s="66" t="s">
        <v>1200</v>
      </c>
      <c r="E776" s="66" t="s">
        <v>1537</v>
      </c>
      <c r="F776" s="66" t="s">
        <v>1713</v>
      </c>
      <c r="G776" s="60" t="s">
        <v>7</v>
      </c>
      <c r="H776" s="61">
        <v>1.2166666666666668</v>
      </c>
      <c r="I776" s="61">
        <v>1.2166666666666668</v>
      </c>
      <c r="J776" s="62"/>
      <c r="K776" s="63" t="s">
        <v>1718</v>
      </c>
      <c r="L776" s="64" t="s">
        <v>1200</v>
      </c>
      <c r="M776" s="64" t="s">
        <v>1537</v>
      </c>
    </row>
    <row r="777" spans="1:13" s="65" customFormat="1" ht="12" customHeight="1" x14ac:dyDescent="0.2">
      <c r="A777" s="78">
        <v>236207</v>
      </c>
      <c r="B777" s="69" t="s">
        <v>830</v>
      </c>
      <c r="C777" s="60" t="s">
        <v>1196</v>
      </c>
      <c r="D777" s="66" t="s">
        <v>1205</v>
      </c>
      <c r="E777" s="66" t="s">
        <v>1324</v>
      </c>
      <c r="F777" s="66" t="s">
        <v>1658</v>
      </c>
      <c r="G777" s="60" t="s">
        <v>8</v>
      </c>
      <c r="H777" s="61">
        <v>0.35972222222222222</v>
      </c>
      <c r="I777" s="61"/>
      <c r="J777" s="62">
        <v>0.35972222222222222</v>
      </c>
      <c r="K777" s="63" t="s">
        <v>1718</v>
      </c>
      <c r="L777" s="64" t="s">
        <v>1205</v>
      </c>
      <c r="M777" s="64" t="s">
        <v>1324</v>
      </c>
    </row>
    <row r="778" spans="1:13" s="65" customFormat="1" ht="12" customHeight="1" x14ac:dyDescent="0.2">
      <c r="A778" s="78">
        <v>236227</v>
      </c>
      <c r="B778" s="69" t="s">
        <v>831</v>
      </c>
      <c r="C778" s="60" t="s">
        <v>1196</v>
      </c>
      <c r="D778" s="66" t="s">
        <v>1198</v>
      </c>
      <c r="E778" s="66" t="s">
        <v>1383</v>
      </c>
      <c r="F778" s="66" t="s">
        <v>1611</v>
      </c>
      <c r="G778" s="60" t="s">
        <v>7</v>
      </c>
      <c r="H778" s="61">
        <v>0.29375000000000001</v>
      </c>
      <c r="I778" s="61">
        <v>0.29375000000000001</v>
      </c>
      <c r="J778" s="62"/>
      <c r="K778" s="63" t="s">
        <v>1718</v>
      </c>
      <c r="L778" s="64" t="s">
        <v>1198</v>
      </c>
      <c r="M778" s="64" t="s">
        <v>1383</v>
      </c>
    </row>
    <row r="779" spans="1:13" s="65" customFormat="1" ht="12" customHeight="1" x14ac:dyDescent="0.2">
      <c r="A779" s="78">
        <v>236234</v>
      </c>
      <c r="B779" s="69" t="s">
        <v>832</v>
      </c>
      <c r="C779" s="60" t="s">
        <v>1196</v>
      </c>
      <c r="D779" s="66" t="s">
        <v>1202</v>
      </c>
      <c r="E779" s="66" t="s">
        <v>1389</v>
      </c>
      <c r="F779" s="66" t="s">
        <v>1671</v>
      </c>
      <c r="G779" s="60" t="s">
        <v>7</v>
      </c>
      <c r="H779" s="61">
        <v>7.2249999999999996</v>
      </c>
      <c r="I779" s="61">
        <v>7.2249999999999996</v>
      </c>
      <c r="J779" s="62"/>
      <c r="K779" s="63" t="s">
        <v>1718</v>
      </c>
      <c r="L779" s="64" t="s">
        <v>1202</v>
      </c>
      <c r="M779" s="64" t="s">
        <v>1389</v>
      </c>
    </row>
    <row r="780" spans="1:13" s="65" customFormat="1" ht="12" customHeight="1" x14ac:dyDescent="0.2">
      <c r="A780" s="78">
        <v>236239</v>
      </c>
      <c r="B780" s="69" t="s">
        <v>833</v>
      </c>
      <c r="C780" s="60" t="s">
        <v>1196</v>
      </c>
      <c r="D780" s="66" t="s">
        <v>1205</v>
      </c>
      <c r="E780" s="66" t="s">
        <v>1526</v>
      </c>
      <c r="F780" s="66" t="s">
        <v>1710</v>
      </c>
      <c r="G780" s="60" t="s">
        <v>7</v>
      </c>
      <c r="H780" s="61">
        <v>16.421527777777779</v>
      </c>
      <c r="I780" s="61">
        <v>16.421527777777779</v>
      </c>
      <c r="J780" s="62"/>
      <c r="K780" s="63" t="s">
        <v>1725</v>
      </c>
      <c r="L780" s="64" t="s">
        <v>1205</v>
      </c>
      <c r="M780" s="64" t="s">
        <v>1526</v>
      </c>
    </row>
    <row r="781" spans="1:13" s="65" customFormat="1" ht="12" customHeight="1" x14ac:dyDescent="0.2">
      <c r="A781" s="78">
        <v>236240</v>
      </c>
      <c r="B781" s="69" t="s">
        <v>834</v>
      </c>
      <c r="C781" s="60" t="s">
        <v>1196</v>
      </c>
      <c r="D781" s="66" t="s">
        <v>1198</v>
      </c>
      <c r="E781" s="66" t="s">
        <v>1244</v>
      </c>
      <c r="F781" s="66" t="s">
        <v>1611</v>
      </c>
      <c r="G781" s="60" t="s">
        <v>8</v>
      </c>
      <c r="H781" s="61">
        <v>1.1715277777777777</v>
      </c>
      <c r="I781" s="61"/>
      <c r="J781" s="62">
        <v>1.1715277777777777</v>
      </c>
      <c r="K781" s="63" t="s">
        <v>1723</v>
      </c>
      <c r="L781" s="64" t="s">
        <v>1198</v>
      </c>
      <c r="M781" s="64" t="s">
        <v>1244</v>
      </c>
    </row>
    <row r="782" spans="1:13" s="65" customFormat="1" ht="12" customHeight="1" x14ac:dyDescent="0.2">
      <c r="A782" s="78">
        <v>236241</v>
      </c>
      <c r="B782" s="69" t="s">
        <v>835</v>
      </c>
      <c r="C782" s="60" t="s">
        <v>1196</v>
      </c>
      <c r="D782" s="66" t="s">
        <v>1200</v>
      </c>
      <c r="E782" s="66" t="s">
        <v>1541</v>
      </c>
      <c r="F782" s="66" t="s">
        <v>1702</v>
      </c>
      <c r="G782" s="60" t="s">
        <v>7</v>
      </c>
      <c r="H782" s="61">
        <v>4.0590277777777777</v>
      </c>
      <c r="I782" s="61">
        <v>4.0590277777777777</v>
      </c>
      <c r="J782" s="62"/>
      <c r="K782" s="63" t="s">
        <v>1722</v>
      </c>
      <c r="L782" s="64" t="s">
        <v>1200</v>
      </c>
      <c r="M782" s="64" t="s">
        <v>1541</v>
      </c>
    </row>
    <row r="783" spans="1:13" s="65" customFormat="1" ht="12" customHeight="1" x14ac:dyDescent="0.2">
      <c r="A783" s="78">
        <v>236242</v>
      </c>
      <c r="B783" s="69" t="s">
        <v>836</v>
      </c>
      <c r="C783" s="60" t="s">
        <v>1196</v>
      </c>
      <c r="D783" s="66" t="s">
        <v>1199</v>
      </c>
      <c r="E783" s="66" t="s">
        <v>1348</v>
      </c>
      <c r="F783" s="66" t="s">
        <v>1587</v>
      </c>
      <c r="G783" s="60" t="s">
        <v>8</v>
      </c>
      <c r="H783" s="61">
        <v>4.1666666666666666E-3</v>
      </c>
      <c r="I783" s="61"/>
      <c r="J783" s="62">
        <v>4.1666666666666666E-3</v>
      </c>
      <c r="K783" s="63" t="s">
        <v>1720</v>
      </c>
      <c r="L783" s="64" t="s">
        <v>1199</v>
      </c>
      <c r="M783" s="64" t="s">
        <v>1348</v>
      </c>
    </row>
    <row r="784" spans="1:13" s="65" customFormat="1" ht="12" customHeight="1" x14ac:dyDescent="0.2">
      <c r="A784" s="78">
        <v>236245</v>
      </c>
      <c r="B784" s="69" t="s">
        <v>837</v>
      </c>
      <c r="C784" s="60" t="s">
        <v>1196</v>
      </c>
      <c r="D784" s="66" t="s">
        <v>1197</v>
      </c>
      <c r="E784" s="66" t="s">
        <v>1276</v>
      </c>
      <c r="F784" s="66" t="s">
        <v>1630</v>
      </c>
      <c r="G784" s="60" t="s">
        <v>8</v>
      </c>
      <c r="H784" s="61">
        <v>0.625</v>
      </c>
      <c r="I784" s="61"/>
      <c r="J784" s="62">
        <v>0.625</v>
      </c>
      <c r="K784" s="63" t="s">
        <v>1718</v>
      </c>
      <c r="L784" s="64" t="s">
        <v>1197</v>
      </c>
      <c r="M784" s="64" t="s">
        <v>1276</v>
      </c>
    </row>
    <row r="785" spans="1:13" s="65" customFormat="1" ht="12" customHeight="1" x14ac:dyDescent="0.2">
      <c r="A785" s="78">
        <v>236246</v>
      </c>
      <c r="B785" s="69" t="s">
        <v>838</v>
      </c>
      <c r="C785" s="60" t="s">
        <v>1196</v>
      </c>
      <c r="D785" s="66" t="s">
        <v>1205</v>
      </c>
      <c r="E785" s="66" t="s">
        <v>1366</v>
      </c>
      <c r="F785" s="66" t="s">
        <v>1640</v>
      </c>
      <c r="G785" s="60" t="s">
        <v>8</v>
      </c>
      <c r="H785" s="61">
        <v>2.7090277777777776</v>
      </c>
      <c r="I785" s="61"/>
      <c r="J785" s="62">
        <v>2.7090277777777776</v>
      </c>
      <c r="K785" s="63" t="s">
        <v>1718</v>
      </c>
      <c r="L785" s="64" t="s">
        <v>1205</v>
      </c>
      <c r="M785" s="64" t="s">
        <v>1366</v>
      </c>
    </row>
    <row r="786" spans="1:13" s="65" customFormat="1" ht="12" customHeight="1" x14ac:dyDescent="0.2">
      <c r="A786" s="78">
        <v>236248</v>
      </c>
      <c r="B786" s="69" t="s">
        <v>839</v>
      </c>
      <c r="C786" s="60" t="s">
        <v>1196</v>
      </c>
      <c r="D786" s="66" t="s">
        <v>1205</v>
      </c>
      <c r="E786" s="66" t="s">
        <v>1519</v>
      </c>
      <c r="F786" s="66" t="s">
        <v>1710</v>
      </c>
      <c r="G786" s="60" t="s">
        <v>8</v>
      </c>
      <c r="H786" s="61">
        <v>0.12222222222222223</v>
      </c>
      <c r="I786" s="61"/>
      <c r="J786" s="62">
        <v>0.12222222222222223</v>
      </c>
      <c r="K786" s="63" t="s">
        <v>1718</v>
      </c>
      <c r="L786" s="64" t="s">
        <v>1205</v>
      </c>
      <c r="M786" s="64" t="s">
        <v>1519</v>
      </c>
    </row>
    <row r="787" spans="1:13" s="65" customFormat="1" ht="12" customHeight="1" x14ac:dyDescent="0.2">
      <c r="A787" s="78">
        <v>236253</v>
      </c>
      <c r="B787" s="69" t="s">
        <v>840</v>
      </c>
      <c r="C787" s="60" t="s">
        <v>1196</v>
      </c>
      <c r="D787" s="66" t="s">
        <v>1205</v>
      </c>
      <c r="E787" s="66" t="s">
        <v>1522</v>
      </c>
      <c r="F787" s="66" t="s">
        <v>1695</v>
      </c>
      <c r="G787" s="60" t="s">
        <v>7</v>
      </c>
      <c r="H787" s="61">
        <v>0.56111111111111112</v>
      </c>
      <c r="I787" s="61">
        <v>0.56111111111111112</v>
      </c>
      <c r="J787" s="62"/>
      <c r="K787" s="63" t="s">
        <v>1723</v>
      </c>
      <c r="L787" s="64" t="s">
        <v>1205</v>
      </c>
      <c r="M787" s="64" t="s">
        <v>1522</v>
      </c>
    </row>
    <row r="788" spans="1:13" s="65" customFormat="1" ht="12" customHeight="1" x14ac:dyDescent="0.2">
      <c r="A788" s="78">
        <v>236257</v>
      </c>
      <c r="B788" s="69" t="s">
        <v>841</v>
      </c>
      <c r="C788" s="60" t="s">
        <v>1196</v>
      </c>
      <c r="D788" s="66" t="s">
        <v>1201</v>
      </c>
      <c r="E788" s="66" t="s">
        <v>1362</v>
      </c>
      <c r="F788" s="66" t="s">
        <v>1601</v>
      </c>
      <c r="G788" s="60" t="s">
        <v>8</v>
      </c>
      <c r="H788" s="61">
        <v>1.5125</v>
      </c>
      <c r="I788" s="61"/>
      <c r="J788" s="62">
        <v>1.5125</v>
      </c>
      <c r="K788" s="63" t="s">
        <v>1718</v>
      </c>
      <c r="L788" s="64" t="s">
        <v>1201</v>
      </c>
      <c r="M788" s="64" t="s">
        <v>1362</v>
      </c>
    </row>
    <row r="789" spans="1:13" s="65" customFormat="1" ht="12" customHeight="1" x14ac:dyDescent="0.2">
      <c r="A789" s="78">
        <v>236263</v>
      </c>
      <c r="B789" s="69" t="s">
        <v>842</v>
      </c>
      <c r="C789" s="60" t="s">
        <v>1196</v>
      </c>
      <c r="D789" s="66" t="s">
        <v>1197</v>
      </c>
      <c r="E789" s="66" t="s">
        <v>1275</v>
      </c>
      <c r="F789" s="66" t="s">
        <v>1629</v>
      </c>
      <c r="G789" s="60" t="s">
        <v>7</v>
      </c>
      <c r="H789" s="61">
        <v>0.6645833333333333</v>
      </c>
      <c r="I789" s="61">
        <v>0.6645833333333333</v>
      </c>
      <c r="J789" s="62"/>
      <c r="K789" s="63" t="s">
        <v>1723</v>
      </c>
      <c r="L789" s="64" t="s">
        <v>1197</v>
      </c>
      <c r="M789" s="64" t="s">
        <v>1275</v>
      </c>
    </row>
    <row r="790" spans="1:13" s="65" customFormat="1" ht="12" customHeight="1" x14ac:dyDescent="0.2">
      <c r="A790" s="78">
        <v>236275</v>
      </c>
      <c r="B790" s="69" t="s">
        <v>843</v>
      </c>
      <c r="C790" s="60" t="s">
        <v>1196</v>
      </c>
      <c r="D790" s="66" t="s">
        <v>1200</v>
      </c>
      <c r="E790" s="66" t="s">
        <v>1314</v>
      </c>
      <c r="F790" s="66" t="s">
        <v>1653</v>
      </c>
      <c r="G790" s="60" t="s">
        <v>8</v>
      </c>
      <c r="H790" s="61">
        <v>2.0833333333333333E-3</v>
      </c>
      <c r="I790" s="61"/>
      <c r="J790" s="62">
        <v>2.0833333333333333E-3</v>
      </c>
      <c r="K790" s="63" t="s">
        <v>1718</v>
      </c>
      <c r="L790" s="64" t="s">
        <v>1200</v>
      </c>
      <c r="M790" s="64" t="s">
        <v>1314</v>
      </c>
    </row>
    <row r="791" spans="1:13" s="65" customFormat="1" ht="12" customHeight="1" x14ac:dyDescent="0.2">
      <c r="A791" s="78">
        <v>236301</v>
      </c>
      <c r="B791" s="69" t="s">
        <v>844</v>
      </c>
      <c r="C791" s="60" t="s">
        <v>1196</v>
      </c>
      <c r="D791" s="66" t="s">
        <v>1200</v>
      </c>
      <c r="E791" s="66" t="s">
        <v>1542</v>
      </c>
      <c r="F791" s="66" t="s">
        <v>1688</v>
      </c>
      <c r="G791" s="60" t="s">
        <v>8</v>
      </c>
      <c r="H791" s="61">
        <v>0.86388888888888893</v>
      </c>
      <c r="I791" s="61"/>
      <c r="J791" s="62">
        <v>0.86388888888888893</v>
      </c>
      <c r="K791" s="63" t="s">
        <v>1718</v>
      </c>
      <c r="L791" s="64" t="s">
        <v>1200</v>
      </c>
      <c r="M791" s="64" t="s">
        <v>1542</v>
      </c>
    </row>
    <row r="792" spans="1:13" s="65" customFormat="1" ht="12" customHeight="1" x14ac:dyDescent="0.2">
      <c r="A792" s="78">
        <v>236302</v>
      </c>
      <c r="B792" s="69" t="s">
        <v>845</v>
      </c>
      <c r="C792" s="60" t="s">
        <v>1196</v>
      </c>
      <c r="D792" s="66" t="s">
        <v>1200</v>
      </c>
      <c r="E792" s="66" t="s">
        <v>1542</v>
      </c>
      <c r="F792" s="66" t="s">
        <v>1688</v>
      </c>
      <c r="G792" s="60" t="s">
        <v>8</v>
      </c>
      <c r="H792" s="61">
        <v>1.9923611111111112</v>
      </c>
      <c r="I792" s="61"/>
      <c r="J792" s="62">
        <v>1.9923611111111112</v>
      </c>
      <c r="K792" s="63" t="s">
        <v>1718</v>
      </c>
      <c r="L792" s="64" t="s">
        <v>1200</v>
      </c>
      <c r="M792" s="64" t="s">
        <v>1542</v>
      </c>
    </row>
    <row r="793" spans="1:13" s="65" customFormat="1" ht="12" customHeight="1" x14ac:dyDescent="0.2">
      <c r="A793" s="78">
        <v>236304</v>
      </c>
      <c r="B793" s="69" t="s">
        <v>846</v>
      </c>
      <c r="C793" s="60" t="s">
        <v>1196</v>
      </c>
      <c r="D793" s="66" t="s">
        <v>1200</v>
      </c>
      <c r="E793" s="66" t="s">
        <v>1542</v>
      </c>
      <c r="F793" s="66" t="s">
        <v>1688</v>
      </c>
      <c r="G793" s="60" t="s">
        <v>8</v>
      </c>
      <c r="H793" s="61">
        <v>0.43402777777777773</v>
      </c>
      <c r="I793" s="61"/>
      <c r="J793" s="62">
        <v>0.43402777777777773</v>
      </c>
      <c r="K793" s="63" t="s">
        <v>1718</v>
      </c>
      <c r="L793" s="64" t="s">
        <v>1200</v>
      </c>
      <c r="M793" s="64" t="s">
        <v>1542</v>
      </c>
    </row>
    <row r="794" spans="1:13" s="65" customFormat="1" ht="12" customHeight="1" x14ac:dyDescent="0.2">
      <c r="A794" s="78">
        <v>236306</v>
      </c>
      <c r="B794" s="69" t="s">
        <v>847</v>
      </c>
      <c r="C794" s="60" t="s">
        <v>1196</v>
      </c>
      <c r="D794" s="66" t="s">
        <v>1200</v>
      </c>
      <c r="E794" s="66" t="s">
        <v>1542</v>
      </c>
      <c r="F794" s="66" t="s">
        <v>1688</v>
      </c>
      <c r="G794" s="60" t="s">
        <v>8</v>
      </c>
      <c r="H794" s="61">
        <v>6.0416666666666667E-2</v>
      </c>
      <c r="I794" s="61"/>
      <c r="J794" s="62">
        <v>6.0416666666666667E-2</v>
      </c>
      <c r="K794" s="63" t="s">
        <v>1718</v>
      </c>
      <c r="L794" s="64" t="s">
        <v>1200</v>
      </c>
      <c r="M794" s="64" t="s">
        <v>1542</v>
      </c>
    </row>
    <row r="795" spans="1:13" s="65" customFormat="1" ht="12" customHeight="1" x14ac:dyDescent="0.2">
      <c r="A795" s="78">
        <v>236316</v>
      </c>
      <c r="B795" s="69" t="s">
        <v>848</v>
      </c>
      <c r="C795" s="60" t="s">
        <v>1196</v>
      </c>
      <c r="D795" s="66" t="s">
        <v>1205</v>
      </c>
      <c r="E795" s="66" t="s">
        <v>1438</v>
      </c>
      <c r="F795" s="66" t="s">
        <v>1689</v>
      </c>
      <c r="G795" s="60" t="s">
        <v>8</v>
      </c>
      <c r="H795" s="61">
        <v>0.1763888888888889</v>
      </c>
      <c r="I795" s="61"/>
      <c r="J795" s="62">
        <v>0.1763888888888889</v>
      </c>
      <c r="K795" s="63" t="s">
        <v>1718</v>
      </c>
      <c r="L795" s="64" t="s">
        <v>1205</v>
      </c>
      <c r="M795" s="64" t="s">
        <v>1438</v>
      </c>
    </row>
    <row r="796" spans="1:13" s="65" customFormat="1" ht="12" customHeight="1" x14ac:dyDescent="0.2">
      <c r="A796" s="78">
        <v>236321</v>
      </c>
      <c r="B796" s="69" t="s">
        <v>849</v>
      </c>
      <c r="C796" s="60" t="s">
        <v>1196</v>
      </c>
      <c r="D796" s="66" t="s">
        <v>1200</v>
      </c>
      <c r="E796" s="66" t="s">
        <v>1543</v>
      </c>
      <c r="F796" s="66" t="s">
        <v>1598</v>
      </c>
      <c r="G796" s="60" t="s">
        <v>8</v>
      </c>
      <c r="H796" s="61">
        <v>0.50347222222222221</v>
      </c>
      <c r="I796" s="61"/>
      <c r="J796" s="62">
        <v>0.50347222222222221</v>
      </c>
      <c r="K796" s="63" t="s">
        <v>1720</v>
      </c>
      <c r="L796" s="64" t="s">
        <v>1200</v>
      </c>
      <c r="M796" s="64" t="s">
        <v>1543</v>
      </c>
    </row>
    <row r="797" spans="1:13" s="65" customFormat="1" ht="12" customHeight="1" x14ac:dyDescent="0.2">
      <c r="A797" s="78">
        <v>236333</v>
      </c>
      <c r="B797" s="69" t="s">
        <v>850</v>
      </c>
      <c r="C797" s="60" t="s">
        <v>1196</v>
      </c>
      <c r="D797" s="66" t="s">
        <v>1202</v>
      </c>
      <c r="E797" s="66" t="s">
        <v>1374</v>
      </c>
      <c r="F797" s="66" t="s">
        <v>1617</v>
      </c>
      <c r="G797" s="60" t="s">
        <v>7</v>
      </c>
      <c r="H797" s="61">
        <v>0.35833333333333334</v>
      </c>
      <c r="I797" s="61">
        <v>0.35833333333333334</v>
      </c>
      <c r="J797" s="62"/>
      <c r="K797" s="63" t="s">
        <v>1718</v>
      </c>
      <c r="L797" s="64" t="s">
        <v>1202</v>
      </c>
      <c r="M797" s="64" t="s">
        <v>1374</v>
      </c>
    </row>
    <row r="798" spans="1:13" s="65" customFormat="1" ht="12" customHeight="1" x14ac:dyDescent="0.2">
      <c r="A798" s="78">
        <v>236351</v>
      </c>
      <c r="B798" s="69" t="s">
        <v>851</v>
      </c>
      <c r="C798" s="60" t="s">
        <v>1196</v>
      </c>
      <c r="D798" s="66" t="s">
        <v>1197</v>
      </c>
      <c r="E798" s="66" t="s">
        <v>1229</v>
      </c>
      <c r="F798" s="66" t="s">
        <v>1585</v>
      </c>
      <c r="G798" s="60" t="s">
        <v>7</v>
      </c>
      <c r="H798" s="61">
        <v>2.4284722222222221</v>
      </c>
      <c r="I798" s="61">
        <v>2.4284722222222221</v>
      </c>
      <c r="J798" s="62"/>
      <c r="K798" s="63" t="s">
        <v>1723</v>
      </c>
      <c r="L798" s="64" t="s">
        <v>1197</v>
      </c>
      <c r="M798" s="64" t="s">
        <v>1229</v>
      </c>
    </row>
    <row r="799" spans="1:13" s="65" customFormat="1" ht="12" customHeight="1" x14ac:dyDescent="0.2">
      <c r="A799" s="78">
        <v>236352</v>
      </c>
      <c r="B799" s="69" t="s">
        <v>852</v>
      </c>
      <c r="C799" s="60" t="s">
        <v>1196</v>
      </c>
      <c r="D799" s="66" t="s">
        <v>1205</v>
      </c>
      <c r="E799" s="66" t="s">
        <v>1474</v>
      </c>
      <c r="F799" s="66" t="s">
        <v>1674</v>
      </c>
      <c r="G799" s="60" t="s">
        <v>7</v>
      </c>
      <c r="H799" s="61">
        <v>0.5493055555555556</v>
      </c>
      <c r="I799" s="61">
        <v>0.5493055555555556</v>
      </c>
      <c r="J799" s="62"/>
      <c r="K799" s="63" t="s">
        <v>1718</v>
      </c>
      <c r="L799" s="64" t="s">
        <v>1205</v>
      </c>
      <c r="M799" s="64" t="s">
        <v>1474</v>
      </c>
    </row>
    <row r="800" spans="1:13" s="65" customFormat="1" ht="12" customHeight="1" x14ac:dyDescent="0.2">
      <c r="A800" s="78">
        <v>236353</v>
      </c>
      <c r="B800" s="69" t="s">
        <v>853</v>
      </c>
      <c r="C800" s="60" t="s">
        <v>1196</v>
      </c>
      <c r="D800" s="66" t="s">
        <v>1201</v>
      </c>
      <c r="E800" s="66" t="s">
        <v>1544</v>
      </c>
      <c r="F800" s="66" t="s">
        <v>1591</v>
      </c>
      <c r="G800" s="60" t="s">
        <v>7</v>
      </c>
      <c r="H800" s="61">
        <v>1.1527777777777777</v>
      </c>
      <c r="I800" s="61">
        <v>1.1527777777777777</v>
      </c>
      <c r="J800" s="62"/>
      <c r="K800" s="63" t="s">
        <v>1720</v>
      </c>
      <c r="L800" s="64" t="s">
        <v>1201</v>
      </c>
      <c r="M800" s="64" t="s">
        <v>1544</v>
      </c>
    </row>
    <row r="801" spans="1:13" s="65" customFormat="1" ht="12" customHeight="1" x14ac:dyDescent="0.2">
      <c r="A801" s="78">
        <v>236361</v>
      </c>
      <c r="B801" s="69" t="s">
        <v>854</v>
      </c>
      <c r="C801" s="60" t="s">
        <v>1196</v>
      </c>
      <c r="D801" s="66" t="s">
        <v>1199</v>
      </c>
      <c r="E801" s="66" t="s">
        <v>1478</v>
      </c>
      <c r="F801" s="66" t="s">
        <v>1628</v>
      </c>
      <c r="G801" s="60" t="s">
        <v>7</v>
      </c>
      <c r="H801" s="61">
        <v>3.3333333333333333E-2</v>
      </c>
      <c r="I801" s="61">
        <v>3.3333333333333333E-2</v>
      </c>
      <c r="J801" s="62"/>
      <c r="K801" s="63" t="s">
        <v>1718</v>
      </c>
      <c r="L801" s="64" t="s">
        <v>1199</v>
      </c>
      <c r="M801" s="64" t="s">
        <v>1478</v>
      </c>
    </row>
    <row r="802" spans="1:13" s="65" customFormat="1" ht="12" customHeight="1" x14ac:dyDescent="0.2">
      <c r="A802" s="78">
        <v>236376</v>
      </c>
      <c r="B802" s="69" t="s">
        <v>855</v>
      </c>
      <c r="C802" s="60" t="s">
        <v>1196</v>
      </c>
      <c r="D802" s="66" t="s">
        <v>1203</v>
      </c>
      <c r="E802" s="66" t="s">
        <v>1345</v>
      </c>
      <c r="F802" s="66" t="s">
        <v>1642</v>
      </c>
      <c r="G802" s="60" t="s">
        <v>8</v>
      </c>
      <c r="H802" s="61">
        <v>1.3138888888888889</v>
      </c>
      <c r="I802" s="61"/>
      <c r="J802" s="62">
        <v>1.3138888888888889</v>
      </c>
      <c r="K802" s="63" t="s">
        <v>1718</v>
      </c>
      <c r="L802" s="64" t="s">
        <v>1203</v>
      </c>
      <c r="M802" s="64" t="s">
        <v>1345</v>
      </c>
    </row>
    <row r="803" spans="1:13" s="65" customFormat="1" ht="12" customHeight="1" x14ac:dyDescent="0.2">
      <c r="A803" s="78">
        <v>236378</v>
      </c>
      <c r="B803" s="69" t="s">
        <v>856</v>
      </c>
      <c r="C803" s="60" t="s">
        <v>1196</v>
      </c>
      <c r="D803" s="66" t="s">
        <v>1205</v>
      </c>
      <c r="E803" s="66" t="s">
        <v>1545</v>
      </c>
      <c r="F803" s="66" t="s">
        <v>1594</v>
      </c>
      <c r="G803" s="60" t="s">
        <v>8</v>
      </c>
      <c r="H803" s="61">
        <v>0.3666666666666667</v>
      </c>
      <c r="I803" s="61"/>
      <c r="J803" s="62">
        <v>0.3666666666666667</v>
      </c>
      <c r="K803" s="63" t="s">
        <v>1720</v>
      </c>
      <c r="L803" s="64" t="s">
        <v>1205</v>
      </c>
      <c r="M803" s="64" t="s">
        <v>1545</v>
      </c>
    </row>
    <row r="804" spans="1:13" s="65" customFormat="1" ht="12" customHeight="1" x14ac:dyDescent="0.2">
      <c r="A804" s="78">
        <v>236401</v>
      </c>
      <c r="B804" s="69" t="s">
        <v>857</v>
      </c>
      <c r="C804" s="60" t="s">
        <v>1196</v>
      </c>
      <c r="D804" s="66" t="s">
        <v>1204</v>
      </c>
      <c r="E804" s="66" t="s">
        <v>1503</v>
      </c>
      <c r="F804" s="66" t="s">
        <v>1705</v>
      </c>
      <c r="G804" s="60" t="s">
        <v>7</v>
      </c>
      <c r="H804" s="61">
        <v>0.60486111111111118</v>
      </c>
      <c r="I804" s="61">
        <v>0.60486111111111118</v>
      </c>
      <c r="J804" s="62"/>
      <c r="K804" s="63" t="s">
        <v>1723</v>
      </c>
      <c r="L804" s="64" t="s">
        <v>1204</v>
      </c>
      <c r="M804" s="64" t="s">
        <v>1503</v>
      </c>
    </row>
    <row r="805" spans="1:13" s="65" customFormat="1" ht="12" customHeight="1" x14ac:dyDescent="0.2">
      <c r="A805" s="78">
        <v>236405</v>
      </c>
      <c r="B805" s="69" t="s">
        <v>858</v>
      </c>
      <c r="C805" s="60" t="s">
        <v>1196</v>
      </c>
      <c r="D805" s="66" t="s">
        <v>1197</v>
      </c>
      <c r="E805" s="66" t="s">
        <v>1483</v>
      </c>
      <c r="F805" s="66" t="s">
        <v>1704</v>
      </c>
      <c r="G805" s="60" t="s">
        <v>7</v>
      </c>
      <c r="H805" s="61">
        <v>1.0340277777777778</v>
      </c>
      <c r="I805" s="61">
        <v>1.0340277777777778</v>
      </c>
      <c r="J805" s="62"/>
      <c r="K805" s="63" t="s">
        <v>1718</v>
      </c>
      <c r="L805" s="64" t="s">
        <v>1197</v>
      </c>
      <c r="M805" s="64" t="s">
        <v>1483</v>
      </c>
    </row>
    <row r="806" spans="1:13" s="65" customFormat="1" ht="12" customHeight="1" x14ac:dyDescent="0.2">
      <c r="A806" s="78">
        <v>236411</v>
      </c>
      <c r="B806" s="69" t="s">
        <v>859</v>
      </c>
      <c r="C806" s="60" t="s">
        <v>1196</v>
      </c>
      <c r="D806" s="66" t="s">
        <v>1204</v>
      </c>
      <c r="E806" s="66" t="s">
        <v>1461</v>
      </c>
      <c r="F806" s="66" t="s">
        <v>1618</v>
      </c>
      <c r="G806" s="60" t="s">
        <v>8</v>
      </c>
      <c r="H806" s="61">
        <v>1.3361111111111112</v>
      </c>
      <c r="I806" s="61"/>
      <c r="J806" s="62">
        <v>1.3361111111111112</v>
      </c>
      <c r="K806" s="63" t="s">
        <v>1718</v>
      </c>
      <c r="L806" s="64" t="s">
        <v>1204</v>
      </c>
      <c r="M806" s="64" t="s">
        <v>1461</v>
      </c>
    </row>
    <row r="807" spans="1:13" s="65" customFormat="1" ht="12" customHeight="1" x14ac:dyDescent="0.2">
      <c r="A807" s="78">
        <v>236436</v>
      </c>
      <c r="B807" s="69" t="s">
        <v>860</v>
      </c>
      <c r="C807" s="60" t="s">
        <v>1196</v>
      </c>
      <c r="D807" s="66" t="s">
        <v>1202</v>
      </c>
      <c r="E807" s="66" t="s">
        <v>1455</v>
      </c>
      <c r="F807" s="66" t="s">
        <v>1700</v>
      </c>
      <c r="G807" s="60" t="s">
        <v>8</v>
      </c>
      <c r="H807" s="61">
        <v>4.8520833333333337</v>
      </c>
      <c r="I807" s="61"/>
      <c r="J807" s="62">
        <v>4.8520833333333337</v>
      </c>
      <c r="K807" s="63" t="s">
        <v>1718</v>
      </c>
      <c r="L807" s="64" t="s">
        <v>1202</v>
      </c>
      <c r="M807" s="64" t="s">
        <v>1455</v>
      </c>
    </row>
    <row r="808" spans="1:13" s="65" customFormat="1" ht="12" customHeight="1" x14ac:dyDescent="0.2">
      <c r="A808" s="78">
        <v>236464</v>
      </c>
      <c r="B808" s="69" t="s">
        <v>861</v>
      </c>
      <c r="C808" s="60" t="s">
        <v>1196</v>
      </c>
      <c r="D808" s="66" t="s">
        <v>1203</v>
      </c>
      <c r="E808" s="66" t="s">
        <v>1369</v>
      </c>
      <c r="F808" s="66" t="s">
        <v>1615</v>
      </c>
      <c r="G808" s="60" t="s">
        <v>8</v>
      </c>
      <c r="H808" s="61">
        <v>0.39444444444444443</v>
      </c>
      <c r="I808" s="61"/>
      <c r="J808" s="62">
        <v>0.39444444444444443</v>
      </c>
      <c r="K808" s="63" t="s">
        <v>1718</v>
      </c>
      <c r="L808" s="64" t="s">
        <v>1203</v>
      </c>
      <c r="M808" s="64" t="s">
        <v>1369</v>
      </c>
    </row>
    <row r="809" spans="1:13" s="65" customFormat="1" ht="12" customHeight="1" x14ac:dyDescent="0.2">
      <c r="A809" s="78">
        <v>236484</v>
      </c>
      <c r="B809" s="69" t="s">
        <v>862</v>
      </c>
      <c r="C809" s="60" t="s">
        <v>1196</v>
      </c>
      <c r="D809" s="66" t="s">
        <v>1205</v>
      </c>
      <c r="E809" s="66" t="s">
        <v>1468</v>
      </c>
      <c r="F809" s="66" t="s">
        <v>1689</v>
      </c>
      <c r="G809" s="60" t="s">
        <v>8</v>
      </c>
      <c r="H809" s="61">
        <v>0.4284722222222222</v>
      </c>
      <c r="I809" s="61"/>
      <c r="J809" s="62">
        <v>0.4284722222222222</v>
      </c>
      <c r="K809" s="63" t="s">
        <v>1718</v>
      </c>
      <c r="L809" s="64" t="s">
        <v>1205</v>
      </c>
      <c r="M809" s="64" t="s">
        <v>1468</v>
      </c>
    </row>
    <row r="810" spans="1:13" s="65" customFormat="1" ht="12" customHeight="1" x14ac:dyDescent="0.2">
      <c r="A810" s="78">
        <v>236499</v>
      </c>
      <c r="B810" s="69" t="s">
        <v>863</v>
      </c>
      <c r="C810" s="60" t="s">
        <v>1196</v>
      </c>
      <c r="D810" s="66" t="s">
        <v>1200</v>
      </c>
      <c r="E810" s="66" t="s">
        <v>1228</v>
      </c>
      <c r="F810" s="66" t="s">
        <v>1597</v>
      </c>
      <c r="G810" s="60" t="s">
        <v>8</v>
      </c>
      <c r="H810" s="61">
        <v>0.30069444444444443</v>
      </c>
      <c r="I810" s="61"/>
      <c r="J810" s="62">
        <v>0.30069444444444443</v>
      </c>
      <c r="K810" s="63" t="s">
        <v>1723</v>
      </c>
      <c r="L810" s="64" t="s">
        <v>1200</v>
      </c>
      <c r="M810" s="64" t="s">
        <v>1228</v>
      </c>
    </row>
    <row r="811" spans="1:13" s="65" customFormat="1" ht="12" customHeight="1" x14ac:dyDescent="0.2">
      <c r="A811" s="78">
        <v>236512</v>
      </c>
      <c r="B811" s="69" t="s">
        <v>864</v>
      </c>
      <c r="C811" s="60" t="s">
        <v>1196</v>
      </c>
      <c r="D811" s="66" t="s">
        <v>1205</v>
      </c>
      <c r="E811" s="66" t="s">
        <v>1366</v>
      </c>
      <c r="F811" s="66" t="s">
        <v>1640</v>
      </c>
      <c r="G811" s="60" t="s">
        <v>8</v>
      </c>
      <c r="H811" s="61">
        <v>1.8284722222222223</v>
      </c>
      <c r="I811" s="61"/>
      <c r="J811" s="62">
        <v>1.8284722222222223</v>
      </c>
      <c r="K811" s="63" t="s">
        <v>1718</v>
      </c>
      <c r="L811" s="64" t="s">
        <v>1205</v>
      </c>
      <c r="M811" s="64" t="s">
        <v>1366</v>
      </c>
    </row>
    <row r="812" spans="1:13" s="65" customFormat="1" ht="12" customHeight="1" x14ac:dyDescent="0.2">
      <c r="A812" s="78">
        <v>236514</v>
      </c>
      <c r="B812" s="69" t="s">
        <v>865</v>
      </c>
      <c r="C812" s="60" t="s">
        <v>1196</v>
      </c>
      <c r="D812" s="66" t="s">
        <v>1200</v>
      </c>
      <c r="E812" s="66" t="s">
        <v>1213</v>
      </c>
      <c r="F812" s="66" t="s">
        <v>1588</v>
      </c>
      <c r="G812" s="60" t="s">
        <v>8</v>
      </c>
      <c r="H812" s="61">
        <v>1.1069444444444445</v>
      </c>
      <c r="I812" s="61"/>
      <c r="J812" s="62">
        <v>1.1069444444444445</v>
      </c>
      <c r="K812" s="63" t="s">
        <v>1718</v>
      </c>
      <c r="L812" s="64" t="s">
        <v>1200</v>
      </c>
      <c r="M812" s="64" t="s">
        <v>1213</v>
      </c>
    </row>
    <row r="813" spans="1:13" s="65" customFormat="1" ht="12" customHeight="1" x14ac:dyDescent="0.2">
      <c r="A813" s="78">
        <v>236518</v>
      </c>
      <c r="B813" s="69" t="s">
        <v>866</v>
      </c>
      <c r="C813" s="60" t="s">
        <v>1196</v>
      </c>
      <c r="D813" s="66" t="s">
        <v>1205</v>
      </c>
      <c r="E813" s="66" t="s">
        <v>1366</v>
      </c>
      <c r="F813" s="66" t="s">
        <v>1640</v>
      </c>
      <c r="G813" s="60" t="s">
        <v>8</v>
      </c>
      <c r="H813" s="61">
        <v>1.132638888888889</v>
      </c>
      <c r="I813" s="61"/>
      <c r="J813" s="62">
        <v>1.132638888888889</v>
      </c>
      <c r="K813" s="63" t="s">
        <v>1718</v>
      </c>
      <c r="L813" s="64" t="s">
        <v>1205</v>
      </c>
      <c r="M813" s="64" t="s">
        <v>1366</v>
      </c>
    </row>
    <row r="814" spans="1:13" s="65" customFormat="1" ht="12" customHeight="1" x14ac:dyDescent="0.2">
      <c r="A814" s="78">
        <v>236519</v>
      </c>
      <c r="B814" s="69" t="s">
        <v>867</v>
      </c>
      <c r="C814" s="60" t="s">
        <v>1196</v>
      </c>
      <c r="D814" s="66" t="s">
        <v>1198</v>
      </c>
      <c r="E814" s="66" t="s">
        <v>1303</v>
      </c>
      <c r="F814" s="66" t="s">
        <v>1649</v>
      </c>
      <c r="G814" s="60" t="s">
        <v>8</v>
      </c>
      <c r="H814" s="61">
        <v>0.54652777777777783</v>
      </c>
      <c r="I814" s="61"/>
      <c r="J814" s="62">
        <v>0.54652777777777783</v>
      </c>
      <c r="K814" s="63" t="s">
        <v>1723</v>
      </c>
      <c r="L814" s="64" t="s">
        <v>1198</v>
      </c>
      <c r="M814" s="64" t="s">
        <v>1303</v>
      </c>
    </row>
    <row r="815" spans="1:13" s="65" customFormat="1" ht="12" customHeight="1" x14ac:dyDescent="0.2">
      <c r="A815" s="78">
        <v>236521</v>
      </c>
      <c r="B815" s="69" t="s">
        <v>868</v>
      </c>
      <c r="C815" s="60" t="s">
        <v>1196</v>
      </c>
      <c r="D815" s="66" t="s">
        <v>1200</v>
      </c>
      <c r="E815" s="66" t="s">
        <v>1419</v>
      </c>
      <c r="F815" s="66" t="s">
        <v>1588</v>
      </c>
      <c r="G815" s="60" t="s">
        <v>8</v>
      </c>
      <c r="H815" s="61">
        <v>1.2395833333333333</v>
      </c>
      <c r="I815" s="61"/>
      <c r="J815" s="62">
        <v>1.2395833333333333</v>
      </c>
      <c r="K815" s="63" t="s">
        <v>1723</v>
      </c>
      <c r="L815" s="64" t="s">
        <v>1200</v>
      </c>
      <c r="M815" s="64" t="s">
        <v>1419</v>
      </c>
    </row>
    <row r="816" spans="1:13" s="65" customFormat="1" ht="12" customHeight="1" x14ac:dyDescent="0.2">
      <c r="A816" s="78">
        <v>236524</v>
      </c>
      <c r="B816" s="69" t="s">
        <v>869</v>
      </c>
      <c r="C816" s="60" t="s">
        <v>1196</v>
      </c>
      <c r="D816" s="66" t="s">
        <v>1197</v>
      </c>
      <c r="E816" s="66" t="s">
        <v>1276</v>
      </c>
      <c r="F816" s="66" t="s">
        <v>1630</v>
      </c>
      <c r="G816" s="60" t="s">
        <v>8</v>
      </c>
      <c r="H816" s="61">
        <v>1.0055555555555555</v>
      </c>
      <c r="I816" s="61"/>
      <c r="J816" s="62">
        <v>1.0055555555555555</v>
      </c>
      <c r="K816" s="63" t="s">
        <v>1718</v>
      </c>
      <c r="L816" s="64" t="s">
        <v>1197</v>
      </c>
      <c r="M816" s="64" t="s">
        <v>1276</v>
      </c>
    </row>
    <row r="817" spans="1:13" s="65" customFormat="1" ht="12" customHeight="1" x14ac:dyDescent="0.2">
      <c r="A817" s="78">
        <v>236529</v>
      </c>
      <c r="B817" s="69" t="s">
        <v>870</v>
      </c>
      <c r="C817" s="60" t="s">
        <v>1196</v>
      </c>
      <c r="D817" s="66" t="s">
        <v>1200</v>
      </c>
      <c r="E817" s="66" t="s">
        <v>1228</v>
      </c>
      <c r="F817" s="66" t="s">
        <v>1597</v>
      </c>
      <c r="G817" s="60" t="s">
        <v>8</v>
      </c>
      <c r="H817" s="61">
        <v>0.76111111111111107</v>
      </c>
      <c r="I817" s="61"/>
      <c r="J817" s="62">
        <v>0.76111111111111107</v>
      </c>
      <c r="K817" s="63" t="s">
        <v>1723</v>
      </c>
      <c r="L817" s="64" t="s">
        <v>1200</v>
      </c>
      <c r="M817" s="64" t="s">
        <v>1228</v>
      </c>
    </row>
    <row r="818" spans="1:13" s="65" customFormat="1" ht="12" customHeight="1" x14ac:dyDescent="0.2">
      <c r="A818" s="78">
        <v>236530</v>
      </c>
      <c r="B818" s="69" t="s">
        <v>871</v>
      </c>
      <c r="C818" s="60" t="s">
        <v>1196</v>
      </c>
      <c r="D818" s="66" t="s">
        <v>1201</v>
      </c>
      <c r="E818" s="66" t="s">
        <v>1540</v>
      </c>
      <c r="F818" s="66" t="s">
        <v>1697</v>
      </c>
      <c r="G818" s="60" t="s">
        <v>7</v>
      </c>
      <c r="H818" s="61">
        <v>6.7340277777777775</v>
      </c>
      <c r="I818" s="61">
        <v>6.7340277777777775</v>
      </c>
      <c r="J818" s="62"/>
      <c r="K818" s="63" t="s">
        <v>1723</v>
      </c>
      <c r="L818" s="64" t="s">
        <v>1201</v>
      </c>
      <c r="M818" s="64" t="s">
        <v>1540</v>
      </c>
    </row>
    <row r="819" spans="1:13" s="65" customFormat="1" ht="12" customHeight="1" x14ac:dyDescent="0.2">
      <c r="A819" s="78">
        <v>236536</v>
      </c>
      <c r="B819" s="69" t="s">
        <v>872</v>
      </c>
      <c r="C819" s="60" t="s">
        <v>1196</v>
      </c>
      <c r="D819" s="66" t="s">
        <v>1199</v>
      </c>
      <c r="E819" s="66" t="s">
        <v>1337</v>
      </c>
      <c r="F819" s="66" t="s">
        <v>1587</v>
      </c>
      <c r="G819" s="60" t="s">
        <v>7</v>
      </c>
      <c r="H819" s="61">
        <v>1.0680555555555555</v>
      </c>
      <c r="I819" s="61">
        <v>1.0680555555555555</v>
      </c>
      <c r="J819" s="62"/>
      <c r="K819" s="63" t="s">
        <v>1720</v>
      </c>
      <c r="L819" s="64" t="s">
        <v>1199</v>
      </c>
      <c r="M819" s="64" t="s">
        <v>1337</v>
      </c>
    </row>
    <row r="820" spans="1:13" s="65" customFormat="1" ht="12" customHeight="1" x14ac:dyDescent="0.2">
      <c r="A820" s="78">
        <v>236588</v>
      </c>
      <c r="B820" s="69" t="s">
        <v>873</v>
      </c>
      <c r="C820" s="60" t="s">
        <v>1196</v>
      </c>
      <c r="D820" s="66" t="s">
        <v>1200</v>
      </c>
      <c r="E820" s="66" t="s">
        <v>1377</v>
      </c>
      <c r="F820" s="66" t="s">
        <v>1677</v>
      </c>
      <c r="G820" s="60" t="s">
        <v>8</v>
      </c>
      <c r="H820" s="61">
        <v>0.94097222222222221</v>
      </c>
      <c r="I820" s="61"/>
      <c r="J820" s="62">
        <v>0.94097222222222221</v>
      </c>
      <c r="K820" s="63" t="s">
        <v>1723</v>
      </c>
      <c r="L820" s="64" t="s">
        <v>1200</v>
      </c>
      <c r="M820" s="64" t="s">
        <v>1377</v>
      </c>
    </row>
    <row r="821" spans="1:13" s="65" customFormat="1" ht="12" customHeight="1" x14ac:dyDescent="0.2">
      <c r="A821" s="78">
        <v>236589</v>
      </c>
      <c r="B821" s="69" t="s">
        <v>874</v>
      </c>
      <c r="C821" s="60" t="s">
        <v>1196</v>
      </c>
      <c r="D821" s="66" t="s">
        <v>1199</v>
      </c>
      <c r="E821" s="66" t="s">
        <v>1384</v>
      </c>
      <c r="F821" s="66" t="s">
        <v>1678</v>
      </c>
      <c r="G821" s="60" t="s">
        <v>7</v>
      </c>
      <c r="H821" s="61">
        <v>0.33958333333333335</v>
      </c>
      <c r="I821" s="61">
        <v>0.33958333333333335</v>
      </c>
      <c r="J821" s="62"/>
      <c r="K821" s="63" t="s">
        <v>1718</v>
      </c>
      <c r="L821" s="64" t="s">
        <v>1199</v>
      </c>
      <c r="M821" s="64" t="s">
        <v>1384</v>
      </c>
    </row>
    <row r="822" spans="1:13" s="65" customFormat="1" ht="12" customHeight="1" x14ac:dyDescent="0.2">
      <c r="A822" s="78">
        <v>236617</v>
      </c>
      <c r="B822" s="69" t="s">
        <v>875</v>
      </c>
      <c r="C822" s="60" t="s">
        <v>1196</v>
      </c>
      <c r="D822" s="66" t="s">
        <v>1205</v>
      </c>
      <c r="E822" s="66" t="s">
        <v>1284</v>
      </c>
      <c r="F822" s="66" t="s">
        <v>1637</v>
      </c>
      <c r="G822" s="60" t="s">
        <v>7</v>
      </c>
      <c r="H822" s="61">
        <v>11.805555555555555</v>
      </c>
      <c r="I822" s="61">
        <v>11.805555555555555</v>
      </c>
      <c r="J822" s="62"/>
      <c r="K822" s="63" t="s">
        <v>1723</v>
      </c>
      <c r="L822" s="64" t="s">
        <v>1205</v>
      </c>
      <c r="M822" s="64" t="s">
        <v>1284</v>
      </c>
    </row>
    <row r="823" spans="1:13" s="65" customFormat="1" ht="12" customHeight="1" x14ac:dyDescent="0.2">
      <c r="A823" s="78">
        <v>236623</v>
      </c>
      <c r="B823" s="69" t="s">
        <v>876</v>
      </c>
      <c r="C823" s="60" t="s">
        <v>1196</v>
      </c>
      <c r="D823" s="66" t="s">
        <v>1202</v>
      </c>
      <c r="E823" s="66" t="s">
        <v>1499</v>
      </c>
      <c r="F823" s="66" t="s">
        <v>1693</v>
      </c>
      <c r="G823" s="60" t="s">
        <v>7</v>
      </c>
      <c r="H823" s="61">
        <v>12.1</v>
      </c>
      <c r="I823" s="61">
        <v>12.1</v>
      </c>
      <c r="J823" s="62"/>
      <c r="K823" s="63" t="s">
        <v>1722</v>
      </c>
      <c r="L823" s="64" t="s">
        <v>1202</v>
      </c>
      <c r="M823" s="64" t="s">
        <v>1499</v>
      </c>
    </row>
    <row r="824" spans="1:13" s="65" customFormat="1" ht="12" customHeight="1" x14ac:dyDescent="0.2">
      <c r="A824" s="78">
        <v>236626</v>
      </c>
      <c r="B824" s="69" t="s">
        <v>877</v>
      </c>
      <c r="C824" s="60" t="s">
        <v>1196</v>
      </c>
      <c r="D824" s="66" t="s">
        <v>1204</v>
      </c>
      <c r="E824" s="66" t="s">
        <v>1532</v>
      </c>
      <c r="F824" s="66" t="s">
        <v>1712</v>
      </c>
      <c r="G824" s="60" t="s">
        <v>8</v>
      </c>
      <c r="H824" s="61">
        <v>1.3368055555555556</v>
      </c>
      <c r="I824" s="61"/>
      <c r="J824" s="62">
        <v>1.3368055555555556</v>
      </c>
      <c r="K824" s="63" t="s">
        <v>1718</v>
      </c>
      <c r="L824" s="64" t="s">
        <v>1204</v>
      </c>
      <c r="M824" s="64" t="s">
        <v>1532</v>
      </c>
    </row>
    <row r="825" spans="1:13" s="65" customFormat="1" ht="12" customHeight="1" x14ac:dyDescent="0.2">
      <c r="A825" s="78">
        <v>236673</v>
      </c>
      <c r="B825" s="69" t="s">
        <v>878</v>
      </c>
      <c r="C825" s="60" t="s">
        <v>1196</v>
      </c>
      <c r="D825" s="66" t="s">
        <v>1197</v>
      </c>
      <c r="E825" s="66" t="s">
        <v>1546</v>
      </c>
      <c r="F825" s="66" t="s">
        <v>1595</v>
      </c>
      <c r="G825" s="60" t="s">
        <v>7</v>
      </c>
      <c r="H825" s="61">
        <v>0.81597222222222221</v>
      </c>
      <c r="I825" s="61">
        <v>0.81597222222222221</v>
      </c>
      <c r="J825" s="62"/>
      <c r="K825" s="63" t="s">
        <v>1720</v>
      </c>
      <c r="L825" s="64" t="s">
        <v>1197</v>
      </c>
      <c r="M825" s="64" t="s">
        <v>1546</v>
      </c>
    </row>
    <row r="826" spans="1:13" s="65" customFormat="1" ht="12" customHeight="1" x14ac:dyDescent="0.2">
      <c r="A826" s="78">
        <v>236703</v>
      </c>
      <c r="B826" s="69" t="s">
        <v>879</v>
      </c>
      <c r="C826" s="60" t="s">
        <v>1196</v>
      </c>
      <c r="D826" s="66" t="s">
        <v>1201</v>
      </c>
      <c r="E826" s="66" t="s">
        <v>1475</v>
      </c>
      <c r="F826" s="66" t="s">
        <v>1589</v>
      </c>
      <c r="G826" s="60" t="s">
        <v>7</v>
      </c>
      <c r="H826" s="61">
        <v>0.42152777777777778</v>
      </c>
      <c r="I826" s="61">
        <v>0.42152777777777778</v>
      </c>
      <c r="J826" s="62"/>
      <c r="K826" s="63" t="s">
        <v>1718</v>
      </c>
      <c r="L826" s="64" t="s">
        <v>1201</v>
      </c>
      <c r="M826" s="64" t="s">
        <v>1475</v>
      </c>
    </row>
    <row r="827" spans="1:13" s="65" customFormat="1" ht="12" customHeight="1" x14ac:dyDescent="0.2">
      <c r="A827" s="78">
        <v>236788</v>
      </c>
      <c r="B827" s="69" t="s">
        <v>880</v>
      </c>
      <c r="C827" s="60" t="s">
        <v>1196</v>
      </c>
      <c r="D827" s="66" t="s">
        <v>1204</v>
      </c>
      <c r="E827" s="66" t="s">
        <v>1530</v>
      </c>
      <c r="F827" s="66" t="s">
        <v>1681</v>
      </c>
      <c r="G827" s="60" t="s">
        <v>8</v>
      </c>
      <c r="H827" s="61">
        <v>0.28263888888888888</v>
      </c>
      <c r="I827" s="61"/>
      <c r="J827" s="62">
        <v>0.28263888888888888</v>
      </c>
      <c r="K827" s="63" t="s">
        <v>1722</v>
      </c>
      <c r="L827" s="64" t="s">
        <v>1204</v>
      </c>
      <c r="M827" s="64" t="s">
        <v>1530</v>
      </c>
    </row>
    <row r="828" spans="1:13" s="65" customFormat="1" ht="12" customHeight="1" x14ac:dyDescent="0.2">
      <c r="A828" s="78">
        <v>236819</v>
      </c>
      <c r="B828" s="69" t="s">
        <v>881</v>
      </c>
      <c r="C828" s="60" t="s">
        <v>1196</v>
      </c>
      <c r="D828" s="66" t="s">
        <v>1202</v>
      </c>
      <c r="E828" s="66" t="s">
        <v>1344</v>
      </c>
      <c r="F828" s="66" t="s">
        <v>1626</v>
      </c>
      <c r="G828" s="60" t="s">
        <v>7</v>
      </c>
      <c r="H828" s="61">
        <v>5.2722222222222221</v>
      </c>
      <c r="I828" s="61">
        <v>5.2722222222222221</v>
      </c>
      <c r="J828" s="62"/>
      <c r="K828" s="63" t="s">
        <v>1718</v>
      </c>
      <c r="L828" s="64" t="s">
        <v>1202</v>
      </c>
      <c r="M828" s="64" t="s">
        <v>1344</v>
      </c>
    </row>
    <row r="829" spans="1:13" s="65" customFormat="1" ht="12" customHeight="1" x14ac:dyDescent="0.2">
      <c r="A829" s="78">
        <v>236859</v>
      </c>
      <c r="B829" s="69" t="s">
        <v>882</v>
      </c>
      <c r="C829" s="60" t="s">
        <v>1196</v>
      </c>
      <c r="D829" s="66" t="s">
        <v>1201</v>
      </c>
      <c r="E829" s="66" t="s">
        <v>1547</v>
      </c>
      <c r="F829" s="66" t="s">
        <v>1714</v>
      </c>
      <c r="G829" s="60" t="s">
        <v>7</v>
      </c>
      <c r="H829" s="61">
        <v>5.5</v>
      </c>
      <c r="I829" s="61">
        <v>5.5</v>
      </c>
      <c r="J829" s="62"/>
      <c r="K829" s="63" t="s">
        <v>1718</v>
      </c>
      <c r="L829" s="64" t="s">
        <v>1201</v>
      </c>
      <c r="M829" s="64" t="s">
        <v>1547</v>
      </c>
    </row>
    <row r="830" spans="1:13" s="65" customFormat="1" ht="12" customHeight="1" x14ac:dyDescent="0.2">
      <c r="A830" s="78">
        <v>236862</v>
      </c>
      <c r="B830" s="69" t="s">
        <v>883</v>
      </c>
      <c r="C830" s="60" t="s">
        <v>1196</v>
      </c>
      <c r="D830" s="66" t="s">
        <v>1204</v>
      </c>
      <c r="E830" s="66" t="s">
        <v>1530</v>
      </c>
      <c r="F830" s="66" t="s">
        <v>1681</v>
      </c>
      <c r="G830" s="60" t="s">
        <v>8</v>
      </c>
      <c r="H830" s="61">
        <v>0.99722222222222223</v>
      </c>
      <c r="I830" s="61"/>
      <c r="J830" s="62">
        <v>0.99722222222222223</v>
      </c>
      <c r="K830" s="63" t="s">
        <v>1723</v>
      </c>
      <c r="L830" s="64" t="s">
        <v>1204</v>
      </c>
      <c r="M830" s="64" t="s">
        <v>1530</v>
      </c>
    </row>
    <row r="831" spans="1:13" s="65" customFormat="1" ht="12" customHeight="1" x14ac:dyDescent="0.2">
      <c r="A831" s="78">
        <v>236870</v>
      </c>
      <c r="B831" s="69" t="s">
        <v>884</v>
      </c>
      <c r="C831" s="60" t="s">
        <v>1196</v>
      </c>
      <c r="D831" s="66" t="s">
        <v>1205</v>
      </c>
      <c r="E831" s="66" t="s">
        <v>1415</v>
      </c>
      <c r="F831" s="66" t="s">
        <v>1683</v>
      </c>
      <c r="G831" s="60" t="s">
        <v>7</v>
      </c>
      <c r="H831" s="61">
        <v>5.7756944444444445</v>
      </c>
      <c r="I831" s="61">
        <v>5.7756944444444445</v>
      </c>
      <c r="J831" s="62"/>
      <c r="K831" s="63" t="s">
        <v>1718</v>
      </c>
      <c r="L831" s="64" t="s">
        <v>1205</v>
      </c>
      <c r="M831" s="64" t="s">
        <v>1415</v>
      </c>
    </row>
    <row r="832" spans="1:13" s="65" customFormat="1" ht="12" customHeight="1" x14ac:dyDescent="0.2">
      <c r="A832" s="78">
        <v>236871</v>
      </c>
      <c r="B832" s="69" t="s">
        <v>885</v>
      </c>
      <c r="C832" s="60" t="s">
        <v>1196</v>
      </c>
      <c r="D832" s="66" t="s">
        <v>1201</v>
      </c>
      <c r="E832" s="66" t="s">
        <v>1547</v>
      </c>
      <c r="F832" s="66" t="s">
        <v>1714</v>
      </c>
      <c r="G832" s="60" t="s">
        <v>7</v>
      </c>
      <c r="H832" s="61">
        <v>4.8937499999999998</v>
      </c>
      <c r="I832" s="61">
        <v>4.8937499999999998</v>
      </c>
      <c r="J832" s="62"/>
      <c r="K832" s="63" t="s">
        <v>1718</v>
      </c>
      <c r="L832" s="64" t="s">
        <v>1201</v>
      </c>
      <c r="M832" s="64" t="s">
        <v>1547</v>
      </c>
    </row>
    <row r="833" spans="1:13" s="65" customFormat="1" ht="12" customHeight="1" x14ac:dyDescent="0.2">
      <c r="A833" s="78">
        <v>236872</v>
      </c>
      <c r="B833" s="69" t="s">
        <v>886</v>
      </c>
      <c r="C833" s="60" t="s">
        <v>1196</v>
      </c>
      <c r="D833" s="66" t="s">
        <v>1202</v>
      </c>
      <c r="E833" s="66" t="s">
        <v>1496</v>
      </c>
      <c r="F833" s="66" t="s">
        <v>1644</v>
      </c>
      <c r="G833" s="60" t="s">
        <v>7</v>
      </c>
      <c r="H833" s="61">
        <v>0.71250000000000002</v>
      </c>
      <c r="I833" s="61">
        <v>0.71250000000000002</v>
      </c>
      <c r="J833" s="62"/>
      <c r="K833" s="63" t="s">
        <v>1723</v>
      </c>
      <c r="L833" s="64" t="s">
        <v>1202</v>
      </c>
      <c r="M833" s="64" t="s">
        <v>1496</v>
      </c>
    </row>
    <row r="834" spans="1:13" s="65" customFormat="1" ht="12" customHeight="1" x14ac:dyDescent="0.2">
      <c r="A834" s="78">
        <v>236876</v>
      </c>
      <c r="B834" s="69" t="s">
        <v>887</v>
      </c>
      <c r="C834" s="60" t="s">
        <v>1196</v>
      </c>
      <c r="D834" s="66" t="s">
        <v>1201</v>
      </c>
      <c r="E834" s="66" t="s">
        <v>1548</v>
      </c>
      <c r="F834" s="66" t="s">
        <v>1591</v>
      </c>
      <c r="G834" s="60" t="s">
        <v>7</v>
      </c>
      <c r="H834" s="61">
        <v>6.6680555555555561</v>
      </c>
      <c r="I834" s="61">
        <v>6.6680555555555561</v>
      </c>
      <c r="J834" s="62"/>
      <c r="K834" s="63" t="s">
        <v>1720</v>
      </c>
      <c r="L834" s="64" t="s">
        <v>1201</v>
      </c>
      <c r="M834" s="64" t="s">
        <v>1548</v>
      </c>
    </row>
    <row r="835" spans="1:13" s="65" customFormat="1" ht="12" customHeight="1" x14ac:dyDescent="0.2">
      <c r="A835" s="78">
        <v>236881</v>
      </c>
      <c r="B835" s="69" t="s">
        <v>888</v>
      </c>
      <c r="C835" s="60" t="s">
        <v>1196</v>
      </c>
      <c r="D835" s="66" t="s">
        <v>1205</v>
      </c>
      <c r="E835" s="66" t="s">
        <v>1349</v>
      </c>
      <c r="F835" s="66" t="s">
        <v>1668</v>
      </c>
      <c r="G835" s="60" t="s">
        <v>7</v>
      </c>
      <c r="H835" s="61">
        <v>0.32222222222222224</v>
      </c>
      <c r="I835" s="61">
        <v>0.32222222222222224</v>
      </c>
      <c r="J835" s="62"/>
      <c r="K835" s="63" t="s">
        <v>1723</v>
      </c>
      <c r="L835" s="64" t="s">
        <v>1205</v>
      </c>
      <c r="M835" s="64" t="s">
        <v>1349</v>
      </c>
    </row>
    <row r="836" spans="1:13" s="65" customFormat="1" ht="12" customHeight="1" x14ac:dyDescent="0.2">
      <c r="A836" s="78">
        <v>236884</v>
      </c>
      <c r="B836" s="69" t="s">
        <v>889</v>
      </c>
      <c r="C836" s="60" t="s">
        <v>1196</v>
      </c>
      <c r="D836" s="66" t="s">
        <v>1197</v>
      </c>
      <c r="E836" s="66" t="s">
        <v>1308</v>
      </c>
      <c r="F836" s="66" t="s">
        <v>1624</v>
      </c>
      <c r="G836" s="60" t="s">
        <v>7</v>
      </c>
      <c r="H836" s="61">
        <v>6.010416666666667</v>
      </c>
      <c r="I836" s="61">
        <v>6.010416666666667</v>
      </c>
      <c r="J836" s="62"/>
      <c r="K836" s="63" t="s">
        <v>1718</v>
      </c>
      <c r="L836" s="64" t="s">
        <v>1197</v>
      </c>
      <c r="M836" s="64" t="s">
        <v>1308</v>
      </c>
    </row>
    <row r="837" spans="1:13" s="65" customFormat="1" ht="12" customHeight="1" x14ac:dyDescent="0.2">
      <c r="A837" s="78">
        <v>236898</v>
      </c>
      <c r="B837" s="69" t="s">
        <v>890</v>
      </c>
      <c r="C837" s="60" t="s">
        <v>1196</v>
      </c>
      <c r="D837" s="66" t="s">
        <v>1198</v>
      </c>
      <c r="E837" s="66" t="s">
        <v>1406</v>
      </c>
      <c r="F837" s="66" t="s">
        <v>1685</v>
      </c>
      <c r="G837" s="60" t="s">
        <v>7</v>
      </c>
      <c r="H837" s="61">
        <v>0.81458333333333333</v>
      </c>
      <c r="I837" s="61">
        <v>0.81458333333333333</v>
      </c>
      <c r="J837" s="62"/>
      <c r="K837" s="63" t="s">
        <v>1722</v>
      </c>
      <c r="L837" s="64" t="s">
        <v>1198</v>
      </c>
      <c r="M837" s="64" t="s">
        <v>1406</v>
      </c>
    </row>
    <row r="838" spans="1:13" s="65" customFormat="1" ht="12" customHeight="1" x14ac:dyDescent="0.2">
      <c r="A838" s="78">
        <v>236969</v>
      </c>
      <c r="B838" s="69" t="s">
        <v>891</v>
      </c>
      <c r="C838" s="60" t="s">
        <v>1196</v>
      </c>
      <c r="D838" s="66" t="s">
        <v>1201</v>
      </c>
      <c r="E838" s="66" t="s">
        <v>1513</v>
      </c>
      <c r="F838" s="66" t="s">
        <v>1709</v>
      </c>
      <c r="G838" s="60" t="s">
        <v>7</v>
      </c>
      <c r="H838" s="61">
        <v>0.23541666666666669</v>
      </c>
      <c r="I838" s="61">
        <v>0.23541666666666669</v>
      </c>
      <c r="J838" s="62"/>
      <c r="K838" s="63" t="s">
        <v>1718</v>
      </c>
      <c r="L838" s="64" t="s">
        <v>1201</v>
      </c>
      <c r="M838" s="64" t="s">
        <v>1513</v>
      </c>
    </row>
    <row r="839" spans="1:13" s="65" customFormat="1" ht="12" customHeight="1" x14ac:dyDescent="0.2">
      <c r="A839" s="78">
        <v>236974</v>
      </c>
      <c r="B839" s="69" t="s">
        <v>892</v>
      </c>
      <c r="C839" s="60" t="s">
        <v>1196</v>
      </c>
      <c r="D839" s="66" t="s">
        <v>1205</v>
      </c>
      <c r="E839" s="66" t="s">
        <v>1549</v>
      </c>
      <c r="F839" s="66" t="s">
        <v>1689</v>
      </c>
      <c r="G839" s="60" t="s">
        <v>7</v>
      </c>
      <c r="H839" s="61">
        <v>0.89861111111111114</v>
      </c>
      <c r="I839" s="61">
        <v>0.89861111111111114</v>
      </c>
      <c r="J839" s="62"/>
      <c r="K839" s="63" t="s">
        <v>1718</v>
      </c>
      <c r="L839" s="64" t="s">
        <v>1205</v>
      </c>
      <c r="M839" s="64" t="s">
        <v>1549</v>
      </c>
    </row>
    <row r="840" spans="1:13" s="65" customFormat="1" ht="12" customHeight="1" x14ac:dyDescent="0.2">
      <c r="A840" s="78">
        <v>236983</v>
      </c>
      <c r="B840" s="69" t="s">
        <v>893</v>
      </c>
      <c r="C840" s="60" t="s">
        <v>1196</v>
      </c>
      <c r="D840" s="66" t="s">
        <v>1199</v>
      </c>
      <c r="E840" s="66" t="s">
        <v>1491</v>
      </c>
      <c r="F840" s="66" t="s">
        <v>1678</v>
      </c>
      <c r="G840" s="60" t="s">
        <v>7</v>
      </c>
      <c r="H840" s="61">
        <v>0.74791666666666667</v>
      </c>
      <c r="I840" s="61">
        <v>0.74791666666666667</v>
      </c>
      <c r="J840" s="62"/>
      <c r="K840" s="63" t="s">
        <v>1723</v>
      </c>
      <c r="L840" s="64" t="s">
        <v>1199</v>
      </c>
      <c r="M840" s="64" t="s">
        <v>1491</v>
      </c>
    </row>
    <row r="841" spans="1:13" s="65" customFormat="1" ht="12" customHeight="1" x14ac:dyDescent="0.2">
      <c r="A841" s="78">
        <v>236997</v>
      </c>
      <c r="B841" s="69" t="s">
        <v>894</v>
      </c>
      <c r="C841" s="60" t="s">
        <v>1196</v>
      </c>
      <c r="D841" s="66" t="s">
        <v>1202</v>
      </c>
      <c r="E841" s="66" t="s">
        <v>1225</v>
      </c>
      <c r="F841" s="66" t="s">
        <v>1590</v>
      </c>
      <c r="G841" s="60" t="s">
        <v>7</v>
      </c>
      <c r="H841" s="61">
        <v>0.33680555555555558</v>
      </c>
      <c r="I841" s="61">
        <v>0.33680555555555558</v>
      </c>
      <c r="J841" s="62"/>
      <c r="K841" s="63" t="s">
        <v>1720</v>
      </c>
      <c r="L841" s="64" t="s">
        <v>1202</v>
      </c>
      <c r="M841" s="64" t="s">
        <v>1225</v>
      </c>
    </row>
    <row r="842" spans="1:13" s="65" customFormat="1" ht="12" customHeight="1" x14ac:dyDescent="0.2">
      <c r="A842" s="78">
        <v>237008</v>
      </c>
      <c r="B842" s="69" t="s">
        <v>895</v>
      </c>
      <c r="C842" s="60" t="s">
        <v>1196</v>
      </c>
      <c r="D842" s="66" t="s">
        <v>1205</v>
      </c>
      <c r="E842" s="66" t="s">
        <v>1549</v>
      </c>
      <c r="F842" s="66" t="s">
        <v>1689</v>
      </c>
      <c r="G842" s="60" t="s">
        <v>8</v>
      </c>
      <c r="H842" s="61">
        <v>0.32777777777777778</v>
      </c>
      <c r="I842" s="61"/>
      <c r="J842" s="62">
        <v>0.32777777777777778</v>
      </c>
      <c r="K842" s="63" t="s">
        <v>1718</v>
      </c>
      <c r="L842" s="64" t="s">
        <v>1205</v>
      </c>
      <c r="M842" s="64" t="s">
        <v>1549</v>
      </c>
    </row>
    <row r="843" spans="1:13" s="65" customFormat="1" ht="12" customHeight="1" x14ac:dyDescent="0.2">
      <c r="A843" s="78">
        <v>237011</v>
      </c>
      <c r="B843" s="69" t="s">
        <v>896</v>
      </c>
      <c r="C843" s="60" t="s">
        <v>1196</v>
      </c>
      <c r="D843" s="66" t="s">
        <v>1205</v>
      </c>
      <c r="E843" s="66" t="s">
        <v>1549</v>
      </c>
      <c r="F843" s="66" t="s">
        <v>1689</v>
      </c>
      <c r="G843" s="60" t="s">
        <v>7</v>
      </c>
      <c r="H843" s="61">
        <v>8.6840277777777786</v>
      </c>
      <c r="I843" s="61">
        <v>8.6840277777777786</v>
      </c>
      <c r="J843" s="62"/>
      <c r="K843" s="63" t="s">
        <v>1718</v>
      </c>
      <c r="L843" s="64" t="s">
        <v>1205</v>
      </c>
      <c r="M843" s="64" t="s">
        <v>1549</v>
      </c>
    </row>
    <row r="844" spans="1:13" s="65" customFormat="1" ht="12" customHeight="1" x14ac:dyDescent="0.2">
      <c r="A844" s="78">
        <v>237031</v>
      </c>
      <c r="B844" s="69" t="s">
        <v>897</v>
      </c>
      <c r="C844" s="60" t="s">
        <v>1196</v>
      </c>
      <c r="D844" s="66" t="s">
        <v>1205</v>
      </c>
      <c r="E844" s="66" t="s">
        <v>1416</v>
      </c>
      <c r="F844" s="66" t="s">
        <v>1689</v>
      </c>
      <c r="G844" s="60" t="s">
        <v>8</v>
      </c>
      <c r="H844" s="61">
        <v>0.15208333333333332</v>
      </c>
      <c r="I844" s="61"/>
      <c r="J844" s="62">
        <v>0.15208333333333332</v>
      </c>
      <c r="K844" s="63" t="s">
        <v>1722</v>
      </c>
      <c r="L844" s="64" t="s">
        <v>1205</v>
      </c>
      <c r="M844" s="64" t="s">
        <v>1416</v>
      </c>
    </row>
    <row r="845" spans="1:13" s="65" customFormat="1" ht="12" customHeight="1" x14ac:dyDescent="0.2">
      <c r="A845" s="78">
        <v>237138</v>
      </c>
      <c r="B845" s="69" t="s">
        <v>898</v>
      </c>
      <c r="C845" s="60" t="s">
        <v>1196</v>
      </c>
      <c r="D845" s="66" t="s">
        <v>1205</v>
      </c>
      <c r="E845" s="66" t="s">
        <v>1550</v>
      </c>
      <c r="F845" s="66" t="s">
        <v>1689</v>
      </c>
      <c r="G845" s="60" t="s">
        <v>8</v>
      </c>
      <c r="H845" s="61">
        <v>6.6666666666666666E-2</v>
      </c>
      <c r="I845" s="61"/>
      <c r="J845" s="62">
        <v>6.6666666666666666E-2</v>
      </c>
      <c r="K845" s="63" t="s">
        <v>1723</v>
      </c>
      <c r="L845" s="64" t="s">
        <v>1205</v>
      </c>
      <c r="M845" s="64" t="s">
        <v>1550</v>
      </c>
    </row>
    <row r="846" spans="1:13" s="65" customFormat="1" ht="12" customHeight="1" x14ac:dyDescent="0.2">
      <c r="A846" s="78">
        <v>237157</v>
      </c>
      <c r="B846" s="69" t="s">
        <v>899</v>
      </c>
      <c r="C846" s="60" t="s">
        <v>1196</v>
      </c>
      <c r="D846" s="66" t="s">
        <v>1205</v>
      </c>
      <c r="E846" s="66" t="s">
        <v>1398</v>
      </c>
      <c r="F846" s="66" t="s">
        <v>1683</v>
      </c>
      <c r="G846" s="60" t="s">
        <v>8</v>
      </c>
      <c r="H846" s="61">
        <v>0.58124999999999993</v>
      </c>
      <c r="I846" s="61"/>
      <c r="J846" s="62">
        <v>0.58124999999999993</v>
      </c>
      <c r="K846" s="63" t="s">
        <v>1723</v>
      </c>
      <c r="L846" s="64" t="s">
        <v>1205</v>
      </c>
      <c r="M846" s="64" t="s">
        <v>1398</v>
      </c>
    </row>
    <row r="847" spans="1:13" s="65" customFormat="1" ht="12" customHeight="1" x14ac:dyDescent="0.2">
      <c r="A847" s="78">
        <v>237158</v>
      </c>
      <c r="B847" s="69" t="s">
        <v>900</v>
      </c>
      <c r="C847" s="60" t="s">
        <v>1196</v>
      </c>
      <c r="D847" s="66" t="s">
        <v>1197</v>
      </c>
      <c r="E847" s="66" t="s">
        <v>1312</v>
      </c>
      <c r="F847" s="66" t="s">
        <v>1600</v>
      </c>
      <c r="G847" s="60" t="s">
        <v>7</v>
      </c>
      <c r="H847" s="61">
        <v>2.6020833333333333</v>
      </c>
      <c r="I847" s="61">
        <v>2.6020833333333333</v>
      </c>
      <c r="J847" s="62"/>
      <c r="K847" s="63" t="s">
        <v>1718</v>
      </c>
      <c r="L847" s="64" t="s">
        <v>1197</v>
      </c>
      <c r="M847" s="64" t="s">
        <v>1312</v>
      </c>
    </row>
    <row r="848" spans="1:13" s="65" customFormat="1" ht="12" customHeight="1" x14ac:dyDescent="0.2">
      <c r="A848" s="78">
        <v>237160</v>
      </c>
      <c r="B848" s="69" t="s">
        <v>901</v>
      </c>
      <c r="C848" s="60" t="s">
        <v>1196</v>
      </c>
      <c r="D848" s="66" t="s">
        <v>1200</v>
      </c>
      <c r="E848" s="66" t="s">
        <v>1536</v>
      </c>
      <c r="F848" s="66" t="s">
        <v>1713</v>
      </c>
      <c r="G848" s="60" t="s">
        <v>7</v>
      </c>
      <c r="H848" s="61">
        <v>0.47222222222222227</v>
      </c>
      <c r="I848" s="61">
        <v>0.47222222222222227</v>
      </c>
      <c r="J848" s="62"/>
      <c r="K848" s="63" t="s">
        <v>1723</v>
      </c>
      <c r="L848" s="64" t="s">
        <v>1200</v>
      </c>
      <c r="M848" s="64" t="s">
        <v>1536</v>
      </c>
    </row>
    <row r="849" spans="1:13" s="65" customFormat="1" ht="12" customHeight="1" x14ac:dyDescent="0.2">
      <c r="A849" s="78">
        <v>237161</v>
      </c>
      <c r="B849" s="69" t="s">
        <v>902</v>
      </c>
      <c r="C849" s="60" t="s">
        <v>1196</v>
      </c>
      <c r="D849" s="66" t="s">
        <v>1205</v>
      </c>
      <c r="E849" s="66" t="s">
        <v>1398</v>
      </c>
      <c r="F849" s="66" t="s">
        <v>1683</v>
      </c>
      <c r="G849" s="60" t="s">
        <v>8</v>
      </c>
      <c r="H849" s="61">
        <v>0.26111111111111113</v>
      </c>
      <c r="I849" s="61"/>
      <c r="J849" s="62">
        <v>0.26111111111111113</v>
      </c>
      <c r="K849" s="63" t="s">
        <v>1722</v>
      </c>
      <c r="L849" s="64" t="s">
        <v>1205</v>
      </c>
      <c r="M849" s="64" t="s">
        <v>1398</v>
      </c>
    </row>
    <row r="850" spans="1:13" s="65" customFormat="1" ht="12" customHeight="1" x14ac:dyDescent="0.2">
      <c r="A850" s="78">
        <v>237162</v>
      </c>
      <c r="B850" s="69" t="s">
        <v>903</v>
      </c>
      <c r="C850" s="60" t="s">
        <v>1196</v>
      </c>
      <c r="D850" s="66" t="s">
        <v>1201</v>
      </c>
      <c r="E850" s="66" t="s">
        <v>1517</v>
      </c>
      <c r="F850" s="66" t="s">
        <v>1709</v>
      </c>
      <c r="G850" s="60" t="s">
        <v>8</v>
      </c>
      <c r="H850" s="61">
        <v>0.3972222222222222</v>
      </c>
      <c r="I850" s="61"/>
      <c r="J850" s="62">
        <v>0.3972222222222222</v>
      </c>
      <c r="K850" s="63" t="s">
        <v>1723</v>
      </c>
      <c r="L850" s="64" t="s">
        <v>1201</v>
      </c>
      <c r="M850" s="64" t="s">
        <v>1517</v>
      </c>
    </row>
    <row r="851" spans="1:13" s="65" customFormat="1" ht="12" customHeight="1" x14ac:dyDescent="0.2">
      <c r="A851" s="78">
        <v>237163</v>
      </c>
      <c r="B851" s="69" t="s">
        <v>904</v>
      </c>
      <c r="C851" s="60" t="s">
        <v>1196</v>
      </c>
      <c r="D851" s="66" t="s">
        <v>1205</v>
      </c>
      <c r="E851" s="66" t="s">
        <v>1371</v>
      </c>
      <c r="F851" s="66" t="s">
        <v>1674</v>
      </c>
      <c r="G851" s="60" t="s">
        <v>8</v>
      </c>
      <c r="H851" s="61">
        <v>0.20833333333333334</v>
      </c>
      <c r="I851" s="61"/>
      <c r="J851" s="62">
        <v>0.20833333333333334</v>
      </c>
      <c r="K851" s="63" t="s">
        <v>1723</v>
      </c>
      <c r="L851" s="64" t="s">
        <v>1205</v>
      </c>
      <c r="M851" s="64" t="s">
        <v>1371</v>
      </c>
    </row>
    <row r="852" spans="1:13" s="65" customFormat="1" ht="12" customHeight="1" x14ac:dyDescent="0.2">
      <c r="A852" s="78">
        <v>237176</v>
      </c>
      <c r="B852" s="69" t="s">
        <v>905</v>
      </c>
      <c r="C852" s="60" t="s">
        <v>1196</v>
      </c>
      <c r="D852" s="66" t="s">
        <v>1202</v>
      </c>
      <c r="E852" s="66" t="s">
        <v>1364</v>
      </c>
      <c r="F852" s="66" t="s">
        <v>1671</v>
      </c>
      <c r="G852" s="60" t="s">
        <v>7</v>
      </c>
      <c r="H852" s="61">
        <v>15.293749999999999</v>
      </c>
      <c r="I852" s="61">
        <v>15.293749999999999</v>
      </c>
      <c r="J852" s="62"/>
      <c r="K852" s="63" t="s">
        <v>1723</v>
      </c>
      <c r="L852" s="64" t="s">
        <v>1202</v>
      </c>
      <c r="M852" s="64" t="s">
        <v>1364</v>
      </c>
    </row>
    <row r="853" spans="1:13" s="65" customFormat="1" ht="12" customHeight="1" x14ac:dyDescent="0.2">
      <c r="A853" s="78">
        <v>237178</v>
      </c>
      <c r="B853" s="69" t="s">
        <v>906</v>
      </c>
      <c r="C853" s="60" t="s">
        <v>1196</v>
      </c>
      <c r="D853" s="66" t="s">
        <v>1200</v>
      </c>
      <c r="E853" s="66" t="s">
        <v>1442</v>
      </c>
      <c r="F853" s="66" t="s">
        <v>1688</v>
      </c>
      <c r="G853" s="60" t="s">
        <v>8</v>
      </c>
      <c r="H853" s="61">
        <v>0.21111111111111111</v>
      </c>
      <c r="I853" s="61"/>
      <c r="J853" s="62">
        <v>0.21111111111111111</v>
      </c>
      <c r="K853" s="63" t="s">
        <v>1722</v>
      </c>
      <c r="L853" s="64" t="s">
        <v>1200</v>
      </c>
      <c r="M853" s="64" t="s">
        <v>1442</v>
      </c>
    </row>
    <row r="854" spans="1:13" s="65" customFormat="1" ht="12" customHeight="1" x14ac:dyDescent="0.2">
      <c r="A854" s="78">
        <v>237179</v>
      </c>
      <c r="B854" s="69" t="s">
        <v>907</v>
      </c>
      <c r="C854" s="60" t="s">
        <v>1196</v>
      </c>
      <c r="D854" s="66" t="s">
        <v>1197</v>
      </c>
      <c r="E854" s="66" t="s">
        <v>1551</v>
      </c>
      <c r="F854" s="66" t="s">
        <v>1630</v>
      </c>
      <c r="G854" s="60" t="s">
        <v>7</v>
      </c>
      <c r="H854" s="61">
        <v>9.0277777777777776E-2</v>
      </c>
      <c r="I854" s="61">
        <v>9.0277777777777776E-2</v>
      </c>
      <c r="J854" s="62"/>
      <c r="K854" s="63" t="s">
        <v>1723</v>
      </c>
      <c r="L854" s="64" t="s">
        <v>1197</v>
      </c>
      <c r="M854" s="64" t="s">
        <v>1551</v>
      </c>
    </row>
    <row r="855" spans="1:13" s="65" customFormat="1" ht="12" customHeight="1" x14ac:dyDescent="0.2">
      <c r="A855" s="78">
        <v>237191</v>
      </c>
      <c r="B855" s="69" t="s">
        <v>908</v>
      </c>
      <c r="C855" s="60" t="s">
        <v>1196</v>
      </c>
      <c r="D855" s="66" t="s">
        <v>1205</v>
      </c>
      <c r="E855" s="66" t="s">
        <v>1550</v>
      </c>
      <c r="F855" s="66" t="s">
        <v>1689</v>
      </c>
      <c r="G855" s="60" t="s">
        <v>8</v>
      </c>
      <c r="H855" s="61">
        <v>0.36458333333333331</v>
      </c>
      <c r="I855" s="61"/>
      <c r="J855" s="62">
        <v>0.36458333333333331</v>
      </c>
      <c r="K855" s="63" t="s">
        <v>1722</v>
      </c>
      <c r="L855" s="64" t="s">
        <v>1205</v>
      </c>
      <c r="M855" s="64" t="s">
        <v>1550</v>
      </c>
    </row>
    <row r="856" spans="1:13" s="65" customFormat="1" ht="12" customHeight="1" x14ac:dyDescent="0.2">
      <c r="A856" s="78">
        <v>237193</v>
      </c>
      <c r="B856" s="69" t="s">
        <v>909</v>
      </c>
      <c r="C856" s="60" t="s">
        <v>1196</v>
      </c>
      <c r="D856" s="66" t="s">
        <v>1197</v>
      </c>
      <c r="E856" s="66" t="s">
        <v>1551</v>
      </c>
      <c r="F856" s="66" t="s">
        <v>1630</v>
      </c>
      <c r="G856" s="60" t="s">
        <v>8</v>
      </c>
      <c r="H856" s="61">
        <v>3.2638888888888891E-2</v>
      </c>
      <c r="I856" s="61"/>
      <c r="J856" s="62">
        <v>3.2638888888888891E-2</v>
      </c>
      <c r="K856" s="63" t="s">
        <v>1723</v>
      </c>
      <c r="L856" s="64" t="s">
        <v>1197</v>
      </c>
      <c r="M856" s="64" t="s">
        <v>1551</v>
      </c>
    </row>
    <row r="857" spans="1:13" s="65" customFormat="1" ht="12" customHeight="1" x14ac:dyDescent="0.2">
      <c r="A857" s="78">
        <v>237203</v>
      </c>
      <c r="B857" s="69" t="s">
        <v>910</v>
      </c>
      <c r="C857" s="60" t="s">
        <v>1196</v>
      </c>
      <c r="D857" s="66" t="s">
        <v>1202</v>
      </c>
      <c r="E857" s="66" t="s">
        <v>1458</v>
      </c>
      <c r="F857" s="66" t="s">
        <v>1700</v>
      </c>
      <c r="G857" s="60" t="s">
        <v>7</v>
      </c>
      <c r="H857" s="61">
        <v>0.18611111111111112</v>
      </c>
      <c r="I857" s="61">
        <v>0.18611111111111112</v>
      </c>
      <c r="J857" s="62"/>
      <c r="K857" s="63" t="s">
        <v>1723</v>
      </c>
      <c r="L857" s="64" t="s">
        <v>1202</v>
      </c>
      <c r="M857" s="64" t="s">
        <v>1458</v>
      </c>
    </row>
    <row r="858" spans="1:13" s="65" customFormat="1" ht="12" customHeight="1" x14ac:dyDescent="0.2">
      <c r="A858" s="78">
        <v>237207</v>
      </c>
      <c r="B858" s="69" t="s">
        <v>911</v>
      </c>
      <c r="C858" s="60" t="s">
        <v>1196</v>
      </c>
      <c r="D858" s="66" t="s">
        <v>1199</v>
      </c>
      <c r="E858" s="66" t="s">
        <v>1420</v>
      </c>
      <c r="F858" s="66" t="s">
        <v>1670</v>
      </c>
      <c r="G858" s="60" t="s">
        <v>7</v>
      </c>
      <c r="H858" s="61">
        <v>0.47152777777777777</v>
      </c>
      <c r="I858" s="61">
        <v>0.47152777777777777</v>
      </c>
      <c r="J858" s="62"/>
      <c r="K858" s="63" t="s">
        <v>1718</v>
      </c>
      <c r="L858" s="64" t="s">
        <v>1199</v>
      </c>
      <c r="M858" s="64" t="s">
        <v>1420</v>
      </c>
    </row>
    <row r="859" spans="1:13" s="65" customFormat="1" ht="12" customHeight="1" x14ac:dyDescent="0.2">
      <c r="A859" s="78">
        <v>237208</v>
      </c>
      <c r="B859" s="69" t="s">
        <v>912</v>
      </c>
      <c r="C859" s="60" t="s">
        <v>1196</v>
      </c>
      <c r="D859" s="66" t="s">
        <v>1197</v>
      </c>
      <c r="E859" s="66" t="s">
        <v>1551</v>
      </c>
      <c r="F859" s="66" t="s">
        <v>1630</v>
      </c>
      <c r="G859" s="60" t="s">
        <v>7</v>
      </c>
      <c r="H859" s="61">
        <v>8.5416666666666655E-2</v>
      </c>
      <c r="I859" s="61">
        <v>8.5416666666666655E-2</v>
      </c>
      <c r="J859" s="62"/>
      <c r="K859" s="63" t="s">
        <v>1722</v>
      </c>
      <c r="L859" s="64" t="s">
        <v>1197</v>
      </c>
      <c r="M859" s="64" t="s">
        <v>1551</v>
      </c>
    </row>
    <row r="860" spans="1:13" s="65" customFormat="1" ht="12" customHeight="1" x14ac:dyDescent="0.2">
      <c r="A860" s="78">
        <v>237209</v>
      </c>
      <c r="B860" s="69" t="s">
        <v>913</v>
      </c>
      <c r="C860" s="60" t="s">
        <v>1196</v>
      </c>
      <c r="D860" s="66" t="s">
        <v>1204</v>
      </c>
      <c r="E860" s="66" t="s">
        <v>1521</v>
      </c>
      <c r="F860" s="66" t="s">
        <v>1711</v>
      </c>
      <c r="G860" s="60" t="s">
        <v>7</v>
      </c>
      <c r="H860" s="61">
        <v>1.5548611111111112</v>
      </c>
      <c r="I860" s="61">
        <v>1.5548611111111112</v>
      </c>
      <c r="J860" s="62"/>
      <c r="K860" s="63" t="s">
        <v>1718</v>
      </c>
      <c r="L860" s="64" t="s">
        <v>1204</v>
      </c>
      <c r="M860" s="64" t="s">
        <v>1521</v>
      </c>
    </row>
    <row r="861" spans="1:13" s="65" customFormat="1" ht="12" customHeight="1" x14ac:dyDescent="0.2">
      <c r="A861" s="78">
        <v>237210</v>
      </c>
      <c r="B861" s="69" t="s">
        <v>914</v>
      </c>
      <c r="C861" s="60" t="s">
        <v>1196</v>
      </c>
      <c r="D861" s="66" t="s">
        <v>1200</v>
      </c>
      <c r="E861" s="66" t="s">
        <v>1552</v>
      </c>
      <c r="F861" s="66" t="s">
        <v>1692</v>
      </c>
      <c r="G861" s="60" t="s">
        <v>7</v>
      </c>
      <c r="H861" s="61">
        <v>0.22708333333333333</v>
      </c>
      <c r="I861" s="61">
        <v>0.22708333333333333</v>
      </c>
      <c r="J861" s="62"/>
      <c r="K861" s="63" t="s">
        <v>1723</v>
      </c>
      <c r="L861" s="64" t="s">
        <v>1200</v>
      </c>
      <c r="M861" s="64" t="s">
        <v>1552</v>
      </c>
    </row>
    <row r="862" spans="1:13" s="65" customFormat="1" ht="12" customHeight="1" x14ac:dyDescent="0.2">
      <c r="A862" s="78">
        <v>237211</v>
      </c>
      <c r="B862" s="69" t="s">
        <v>915</v>
      </c>
      <c r="C862" s="60" t="s">
        <v>1196</v>
      </c>
      <c r="D862" s="66" t="s">
        <v>1204</v>
      </c>
      <c r="E862" s="66" t="s">
        <v>1511</v>
      </c>
      <c r="F862" s="66" t="s">
        <v>1680</v>
      </c>
      <c r="G862" s="60" t="s">
        <v>7</v>
      </c>
      <c r="H862" s="61">
        <v>6.8395833333333336</v>
      </c>
      <c r="I862" s="61">
        <v>6.8395833333333336</v>
      </c>
      <c r="J862" s="62"/>
      <c r="K862" s="63" t="s">
        <v>1722</v>
      </c>
      <c r="L862" s="64" t="s">
        <v>1204</v>
      </c>
      <c r="M862" s="64" t="s">
        <v>1511</v>
      </c>
    </row>
    <row r="863" spans="1:13" s="65" customFormat="1" ht="12" customHeight="1" x14ac:dyDescent="0.2">
      <c r="A863" s="78">
        <v>237216</v>
      </c>
      <c r="B863" s="69" t="s">
        <v>916</v>
      </c>
      <c r="C863" s="60" t="s">
        <v>1196</v>
      </c>
      <c r="D863" s="66" t="s">
        <v>1200</v>
      </c>
      <c r="E863" s="66" t="s">
        <v>1537</v>
      </c>
      <c r="F863" s="66" t="s">
        <v>1713</v>
      </c>
      <c r="G863" s="60" t="s">
        <v>7</v>
      </c>
      <c r="H863" s="61">
        <v>0.46319444444444446</v>
      </c>
      <c r="I863" s="61">
        <v>0.46319444444444446</v>
      </c>
      <c r="J863" s="62"/>
      <c r="K863" s="63" t="s">
        <v>1718</v>
      </c>
      <c r="L863" s="64" t="s">
        <v>1200</v>
      </c>
      <c r="M863" s="64" t="s">
        <v>1537</v>
      </c>
    </row>
    <row r="864" spans="1:13" s="65" customFormat="1" ht="12" customHeight="1" x14ac:dyDescent="0.2">
      <c r="A864" s="78">
        <v>237232</v>
      </c>
      <c r="B864" s="69" t="s">
        <v>917</v>
      </c>
      <c r="C864" s="60" t="s">
        <v>1196</v>
      </c>
      <c r="D864" s="66" t="s">
        <v>1204</v>
      </c>
      <c r="E864" s="66" t="s">
        <v>1553</v>
      </c>
      <c r="F864" s="66" t="s">
        <v>1715</v>
      </c>
      <c r="G864" s="60" t="s">
        <v>7</v>
      </c>
      <c r="H864" s="61">
        <v>7.4999999999999997E-2</v>
      </c>
      <c r="I864" s="61">
        <v>7.4999999999999997E-2</v>
      </c>
      <c r="J864" s="62"/>
      <c r="K864" s="63" t="s">
        <v>1723</v>
      </c>
      <c r="L864" s="64" t="s">
        <v>1204</v>
      </c>
      <c r="M864" s="64" t="s">
        <v>1553</v>
      </c>
    </row>
    <row r="865" spans="1:13" s="65" customFormat="1" ht="12" customHeight="1" x14ac:dyDescent="0.2">
      <c r="A865" s="78">
        <v>237233</v>
      </c>
      <c r="B865" s="69" t="s">
        <v>918</v>
      </c>
      <c r="C865" s="60" t="s">
        <v>1196</v>
      </c>
      <c r="D865" s="66" t="s">
        <v>1201</v>
      </c>
      <c r="E865" s="66" t="s">
        <v>1252</v>
      </c>
      <c r="F865" s="66" t="s">
        <v>1616</v>
      </c>
      <c r="G865" s="60" t="s">
        <v>7</v>
      </c>
      <c r="H865" s="61">
        <v>1.9277777777777776</v>
      </c>
      <c r="I865" s="61">
        <v>1.9277777777777776</v>
      </c>
      <c r="J865" s="62"/>
      <c r="K865" s="63" t="s">
        <v>1723</v>
      </c>
      <c r="L865" s="64" t="s">
        <v>1201</v>
      </c>
      <c r="M865" s="64" t="s">
        <v>1252</v>
      </c>
    </row>
    <row r="866" spans="1:13" s="65" customFormat="1" ht="12" customHeight="1" x14ac:dyDescent="0.2">
      <c r="A866" s="78">
        <v>237275</v>
      </c>
      <c r="B866" s="69" t="s">
        <v>919</v>
      </c>
      <c r="C866" s="60" t="s">
        <v>1196</v>
      </c>
      <c r="D866" s="66" t="s">
        <v>1201</v>
      </c>
      <c r="E866" s="66" t="s">
        <v>1547</v>
      </c>
      <c r="F866" s="66" t="s">
        <v>1714</v>
      </c>
      <c r="G866" s="60" t="s">
        <v>8</v>
      </c>
      <c r="H866" s="61">
        <v>1.9944444444444445</v>
      </c>
      <c r="I866" s="61"/>
      <c r="J866" s="62">
        <v>1.9944444444444445</v>
      </c>
      <c r="K866" s="63" t="s">
        <v>1718</v>
      </c>
      <c r="L866" s="64" t="s">
        <v>1201</v>
      </c>
      <c r="M866" s="64" t="s">
        <v>1547</v>
      </c>
    </row>
    <row r="867" spans="1:13" s="65" customFormat="1" ht="12" customHeight="1" x14ac:dyDescent="0.2">
      <c r="A867" s="78">
        <v>237313</v>
      </c>
      <c r="B867" s="69" t="s">
        <v>920</v>
      </c>
      <c r="C867" s="60" t="s">
        <v>1196</v>
      </c>
      <c r="D867" s="66" t="s">
        <v>1204</v>
      </c>
      <c r="E867" s="66" t="s">
        <v>1554</v>
      </c>
      <c r="F867" s="66" t="s">
        <v>1716</v>
      </c>
      <c r="G867" s="60" t="s">
        <v>8</v>
      </c>
      <c r="H867" s="61">
        <v>1.2604166666666667</v>
      </c>
      <c r="I867" s="61"/>
      <c r="J867" s="62">
        <v>1.2604166666666667</v>
      </c>
      <c r="K867" s="63" t="s">
        <v>1718</v>
      </c>
      <c r="L867" s="64" t="s">
        <v>1204</v>
      </c>
      <c r="M867" s="64" t="s">
        <v>1554</v>
      </c>
    </row>
    <row r="868" spans="1:13" s="65" customFormat="1" ht="12" customHeight="1" x14ac:dyDescent="0.2">
      <c r="A868" s="78">
        <v>237314</v>
      </c>
      <c r="B868" s="69" t="s">
        <v>921</v>
      </c>
      <c r="C868" s="60" t="s">
        <v>1196</v>
      </c>
      <c r="D868" s="66" t="s">
        <v>1204</v>
      </c>
      <c r="E868" s="66" t="s">
        <v>1554</v>
      </c>
      <c r="F868" s="66" t="s">
        <v>1716</v>
      </c>
      <c r="G868" s="60" t="s">
        <v>8</v>
      </c>
      <c r="H868" s="61">
        <v>1.3062500000000001</v>
      </c>
      <c r="I868" s="61"/>
      <c r="J868" s="62">
        <v>1.3062500000000001</v>
      </c>
      <c r="K868" s="63" t="s">
        <v>1718</v>
      </c>
      <c r="L868" s="64" t="s">
        <v>1204</v>
      </c>
      <c r="M868" s="64" t="s">
        <v>1554</v>
      </c>
    </row>
    <row r="869" spans="1:13" s="65" customFormat="1" ht="12" customHeight="1" x14ac:dyDescent="0.2">
      <c r="A869" s="78">
        <v>237315</v>
      </c>
      <c r="B869" s="69" t="s">
        <v>922</v>
      </c>
      <c r="C869" s="60" t="s">
        <v>1196</v>
      </c>
      <c r="D869" s="66" t="s">
        <v>1204</v>
      </c>
      <c r="E869" s="66" t="s">
        <v>1554</v>
      </c>
      <c r="F869" s="66" t="s">
        <v>1716</v>
      </c>
      <c r="G869" s="60" t="s">
        <v>8</v>
      </c>
      <c r="H869" s="61">
        <v>0.66111111111111109</v>
      </c>
      <c r="I869" s="61"/>
      <c r="J869" s="62">
        <v>0.66111111111111109</v>
      </c>
      <c r="K869" s="63" t="s">
        <v>1718</v>
      </c>
      <c r="L869" s="64" t="s">
        <v>1204</v>
      </c>
      <c r="M869" s="64" t="s">
        <v>1554</v>
      </c>
    </row>
    <row r="870" spans="1:13" s="65" customFormat="1" ht="12" customHeight="1" x14ac:dyDescent="0.2">
      <c r="A870" s="78">
        <v>237317</v>
      </c>
      <c r="B870" s="69" t="s">
        <v>923</v>
      </c>
      <c r="C870" s="60" t="s">
        <v>1196</v>
      </c>
      <c r="D870" s="66" t="s">
        <v>1197</v>
      </c>
      <c r="E870" s="66" t="s">
        <v>1555</v>
      </c>
      <c r="F870" s="66" t="s">
        <v>1660</v>
      </c>
      <c r="G870" s="60" t="s">
        <v>7</v>
      </c>
      <c r="H870" s="61">
        <v>15.033333333333333</v>
      </c>
      <c r="I870" s="61">
        <v>15.033333333333333</v>
      </c>
      <c r="J870" s="62"/>
      <c r="K870" s="63" t="s">
        <v>1723</v>
      </c>
      <c r="L870" s="64" t="s">
        <v>1197</v>
      </c>
      <c r="M870" s="64" t="s">
        <v>1555</v>
      </c>
    </row>
    <row r="871" spans="1:13" s="65" customFormat="1" ht="12" customHeight="1" x14ac:dyDescent="0.2">
      <c r="A871" s="78">
        <v>237318</v>
      </c>
      <c r="B871" s="69" t="s">
        <v>924</v>
      </c>
      <c r="C871" s="60" t="s">
        <v>1196</v>
      </c>
      <c r="D871" s="66" t="s">
        <v>1204</v>
      </c>
      <c r="E871" s="66" t="s">
        <v>1556</v>
      </c>
      <c r="F871" s="66" t="s">
        <v>1715</v>
      </c>
      <c r="G871" s="60" t="s">
        <v>8</v>
      </c>
      <c r="H871" s="61">
        <v>1.8333333333333333</v>
      </c>
      <c r="I871" s="61"/>
      <c r="J871" s="62">
        <v>1.8333333333333333</v>
      </c>
      <c r="K871" s="63" t="s">
        <v>1718</v>
      </c>
      <c r="L871" s="64" t="s">
        <v>1204</v>
      </c>
      <c r="M871" s="64" t="s">
        <v>1556</v>
      </c>
    </row>
    <row r="872" spans="1:13" s="65" customFormat="1" ht="12" customHeight="1" x14ac:dyDescent="0.2">
      <c r="A872" s="78">
        <v>237319</v>
      </c>
      <c r="B872" s="69" t="s">
        <v>925</v>
      </c>
      <c r="C872" s="60" t="s">
        <v>1196</v>
      </c>
      <c r="D872" s="66" t="s">
        <v>1201</v>
      </c>
      <c r="E872" s="66" t="s">
        <v>1547</v>
      </c>
      <c r="F872" s="66" t="s">
        <v>1714</v>
      </c>
      <c r="G872" s="60" t="s">
        <v>8</v>
      </c>
      <c r="H872" s="61">
        <v>0.95138888888888884</v>
      </c>
      <c r="I872" s="61"/>
      <c r="J872" s="62">
        <v>0.95138888888888884</v>
      </c>
      <c r="K872" s="63" t="s">
        <v>1718</v>
      </c>
      <c r="L872" s="64" t="s">
        <v>1201</v>
      </c>
      <c r="M872" s="64" t="s">
        <v>1547</v>
      </c>
    </row>
    <row r="873" spans="1:13" s="65" customFormat="1" ht="12" customHeight="1" x14ac:dyDescent="0.2">
      <c r="A873" s="78">
        <v>237322</v>
      </c>
      <c r="B873" s="69" t="s">
        <v>926</v>
      </c>
      <c r="C873" s="60" t="s">
        <v>1196</v>
      </c>
      <c r="D873" s="66" t="s">
        <v>1199</v>
      </c>
      <c r="E873" s="66" t="s">
        <v>1460</v>
      </c>
      <c r="F873" s="66" t="s">
        <v>1698</v>
      </c>
      <c r="G873" s="60" t="s">
        <v>8</v>
      </c>
      <c r="H873" s="61">
        <v>8.2638888888888887E-2</v>
      </c>
      <c r="I873" s="61"/>
      <c r="J873" s="62">
        <v>8.2638888888888887E-2</v>
      </c>
      <c r="K873" s="63" t="s">
        <v>1723</v>
      </c>
      <c r="L873" s="64" t="s">
        <v>1199</v>
      </c>
      <c r="M873" s="64" t="s">
        <v>1460</v>
      </c>
    </row>
    <row r="874" spans="1:13" s="65" customFormat="1" ht="12" customHeight="1" x14ac:dyDescent="0.2">
      <c r="A874" s="78">
        <v>237324</v>
      </c>
      <c r="B874" s="69" t="s">
        <v>927</v>
      </c>
      <c r="C874" s="60" t="s">
        <v>1196</v>
      </c>
      <c r="D874" s="66" t="s">
        <v>1204</v>
      </c>
      <c r="E874" s="66" t="s">
        <v>1557</v>
      </c>
      <c r="F874" s="66" t="s">
        <v>1716</v>
      </c>
      <c r="G874" s="60" t="s">
        <v>8</v>
      </c>
      <c r="H874" s="61">
        <v>0.33333333333333331</v>
      </c>
      <c r="I874" s="61"/>
      <c r="J874" s="62">
        <v>0.33333333333333331</v>
      </c>
      <c r="K874" s="63" t="s">
        <v>1722</v>
      </c>
      <c r="L874" s="64" t="s">
        <v>1204</v>
      </c>
      <c r="M874" s="64" t="s">
        <v>1557</v>
      </c>
    </row>
    <row r="875" spans="1:13" s="65" customFormat="1" ht="12" customHeight="1" x14ac:dyDescent="0.2">
      <c r="A875" s="78">
        <v>237325</v>
      </c>
      <c r="B875" s="69" t="s">
        <v>928</v>
      </c>
      <c r="C875" s="60" t="s">
        <v>1196</v>
      </c>
      <c r="D875" s="66" t="s">
        <v>1204</v>
      </c>
      <c r="E875" s="66" t="s">
        <v>1557</v>
      </c>
      <c r="F875" s="66" t="s">
        <v>1716</v>
      </c>
      <c r="G875" s="60" t="s">
        <v>8</v>
      </c>
      <c r="H875" s="61">
        <v>0.33333333333333331</v>
      </c>
      <c r="I875" s="61"/>
      <c r="J875" s="62">
        <v>0.33333333333333331</v>
      </c>
      <c r="K875" s="63" t="s">
        <v>1723</v>
      </c>
      <c r="L875" s="64" t="s">
        <v>1204</v>
      </c>
      <c r="M875" s="64" t="s">
        <v>1557</v>
      </c>
    </row>
    <row r="876" spans="1:13" s="65" customFormat="1" ht="12" customHeight="1" x14ac:dyDescent="0.2">
      <c r="A876" s="78">
        <v>237329</v>
      </c>
      <c r="B876" s="69" t="s">
        <v>929</v>
      </c>
      <c r="C876" s="60" t="s">
        <v>1196</v>
      </c>
      <c r="D876" s="66" t="s">
        <v>1205</v>
      </c>
      <c r="E876" s="66" t="s">
        <v>1558</v>
      </c>
      <c r="F876" s="66" t="s">
        <v>1695</v>
      </c>
      <c r="G876" s="60" t="s">
        <v>8</v>
      </c>
      <c r="H876" s="61">
        <v>2.0833333333333333E-3</v>
      </c>
      <c r="I876" s="61"/>
      <c r="J876" s="62">
        <v>2.0833333333333333E-3</v>
      </c>
      <c r="K876" s="63" t="s">
        <v>1722</v>
      </c>
      <c r="L876" s="64" t="s">
        <v>1205</v>
      </c>
      <c r="M876" s="64" t="s">
        <v>1558</v>
      </c>
    </row>
    <row r="877" spans="1:13" s="65" customFormat="1" ht="12" customHeight="1" x14ac:dyDescent="0.2">
      <c r="A877" s="78">
        <v>237330</v>
      </c>
      <c r="B877" s="69" t="s">
        <v>930</v>
      </c>
      <c r="C877" s="60" t="s">
        <v>1196</v>
      </c>
      <c r="D877" s="66" t="s">
        <v>1205</v>
      </c>
      <c r="E877" s="66" t="s">
        <v>1559</v>
      </c>
      <c r="F877" s="66" t="s">
        <v>1594</v>
      </c>
      <c r="G877" s="60" t="s">
        <v>7</v>
      </c>
      <c r="H877" s="61">
        <v>4.1666666666666666E-3</v>
      </c>
      <c r="I877" s="61">
        <v>4.1666666666666666E-3</v>
      </c>
      <c r="J877" s="62"/>
      <c r="K877" s="63" t="s">
        <v>1720</v>
      </c>
      <c r="L877" s="64" t="s">
        <v>1205</v>
      </c>
      <c r="M877" s="64" t="s">
        <v>1559</v>
      </c>
    </row>
    <row r="878" spans="1:13" s="65" customFormat="1" ht="12" customHeight="1" x14ac:dyDescent="0.2">
      <c r="A878" s="78">
        <v>237379</v>
      </c>
      <c r="B878" s="69" t="s">
        <v>931</v>
      </c>
      <c r="C878" s="60" t="s">
        <v>1196</v>
      </c>
      <c r="D878" s="66" t="s">
        <v>1202</v>
      </c>
      <c r="E878" s="66" t="s">
        <v>1455</v>
      </c>
      <c r="F878" s="66" t="s">
        <v>1700</v>
      </c>
      <c r="G878" s="60" t="s">
        <v>7</v>
      </c>
      <c r="H878" s="61">
        <v>0.17777777777777778</v>
      </c>
      <c r="I878" s="61">
        <v>0.17777777777777778</v>
      </c>
      <c r="J878" s="62"/>
      <c r="K878" s="63" t="s">
        <v>1718</v>
      </c>
      <c r="L878" s="64" t="s">
        <v>1202</v>
      </c>
      <c r="M878" s="64" t="s">
        <v>1455</v>
      </c>
    </row>
    <row r="879" spans="1:13" s="65" customFormat="1" ht="12" customHeight="1" x14ac:dyDescent="0.2">
      <c r="A879" s="78">
        <v>237380</v>
      </c>
      <c r="B879" s="69" t="s">
        <v>932</v>
      </c>
      <c r="C879" s="60" t="s">
        <v>1196</v>
      </c>
      <c r="D879" s="66" t="s">
        <v>1204</v>
      </c>
      <c r="E879" s="66" t="s">
        <v>1560</v>
      </c>
      <c r="F879" s="66" t="s">
        <v>1712</v>
      </c>
      <c r="G879" s="60" t="s">
        <v>7</v>
      </c>
      <c r="H879" s="61">
        <v>4.7333333333333334</v>
      </c>
      <c r="I879" s="61">
        <v>4.7333333333333334</v>
      </c>
      <c r="J879" s="62"/>
      <c r="K879" s="63" t="s">
        <v>1723</v>
      </c>
      <c r="L879" s="64" t="s">
        <v>1204</v>
      </c>
      <c r="M879" s="64" t="s">
        <v>1560</v>
      </c>
    </row>
    <row r="880" spans="1:13" s="65" customFormat="1" ht="12" customHeight="1" x14ac:dyDescent="0.2">
      <c r="A880" s="78">
        <v>237381</v>
      </c>
      <c r="B880" s="69" t="s">
        <v>933</v>
      </c>
      <c r="C880" s="60" t="s">
        <v>1196</v>
      </c>
      <c r="D880" s="66" t="s">
        <v>1205</v>
      </c>
      <c r="E880" s="66" t="s">
        <v>1561</v>
      </c>
      <c r="F880" s="66" t="s">
        <v>1594</v>
      </c>
      <c r="G880" s="60" t="s">
        <v>8</v>
      </c>
      <c r="H880" s="61">
        <v>0.29097222222222224</v>
      </c>
      <c r="I880" s="61"/>
      <c r="J880" s="62">
        <v>0.29097222222222224</v>
      </c>
      <c r="K880" s="63" t="s">
        <v>1720</v>
      </c>
      <c r="L880" s="64" t="s">
        <v>1205</v>
      </c>
      <c r="M880" s="64" t="s">
        <v>1561</v>
      </c>
    </row>
    <row r="881" spans="1:13" s="65" customFormat="1" ht="12" customHeight="1" x14ac:dyDescent="0.2">
      <c r="A881" s="78">
        <v>237382</v>
      </c>
      <c r="B881" s="69" t="s">
        <v>934</v>
      </c>
      <c r="C881" s="60" t="s">
        <v>1196</v>
      </c>
      <c r="D881" s="66" t="s">
        <v>1197</v>
      </c>
      <c r="E881" s="66" t="s">
        <v>1308</v>
      </c>
      <c r="F881" s="66" t="s">
        <v>1624</v>
      </c>
      <c r="G881" s="60" t="s">
        <v>7</v>
      </c>
      <c r="H881" s="61">
        <v>0.20208333333333331</v>
      </c>
      <c r="I881" s="61">
        <v>0.20208333333333331</v>
      </c>
      <c r="J881" s="62"/>
      <c r="K881" s="63" t="s">
        <v>1718</v>
      </c>
      <c r="L881" s="64" t="s">
        <v>1197</v>
      </c>
      <c r="M881" s="64" t="s">
        <v>1308</v>
      </c>
    </row>
    <row r="882" spans="1:13" s="65" customFormat="1" ht="12" customHeight="1" x14ac:dyDescent="0.2">
      <c r="A882" s="78">
        <v>237396</v>
      </c>
      <c r="B882" s="69" t="s">
        <v>935</v>
      </c>
      <c r="C882" s="60" t="s">
        <v>1196</v>
      </c>
      <c r="D882" s="66" t="s">
        <v>1197</v>
      </c>
      <c r="E882" s="66" t="s">
        <v>1308</v>
      </c>
      <c r="F882" s="66" t="s">
        <v>1624</v>
      </c>
      <c r="G882" s="60" t="s">
        <v>7</v>
      </c>
      <c r="H882" s="61">
        <v>1.5013888888888889</v>
      </c>
      <c r="I882" s="61">
        <v>1.5013888888888889</v>
      </c>
      <c r="J882" s="62"/>
      <c r="K882" s="63" t="s">
        <v>1718</v>
      </c>
      <c r="L882" s="64" t="s">
        <v>1197</v>
      </c>
      <c r="M882" s="64" t="s">
        <v>1308</v>
      </c>
    </row>
    <row r="883" spans="1:13" s="65" customFormat="1" ht="12" customHeight="1" x14ac:dyDescent="0.2">
      <c r="A883" s="78">
        <v>237405</v>
      </c>
      <c r="B883" s="69" t="s">
        <v>936</v>
      </c>
      <c r="C883" s="60" t="s">
        <v>1196</v>
      </c>
      <c r="D883" s="66" t="s">
        <v>1199</v>
      </c>
      <c r="E883" s="66" t="s">
        <v>1509</v>
      </c>
      <c r="F883" s="66" t="s">
        <v>1707</v>
      </c>
      <c r="G883" s="60" t="s">
        <v>8</v>
      </c>
      <c r="H883" s="61">
        <v>0.81597222222222221</v>
      </c>
      <c r="I883" s="61"/>
      <c r="J883" s="62">
        <v>0.81597222222222221</v>
      </c>
      <c r="K883" s="63" t="s">
        <v>1718</v>
      </c>
      <c r="L883" s="64" t="s">
        <v>1199</v>
      </c>
      <c r="M883" s="64" t="s">
        <v>1509</v>
      </c>
    </row>
    <row r="884" spans="1:13" s="65" customFormat="1" ht="12" customHeight="1" x14ac:dyDescent="0.2">
      <c r="A884" s="78">
        <v>237407</v>
      </c>
      <c r="B884" s="69" t="s">
        <v>937</v>
      </c>
      <c r="C884" s="60" t="s">
        <v>1196</v>
      </c>
      <c r="D884" s="66" t="s">
        <v>1199</v>
      </c>
      <c r="E884" s="66" t="s">
        <v>1509</v>
      </c>
      <c r="F884" s="66" t="s">
        <v>1707</v>
      </c>
      <c r="G884" s="60" t="s">
        <v>8</v>
      </c>
      <c r="H884" s="61">
        <v>0.16041666666666668</v>
      </c>
      <c r="I884" s="61"/>
      <c r="J884" s="62">
        <v>0.16041666666666668</v>
      </c>
      <c r="K884" s="63" t="s">
        <v>1718</v>
      </c>
      <c r="L884" s="64" t="s">
        <v>1199</v>
      </c>
      <c r="M884" s="64" t="s">
        <v>1509</v>
      </c>
    </row>
    <row r="885" spans="1:13" s="65" customFormat="1" ht="12" customHeight="1" x14ac:dyDescent="0.2">
      <c r="A885" s="78">
        <v>237413</v>
      </c>
      <c r="B885" s="69" t="s">
        <v>938</v>
      </c>
      <c r="C885" s="60" t="s">
        <v>1196</v>
      </c>
      <c r="D885" s="66" t="s">
        <v>1202</v>
      </c>
      <c r="E885" s="66" t="s">
        <v>1344</v>
      </c>
      <c r="F885" s="66" t="s">
        <v>1626</v>
      </c>
      <c r="G885" s="60" t="s">
        <v>8</v>
      </c>
      <c r="H885" s="61">
        <v>1.7444444444444445</v>
      </c>
      <c r="I885" s="61"/>
      <c r="J885" s="62">
        <v>1.7444444444444445</v>
      </c>
      <c r="K885" s="63" t="s">
        <v>1718</v>
      </c>
      <c r="L885" s="64" t="s">
        <v>1202</v>
      </c>
      <c r="M885" s="64" t="s">
        <v>1344</v>
      </c>
    </row>
    <row r="886" spans="1:13" s="65" customFormat="1" ht="12" customHeight="1" x14ac:dyDescent="0.2">
      <c r="A886" s="78">
        <v>237415</v>
      </c>
      <c r="B886" s="69" t="s">
        <v>939</v>
      </c>
      <c r="C886" s="60" t="s">
        <v>1196</v>
      </c>
      <c r="D886" s="66" t="s">
        <v>1199</v>
      </c>
      <c r="E886" s="66" t="s">
        <v>1562</v>
      </c>
      <c r="F886" s="66" t="s">
        <v>1707</v>
      </c>
      <c r="G886" s="60" t="s">
        <v>7</v>
      </c>
      <c r="H886" s="61">
        <v>3.472222222222222E-3</v>
      </c>
      <c r="I886" s="61">
        <v>3.472222222222222E-3</v>
      </c>
      <c r="J886" s="62"/>
      <c r="K886" s="63" t="s">
        <v>1723</v>
      </c>
      <c r="L886" s="64" t="s">
        <v>1199</v>
      </c>
      <c r="M886" s="64" t="s">
        <v>1562</v>
      </c>
    </row>
    <row r="887" spans="1:13" s="65" customFormat="1" ht="12" customHeight="1" x14ac:dyDescent="0.2">
      <c r="A887" s="78">
        <v>237417</v>
      </c>
      <c r="B887" s="69" t="s">
        <v>940</v>
      </c>
      <c r="C887" s="60" t="s">
        <v>1196</v>
      </c>
      <c r="D887" s="66" t="s">
        <v>1202</v>
      </c>
      <c r="E887" s="66" t="s">
        <v>1512</v>
      </c>
      <c r="F887" s="66" t="s">
        <v>1708</v>
      </c>
      <c r="G887" s="60" t="s">
        <v>8</v>
      </c>
      <c r="H887" s="61">
        <v>1.75</v>
      </c>
      <c r="I887" s="61"/>
      <c r="J887" s="62">
        <v>1.75</v>
      </c>
      <c r="K887" s="63" t="s">
        <v>1718</v>
      </c>
      <c r="L887" s="64" t="s">
        <v>1202</v>
      </c>
      <c r="M887" s="64" t="s">
        <v>1512</v>
      </c>
    </row>
    <row r="888" spans="1:13" s="65" customFormat="1" ht="12" customHeight="1" x14ac:dyDescent="0.2">
      <c r="A888" s="78">
        <v>237418</v>
      </c>
      <c r="B888" s="69" t="s">
        <v>941</v>
      </c>
      <c r="C888" s="60" t="s">
        <v>1196</v>
      </c>
      <c r="D888" s="66" t="s">
        <v>1201</v>
      </c>
      <c r="E888" s="66" t="s">
        <v>1326</v>
      </c>
      <c r="F888" s="66" t="s">
        <v>1608</v>
      </c>
      <c r="G888" s="60" t="s">
        <v>8</v>
      </c>
      <c r="H888" s="61">
        <v>0.81180555555555556</v>
      </c>
      <c r="I888" s="61"/>
      <c r="J888" s="62">
        <v>0.81180555555555556</v>
      </c>
      <c r="K888" s="63" t="s">
        <v>1718</v>
      </c>
      <c r="L888" s="64" t="s">
        <v>1201</v>
      </c>
      <c r="M888" s="64" t="s">
        <v>1326</v>
      </c>
    </row>
    <row r="889" spans="1:13" s="65" customFormat="1" ht="12" customHeight="1" x14ac:dyDescent="0.2">
      <c r="A889" s="78">
        <v>237420</v>
      </c>
      <c r="B889" s="69" t="s">
        <v>942</v>
      </c>
      <c r="C889" s="60" t="s">
        <v>1196</v>
      </c>
      <c r="D889" s="66" t="s">
        <v>1203</v>
      </c>
      <c r="E889" s="66" t="s">
        <v>1440</v>
      </c>
      <c r="F889" s="66" t="s">
        <v>1696</v>
      </c>
      <c r="G889" s="60" t="s">
        <v>8</v>
      </c>
      <c r="H889" s="61">
        <v>0.39097222222222222</v>
      </c>
      <c r="I889" s="61"/>
      <c r="J889" s="62">
        <v>0.39097222222222222</v>
      </c>
      <c r="K889" s="63" t="s">
        <v>1718</v>
      </c>
      <c r="L889" s="64" t="s">
        <v>1203</v>
      </c>
      <c r="M889" s="64" t="s">
        <v>1440</v>
      </c>
    </row>
    <row r="890" spans="1:13" s="65" customFormat="1" ht="12" customHeight="1" x14ac:dyDescent="0.2">
      <c r="A890" s="78">
        <v>237421</v>
      </c>
      <c r="B890" s="69" t="s">
        <v>943</v>
      </c>
      <c r="C890" s="60" t="s">
        <v>1196</v>
      </c>
      <c r="D890" s="66" t="s">
        <v>1200</v>
      </c>
      <c r="E890" s="66" t="s">
        <v>1563</v>
      </c>
      <c r="F890" s="66" t="s">
        <v>1598</v>
      </c>
      <c r="G890" s="60" t="s">
        <v>8</v>
      </c>
      <c r="H890" s="61">
        <v>1.0583333333333333</v>
      </c>
      <c r="I890" s="61"/>
      <c r="J890" s="62">
        <v>1.0583333333333333</v>
      </c>
      <c r="K890" s="63" t="s">
        <v>1720</v>
      </c>
      <c r="L890" s="64" t="s">
        <v>1200</v>
      </c>
      <c r="M890" s="64" t="s">
        <v>1563</v>
      </c>
    </row>
    <row r="891" spans="1:13" s="65" customFormat="1" ht="12" customHeight="1" x14ac:dyDescent="0.2">
      <c r="A891" s="78">
        <v>237422</v>
      </c>
      <c r="B891" s="69" t="s">
        <v>944</v>
      </c>
      <c r="C891" s="60" t="s">
        <v>1196</v>
      </c>
      <c r="D891" s="66" t="s">
        <v>1197</v>
      </c>
      <c r="E891" s="66" t="s">
        <v>1283</v>
      </c>
      <c r="F891" s="66" t="s">
        <v>1636</v>
      </c>
      <c r="G891" s="60" t="s">
        <v>8</v>
      </c>
      <c r="H891" s="61">
        <v>4.9999999999999996E-2</v>
      </c>
      <c r="I891" s="61"/>
      <c r="J891" s="62">
        <v>4.9999999999999996E-2</v>
      </c>
      <c r="K891" s="63" t="s">
        <v>1723</v>
      </c>
      <c r="L891" s="64" t="s">
        <v>1197</v>
      </c>
      <c r="M891" s="64" t="s">
        <v>1283</v>
      </c>
    </row>
    <row r="892" spans="1:13" s="65" customFormat="1" ht="12" customHeight="1" x14ac:dyDescent="0.2">
      <c r="A892" s="78">
        <v>237423</v>
      </c>
      <c r="B892" s="69" t="s">
        <v>945</v>
      </c>
      <c r="C892" s="60" t="s">
        <v>1196</v>
      </c>
      <c r="D892" s="66" t="s">
        <v>1200</v>
      </c>
      <c r="E892" s="66" t="s">
        <v>1314</v>
      </c>
      <c r="F892" s="66" t="s">
        <v>1653</v>
      </c>
      <c r="G892" s="60" t="s">
        <v>8</v>
      </c>
      <c r="H892" s="61">
        <v>1.8749999999999999E-2</v>
      </c>
      <c r="I892" s="61"/>
      <c r="J892" s="62">
        <v>1.8749999999999999E-2</v>
      </c>
      <c r="K892" s="63" t="s">
        <v>1718</v>
      </c>
      <c r="L892" s="64" t="s">
        <v>1200</v>
      </c>
      <c r="M892" s="64" t="s">
        <v>1314</v>
      </c>
    </row>
    <row r="893" spans="1:13" s="65" customFormat="1" ht="12" customHeight="1" x14ac:dyDescent="0.2">
      <c r="A893" s="78">
        <v>237424</v>
      </c>
      <c r="B893" s="69" t="s">
        <v>946</v>
      </c>
      <c r="C893" s="60" t="s">
        <v>1196</v>
      </c>
      <c r="D893" s="66" t="s">
        <v>1199</v>
      </c>
      <c r="E893" s="66" t="s">
        <v>1420</v>
      </c>
      <c r="F893" s="66" t="s">
        <v>1670</v>
      </c>
      <c r="G893" s="60" t="s">
        <v>7</v>
      </c>
      <c r="H893" s="61">
        <v>0.11666666666666665</v>
      </c>
      <c r="I893" s="61">
        <v>0.11666666666666665</v>
      </c>
      <c r="J893" s="62"/>
      <c r="K893" s="63" t="s">
        <v>1718</v>
      </c>
      <c r="L893" s="64" t="s">
        <v>1199</v>
      </c>
      <c r="M893" s="64" t="s">
        <v>1420</v>
      </c>
    </row>
    <row r="894" spans="1:13" s="65" customFormat="1" ht="12" customHeight="1" x14ac:dyDescent="0.2">
      <c r="A894" s="78">
        <v>237425</v>
      </c>
      <c r="B894" s="69" t="s">
        <v>947</v>
      </c>
      <c r="C894" s="60" t="s">
        <v>1196</v>
      </c>
      <c r="D894" s="66" t="s">
        <v>1203</v>
      </c>
      <c r="E894" s="66" t="s">
        <v>1342</v>
      </c>
      <c r="F894" s="66" t="s">
        <v>1667</v>
      </c>
      <c r="G894" s="60" t="s">
        <v>7</v>
      </c>
      <c r="H894" s="61">
        <v>0.20555555555555557</v>
      </c>
      <c r="I894" s="61">
        <v>0.20555555555555557</v>
      </c>
      <c r="J894" s="62"/>
      <c r="K894" s="63" t="s">
        <v>1718</v>
      </c>
      <c r="L894" s="64" t="s">
        <v>1203</v>
      </c>
      <c r="M894" s="64" t="s">
        <v>1342</v>
      </c>
    </row>
    <row r="895" spans="1:13" s="65" customFormat="1" ht="12" customHeight="1" x14ac:dyDescent="0.2">
      <c r="A895" s="78">
        <v>237491</v>
      </c>
      <c r="B895" s="69" t="s">
        <v>948</v>
      </c>
      <c r="C895" s="60" t="s">
        <v>1196</v>
      </c>
      <c r="D895" s="66" t="s">
        <v>1205</v>
      </c>
      <c r="E895" s="66" t="s">
        <v>1435</v>
      </c>
      <c r="F895" s="66" t="s">
        <v>1695</v>
      </c>
      <c r="G895" s="60" t="s">
        <v>7</v>
      </c>
      <c r="H895" s="61">
        <v>5.5555555555555558E-3</v>
      </c>
      <c r="I895" s="61">
        <v>5.5555555555555558E-3</v>
      </c>
      <c r="J895" s="62"/>
      <c r="K895" s="63" t="s">
        <v>1718</v>
      </c>
      <c r="L895" s="64" t="s">
        <v>1205</v>
      </c>
      <c r="M895" s="64" t="s">
        <v>1435</v>
      </c>
    </row>
    <row r="896" spans="1:13" s="65" customFormat="1" ht="12" customHeight="1" x14ac:dyDescent="0.2">
      <c r="A896" s="78">
        <v>237507</v>
      </c>
      <c r="B896" s="69" t="s">
        <v>949</v>
      </c>
      <c r="C896" s="60" t="s">
        <v>1196</v>
      </c>
      <c r="D896" s="66" t="s">
        <v>1204</v>
      </c>
      <c r="E896" s="66" t="s">
        <v>1564</v>
      </c>
      <c r="F896" s="66" t="s">
        <v>1593</v>
      </c>
      <c r="G896" s="60" t="s">
        <v>8</v>
      </c>
      <c r="H896" s="61">
        <v>4.0972222222222222E-2</v>
      </c>
      <c r="I896" s="61"/>
      <c r="J896" s="62">
        <v>4.0972222222222222E-2</v>
      </c>
      <c r="K896" s="63" t="s">
        <v>1720</v>
      </c>
      <c r="L896" s="64" t="s">
        <v>1204</v>
      </c>
      <c r="M896" s="64" t="s">
        <v>1564</v>
      </c>
    </row>
    <row r="897" spans="1:13" s="65" customFormat="1" ht="12" customHeight="1" x14ac:dyDescent="0.2">
      <c r="A897" s="78">
        <v>237508</v>
      </c>
      <c r="B897" s="69" t="s">
        <v>950</v>
      </c>
      <c r="C897" s="60" t="s">
        <v>1196</v>
      </c>
      <c r="D897" s="66" t="s">
        <v>1204</v>
      </c>
      <c r="E897" s="66" t="s">
        <v>1425</v>
      </c>
      <c r="F897" s="66" t="s">
        <v>1690</v>
      </c>
      <c r="G897" s="60" t="s">
        <v>8</v>
      </c>
      <c r="H897" s="61">
        <v>0.19097222222222221</v>
      </c>
      <c r="I897" s="61"/>
      <c r="J897" s="62">
        <v>0.19097222222222221</v>
      </c>
      <c r="K897" s="63" t="s">
        <v>1718</v>
      </c>
      <c r="L897" s="64" t="s">
        <v>1204</v>
      </c>
      <c r="M897" s="64" t="s">
        <v>1425</v>
      </c>
    </row>
    <row r="898" spans="1:13" s="65" customFormat="1" ht="12" customHeight="1" x14ac:dyDescent="0.2">
      <c r="A898" s="78">
        <v>237509</v>
      </c>
      <c r="B898" s="69" t="s">
        <v>951</v>
      </c>
      <c r="C898" s="60" t="s">
        <v>1196</v>
      </c>
      <c r="D898" s="66" t="s">
        <v>1201</v>
      </c>
      <c r="E898" s="66" t="s">
        <v>1547</v>
      </c>
      <c r="F898" s="66" t="s">
        <v>1714</v>
      </c>
      <c r="G898" s="60" t="s">
        <v>8</v>
      </c>
      <c r="H898" s="61">
        <v>1.4416666666666667</v>
      </c>
      <c r="I898" s="61"/>
      <c r="J898" s="62">
        <v>1.4416666666666667</v>
      </c>
      <c r="K898" s="63" t="s">
        <v>1718</v>
      </c>
      <c r="L898" s="64" t="s">
        <v>1201</v>
      </c>
      <c r="M898" s="64" t="s">
        <v>1547</v>
      </c>
    </row>
    <row r="899" spans="1:13" s="65" customFormat="1" ht="12" customHeight="1" x14ac:dyDescent="0.2">
      <c r="A899" s="78">
        <v>237562</v>
      </c>
      <c r="B899" s="69" t="s">
        <v>952</v>
      </c>
      <c r="C899" s="60" t="s">
        <v>1196</v>
      </c>
      <c r="D899" s="66" t="s">
        <v>1197</v>
      </c>
      <c r="E899" s="66" t="s">
        <v>1555</v>
      </c>
      <c r="F899" s="66" t="s">
        <v>1660</v>
      </c>
      <c r="G899" s="60" t="s">
        <v>7</v>
      </c>
      <c r="H899" s="61">
        <v>9.1666666666666661</v>
      </c>
      <c r="I899" s="61">
        <v>9.1666666666666661</v>
      </c>
      <c r="J899" s="62"/>
      <c r="K899" s="63" t="s">
        <v>1722</v>
      </c>
      <c r="L899" s="64" t="s">
        <v>1197</v>
      </c>
      <c r="M899" s="64" t="s">
        <v>1555</v>
      </c>
    </row>
    <row r="900" spans="1:13" s="65" customFormat="1" ht="12" customHeight="1" x14ac:dyDescent="0.2">
      <c r="A900" s="78">
        <v>237563</v>
      </c>
      <c r="B900" s="69" t="s">
        <v>953</v>
      </c>
      <c r="C900" s="60" t="s">
        <v>1196</v>
      </c>
      <c r="D900" s="66" t="s">
        <v>1204</v>
      </c>
      <c r="E900" s="66" t="s">
        <v>1556</v>
      </c>
      <c r="F900" s="66" t="s">
        <v>1715</v>
      </c>
      <c r="G900" s="60" t="s">
        <v>8</v>
      </c>
      <c r="H900" s="61">
        <v>0.45833333333333331</v>
      </c>
      <c r="I900" s="61"/>
      <c r="J900" s="62">
        <v>0.45833333333333331</v>
      </c>
      <c r="K900" s="63" t="s">
        <v>1718</v>
      </c>
      <c r="L900" s="64" t="s">
        <v>1204</v>
      </c>
      <c r="M900" s="64" t="s">
        <v>1556</v>
      </c>
    </row>
    <row r="901" spans="1:13" s="65" customFormat="1" ht="12" customHeight="1" x14ac:dyDescent="0.2">
      <c r="A901" s="78">
        <v>237564</v>
      </c>
      <c r="B901" s="69" t="s">
        <v>954</v>
      </c>
      <c r="C901" s="60" t="s">
        <v>1196</v>
      </c>
      <c r="D901" s="66" t="s">
        <v>1204</v>
      </c>
      <c r="E901" s="66" t="s">
        <v>1553</v>
      </c>
      <c r="F901" s="66" t="s">
        <v>1715</v>
      </c>
      <c r="G901" s="60" t="s">
        <v>8</v>
      </c>
      <c r="H901" s="61">
        <v>0.16666666666666666</v>
      </c>
      <c r="I901" s="61"/>
      <c r="J901" s="62">
        <v>0.16666666666666666</v>
      </c>
      <c r="K901" s="63" t="s">
        <v>1722</v>
      </c>
      <c r="L901" s="64" t="s">
        <v>1204</v>
      </c>
      <c r="M901" s="64" t="s">
        <v>1553</v>
      </c>
    </row>
    <row r="902" spans="1:13" s="65" customFormat="1" ht="12" customHeight="1" x14ac:dyDescent="0.2">
      <c r="A902" s="78">
        <v>237565</v>
      </c>
      <c r="B902" s="69" t="s">
        <v>955</v>
      </c>
      <c r="C902" s="60" t="s">
        <v>1196</v>
      </c>
      <c r="D902" s="66" t="s">
        <v>1204</v>
      </c>
      <c r="E902" s="66" t="s">
        <v>1560</v>
      </c>
      <c r="F902" s="66" t="s">
        <v>1712</v>
      </c>
      <c r="G902" s="60" t="s">
        <v>7</v>
      </c>
      <c r="H902" s="61">
        <v>1.6666666666666665</v>
      </c>
      <c r="I902" s="61">
        <v>1.6666666666666665</v>
      </c>
      <c r="J902" s="62"/>
      <c r="K902" s="63" t="s">
        <v>1722</v>
      </c>
      <c r="L902" s="64" t="s">
        <v>1204</v>
      </c>
      <c r="M902" s="64" t="s">
        <v>1560</v>
      </c>
    </row>
    <row r="903" spans="1:13" s="65" customFormat="1" ht="12" customHeight="1" x14ac:dyDescent="0.2">
      <c r="A903" s="78">
        <v>237566</v>
      </c>
      <c r="B903" s="69" t="s">
        <v>956</v>
      </c>
      <c r="C903" s="60" t="s">
        <v>1196</v>
      </c>
      <c r="D903" s="66" t="s">
        <v>1205</v>
      </c>
      <c r="E903" s="66" t="s">
        <v>1497</v>
      </c>
      <c r="F903" s="66" t="s">
        <v>1695</v>
      </c>
      <c r="G903" s="60" t="s">
        <v>7</v>
      </c>
      <c r="H903" s="61">
        <v>1.5923611111111111</v>
      </c>
      <c r="I903" s="61">
        <v>1.5923611111111111</v>
      </c>
      <c r="J903" s="62"/>
      <c r="K903" s="63" t="s">
        <v>1718</v>
      </c>
      <c r="L903" s="64" t="s">
        <v>1205</v>
      </c>
      <c r="M903" s="64" t="s">
        <v>1497</v>
      </c>
    </row>
    <row r="904" spans="1:13" s="65" customFormat="1" ht="12" customHeight="1" x14ac:dyDescent="0.2">
      <c r="A904" s="78">
        <v>237567</v>
      </c>
      <c r="B904" s="69" t="s">
        <v>957</v>
      </c>
      <c r="C904" s="60" t="s">
        <v>1196</v>
      </c>
      <c r="D904" s="66" t="s">
        <v>1202</v>
      </c>
      <c r="E904" s="66" t="s">
        <v>1344</v>
      </c>
      <c r="F904" s="66" t="s">
        <v>1626</v>
      </c>
      <c r="G904" s="60" t="s">
        <v>7</v>
      </c>
      <c r="H904" s="61">
        <v>0.5083333333333333</v>
      </c>
      <c r="I904" s="61">
        <v>0.5083333333333333</v>
      </c>
      <c r="J904" s="62"/>
      <c r="K904" s="63" t="s">
        <v>1718</v>
      </c>
      <c r="L904" s="64" t="s">
        <v>1202</v>
      </c>
      <c r="M904" s="64" t="s">
        <v>1344</v>
      </c>
    </row>
    <row r="905" spans="1:13" s="65" customFormat="1" ht="12" customHeight="1" x14ac:dyDescent="0.2">
      <c r="A905" s="78">
        <v>237575</v>
      </c>
      <c r="B905" s="69" t="s">
        <v>958</v>
      </c>
      <c r="C905" s="60" t="s">
        <v>1196</v>
      </c>
      <c r="D905" s="66" t="s">
        <v>1203</v>
      </c>
      <c r="E905" s="66" t="s">
        <v>1369</v>
      </c>
      <c r="F905" s="66" t="s">
        <v>1615</v>
      </c>
      <c r="G905" s="60" t="s">
        <v>8</v>
      </c>
      <c r="H905" s="61">
        <v>0.25277777777777777</v>
      </c>
      <c r="I905" s="61"/>
      <c r="J905" s="62">
        <v>0.25277777777777777</v>
      </c>
      <c r="K905" s="63" t="s">
        <v>1718</v>
      </c>
      <c r="L905" s="64" t="s">
        <v>1203</v>
      </c>
      <c r="M905" s="64" t="s">
        <v>1369</v>
      </c>
    </row>
    <row r="906" spans="1:13" s="65" customFormat="1" ht="12" customHeight="1" x14ac:dyDescent="0.2">
      <c r="A906" s="78">
        <v>237584</v>
      </c>
      <c r="B906" s="69" t="s">
        <v>959</v>
      </c>
      <c r="C906" s="60" t="s">
        <v>1196</v>
      </c>
      <c r="D906" s="66" t="s">
        <v>1204</v>
      </c>
      <c r="E906" s="66" t="s">
        <v>1425</v>
      </c>
      <c r="F906" s="66" t="s">
        <v>1690</v>
      </c>
      <c r="G906" s="60" t="s">
        <v>8</v>
      </c>
      <c r="H906" s="61">
        <v>7.6388888888888886E-3</v>
      </c>
      <c r="I906" s="61"/>
      <c r="J906" s="62">
        <v>7.6388888888888886E-3</v>
      </c>
      <c r="K906" s="63" t="s">
        <v>1718</v>
      </c>
      <c r="L906" s="64" t="s">
        <v>1204</v>
      </c>
      <c r="M906" s="64" t="s">
        <v>1425</v>
      </c>
    </row>
    <row r="907" spans="1:13" s="65" customFormat="1" ht="12" customHeight="1" x14ac:dyDescent="0.2">
      <c r="A907" s="78">
        <v>237593</v>
      </c>
      <c r="B907" s="69" t="s">
        <v>960</v>
      </c>
      <c r="C907" s="60" t="s">
        <v>1196</v>
      </c>
      <c r="D907" s="66" t="s">
        <v>1202</v>
      </c>
      <c r="E907" s="66" t="s">
        <v>1413</v>
      </c>
      <c r="F907" s="66" t="s">
        <v>1641</v>
      </c>
      <c r="G907" s="60" t="s">
        <v>7</v>
      </c>
      <c r="H907" s="61">
        <v>0.22083333333333333</v>
      </c>
      <c r="I907" s="61">
        <v>0.22083333333333333</v>
      </c>
      <c r="J907" s="62"/>
      <c r="K907" s="63" t="s">
        <v>1718</v>
      </c>
      <c r="L907" s="64" t="s">
        <v>1202</v>
      </c>
      <c r="M907" s="64" t="s">
        <v>1413</v>
      </c>
    </row>
    <row r="908" spans="1:13" s="65" customFormat="1" ht="12" customHeight="1" x14ac:dyDescent="0.2">
      <c r="A908" s="78">
        <v>237621</v>
      </c>
      <c r="B908" s="69" t="s">
        <v>961</v>
      </c>
      <c r="C908" s="60" t="s">
        <v>1196</v>
      </c>
      <c r="D908" s="66" t="s">
        <v>1201</v>
      </c>
      <c r="E908" s="66" t="s">
        <v>1367</v>
      </c>
      <c r="F908" s="66" t="s">
        <v>1673</v>
      </c>
      <c r="G908" s="60" t="s">
        <v>8</v>
      </c>
      <c r="H908" s="61">
        <v>1.2555555555555555</v>
      </c>
      <c r="I908" s="61"/>
      <c r="J908" s="62">
        <v>1.2555555555555555</v>
      </c>
      <c r="K908" s="63" t="s">
        <v>1718</v>
      </c>
      <c r="L908" s="64" t="s">
        <v>1201</v>
      </c>
      <c r="M908" s="64" t="s">
        <v>1367</v>
      </c>
    </row>
    <row r="909" spans="1:13" s="65" customFormat="1" ht="12" customHeight="1" x14ac:dyDescent="0.2">
      <c r="A909" s="78">
        <v>237622</v>
      </c>
      <c r="B909" s="69" t="s">
        <v>962</v>
      </c>
      <c r="C909" s="60" t="s">
        <v>1196</v>
      </c>
      <c r="D909" s="66" t="s">
        <v>1201</v>
      </c>
      <c r="E909" s="66" t="s">
        <v>1452</v>
      </c>
      <c r="F909" s="66" t="s">
        <v>1619</v>
      </c>
      <c r="G909" s="60" t="s">
        <v>7</v>
      </c>
      <c r="H909" s="61">
        <v>0.65694444444444444</v>
      </c>
      <c r="I909" s="61">
        <v>0.65694444444444444</v>
      </c>
      <c r="J909" s="62"/>
      <c r="K909" s="63" t="s">
        <v>1718</v>
      </c>
      <c r="L909" s="64" t="s">
        <v>1201</v>
      </c>
      <c r="M909" s="64" t="s">
        <v>1452</v>
      </c>
    </row>
    <row r="910" spans="1:13" s="65" customFormat="1" ht="12" customHeight="1" x14ac:dyDescent="0.2">
      <c r="A910" s="78">
        <v>237624</v>
      </c>
      <c r="B910" s="69" t="s">
        <v>963</v>
      </c>
      <c r="C910" s="60" t="s">
        <v>1196</v>
      </c>
      <c r="D910" s="66" t="s">
        <v>1199</v>
      </c>
      <c r="E910" s="66" t="s">
        <v>1487</v>
      </c>
      <c r="F910" s="66" t="s">
        <v>1686</v>
      </c>
      <c r="G910" s="60" t="s">
        <v>8</v>
      </c>
      <c r="H910" s="61">
        <v>6.7361111111111108E-2</v>
      </c>
      <c r="I910" s="61"/>
      <c r="J910" s="62">
        <v>6.7361111111111108E-2</v>
      </c>
      <c r="K910" s="63" t="s">
        <v>1718</v>
      </c>
      <c r="L910" s="64" t="s">
        <v>1199</v>
      </c>
      <c r="M910" s="64" t="s">
        <v>1487</v>
      </c>
    </row>
    <row r="911" spans="1:13" s="65" customFormat="1" ht="12" customHeight="1" x14ac:dyDescent="0.2">
      <c r="A911" s="78">
        <v>237629</v>
      </c>
      <c r="B911" s="69" t="s">
        <v>964</v>
      </c>
      <c r="C911" s="60" t="s">
        <v>1196</v>
      </c>
      <c r="D911" s="66" t="s">
        <v>1205</v>
      </c>
      <c r="E911" s="66" t="s">
        <v>1558</v>
      </c>
      <c r="F911" s="66" t="s">
        <v>1695</v>
      </c>
      <c r="G911" s="60" t="s">
        <v>8</v>
      </c>
      <c r="H911" s="61">
        <v>4.9305555555555554E-2</v>
      </c>
      <c r="I911" s="61"/>
      <c r="J911" s="62">
        <v>4.9305555555555554E-2</v>
      </c>
      <c r="K911" s="63" t="s">
        <v>1723</v>
      </c>
      <c r="L911" s="64" t="s">
        <v>1205</v>
      </c>
      <c r="M911" s="64" t="s">
        <v>1558</v>
      </c>
    </row>
    <row r="912" spans="1:13" s="65" customFormat="1" ht="12" customHeight="1" x14ac:dyDescent="0.2">
      <c r="A912" s="78">
        <v>237633</v>
      </c>
      <c r="B912" s="69" t="s">
        <v>965</v>
      </c>
      <c r="C912" s="60" t="s">
        <v>1196</v>
      </c>
      <c r="D912" s="66" t="s">
        <v>1200</v>
      </c>
      <c r="E912" s="66" t="s">
        <v>1247</v>
      </c>
      <c r="F912" s="66" t="s">
        <v>1613</v>
      </c>
      <c r="G912" s="60" t="s">
        <v>8</v>
      </c>
      <c r="H912" s="61">
        <v>0.64097222222222217</v>
      </c>
      <c r="I912" s="61"/>
      <c r="J912" s="62">
        <v>0.64097222222222217</v>
      </c>
      <c r="K912" s="63" t="s">
        <v>1722</v>
      </c>
      <c r="L912" s="64" t="s">
        <v>1200</v>
      </c>
      <c r="M912" s="64" t="s">
        <v>1247</v>
      </c>
    </row>
    <row r="913" spans="1:13" s="65" customFormat="1" ht="12" customHeight="1" x14ac:dyDescent="0.2">
      <c r="A913" s="78">
        <v>237634</v>
      </c>
      <c r="B913" s="69" t="s">
        <v>966</v>
      </c>
      <c r="C913" s="60" t="s">
        <v>1196</v>
      </c>
      <c r="D913" s="66" t="s">
        <v>1199</v>
      </c>
      <c r="E913" s="66" t="s">
        <v>1562</v>
      </c>
      <c r="F913" s="66" t="s">
        <v>1707</v>
      </c>
      <c r="G913" s="60" t="s">
        <v>7</v>
      </c>
      <c r="H913" s="61">
        <v>4.3055555555555562E-2</v>
      </c>
      <c r="I913" s="61">
        <v>4.3055555555555562E-2</v>
      </c>
      <c r="J913" s="62"/>
      <c r="K913" s="63" t="s">
        <v>1722</v>
      </c>
      <c r="L913" s="64" t="s">
        <v>1199</v>
      </c>
      <c r="M913" s="64" t="s">
        <v>1562</v>
      </c>
    </row>
    <row r="914" spans="1:13" s="65" customFormat="1" ht="12" customHeight="1" x14ac:dyDescent="0.2">
      <c r="A914" s="78">
        <v>237635</v>
      </c>
      <c r="B914" s="69" t="s">
        <v>967</v>
      </c>
      <c r="C914" s="60" t="s">
        <v>1196</v>
      </c>
      <c r="D914" s="66" t="s">
        <v>1205</v>
      </c>
      <c r="E914" s="66" t="s">
        <v>1435</v>
      </c>
      <c r="F914" s="66" t="s">
        <v>1695</v>
      </c>
      <c r="G914" s="60" t="s">
        <v>8</v>
      </c>
      <c r="H914" s="61">
        <v>0.42638888888888887</v>
      </c>
      <c r="I914" s="61"/>
      <c r="J914" s="62">
        <v>0.42638888888888887</v>
      </c>
      <c r="K914" s="63" t="s">
        <v>1718</v>
      </c>
      <c r="L914" s="64" t="s">
        <v>1205</v>
      </c>
      <c r="M914" s="64" t="s">
        <v>1435</v>
      </c>
    </row>
    <row r="915" spans="1:13" s="65" customFormat="1" ht="12" customHeight="1" x14ac:dyDescent="0.2">
      <c r="A915" s="78">
        <v>237666</v>
      </c>
      <c r="B915" s="69" t="s">
        <v>968</v>
      </c>
      <c r="C915" s="60" t="s">
        <v>1196</v>
      </c>
      <c r="D915" s="66" t="s">
        <v>1204</v>
      </c>
      <c r="E915" s="66" t="s">
        <v>1461</v>
      </c>
      <c r="F915" s="66" t="s">
        <v>1618</v>
      </c>
      <c r="G915" s="60" t="s">
        <v>8</v>
      </c>
      <c r="H915" s="61">
        <v>1.1395833333333334</v>
      </c>
      <c r="I915" s="61"/>
      <c r="J915" s="62">
        <v>1.1395833333333334</v>
      </c>
      <c r="K915" s="63" t="s">
        <v>1718</v>
      </c>
      <c r="L915" s="64" t="s">
        <v>1204</v>
      </c>
      <c r="M915" s="64" t="s">
        <v>1461</v>
      </c>
    </row>
    <row r="916" spans="1:13" s="65" customFormat="1" ht="12" customHeight="1" x14ac:dyDescent="0.2">
      <c r="A916" s="78">
        <v>237668</v>
      </c>
      <c r="B916" s="69" t="s">
        <v>969</v>
      </c>
      <c r="C916" s="60" t="s">
        <v>1196</v>
      </c>
      <c r="D916" s="66" t="s">
        <v>1201</v>
      </c>
      <c r="E916" s="66" t="s">
        <v>1347</v>
      </c>
      <c r="F916" s="66" t="s">
        <v>1616</v>
      </c>
      <c r="G916" s="60" t="s">
        <v>8</v>
      </c>
      <c r="H916" s="61">
        <v>1.1472222222222224</v>
      </c>
      <c r="I916" s="61"/>
      <c r="J916" s="62">
        <v>1.1472222222222224</v>
      </c>
      <c r="K916" s="63" t="s">
        <v>1718</v>
      </c>
      <c r="L916" s="64" t="s">
        <v>1201</v>
      </c>
      <c r="M916" s="64" t="s">
        <v>1347</v>
      </c>
    </row>
    <row r="917" spans="1:13" s="65" customFormat="1" ht="12" customHeight="1" x14ac:dyDescent="0.2">
      <c r="A917" s="78">
        <v>237669</v>
      </c>
      <c r="B917" s="69" t="s">
        <v>970</v>
      </c>
      <c r="C917" s="60" t="s">
        <v>1196</v>
      </c>
      <c r="D917" s="66" t="s">
        <v>1203</v>
      </c>
      <c r="E917" s="66" t="s">
        <v>1356</v>
      </c>
      <c r="F917" s="66" t="s">
        <v>1638</v>
      </c>
      <c r="G917" s="60" t="s">
        <v>8</v>
      </c>
      <c r="H917" s="61">
        <v>0.3743055555555555</v>
      </c>
      <c r="I917" s="61"/>
      <c r="J917" s="62">
        <v>0.3743055555555555</v>
      </c>
      <c r="K917" s="63" t="s">
        <v>1718</v>
      </c>
      <c r="L917" s="64" t="s">
        <v>1203</v>
      </c>
      <c r="M917" s="64" t="s">
        <v>1356</v>
      </c>
    </row>
    <row r="918" spans="1:13" s="65" customFormat="1" ht="12" customHeight="1" x14ac:dyDescent="0.2">
      <c r="A918" s="78">
        <v>237670</v>
      </c>
      <c r="B918" s="69" t="s">
        <v>971</v>
      </c>
      <c r="C918" s="60" t="s">
        <v>1196</v>
      </c>
      <c r="D918" s="66" t="s">
        <v>1204</v>
      </c>
      <c r="E918" s="66" t="s">
        <v>1461</v>
      </c>
      <c r="F918" s="66" t="s">
        <v>1618</v>
      </c>
      <c r="G918" s="60" t="s">
        <v>8</v>
      </c>
      <c r="H918" s="61">
        <v>0.92499999999999993</v>
      </c>
      <c r="I918" s="61"/>
      <c r="J918" s="62">
        <v>0.92499999999999993</v>
      </c>
      <c r="K918" s="63" t="s">
        <v>1718</v>
      </c>
      <c r="L918" s="64" t="s">
        <v>1204</v>
      </c>
      <c r="M918" s="64" t="s">
        <v>1461</v>
      </c>
    </row>
    <row r="919" spans="1:13" s="65" customFormat="1" ht="12" customHeight="1" x14ac:dyDescent="0.2">
      <c r="A919" s="78">
        <v>237672</v>
      </c>
      <c r="B919" s="69" t="s">
        <v>972</v>
      </c>
      <c r="C919" s="60" t="s">
        <v>1196</v>
      </c>
      <c r="D919" s="66" t="s">
        <v>1197</v>
      </c>
      <c r="E919" s="66" t="s">
        <v>1395</v>
      </c>
      <c r="F919" s="66" t="s">
        <v>1634</v>
      </c>
      <c r="G919" s="60" t="s">
        <v>8</v>
      </c>
      <c r="H919" s="61">
        <v>1.2437500000000001</v>
      </c>
      <c r="I919" s="61"/>
      <c r="J919" s="62">
        <v>1.2437500000000001</v>
      </c>
      <c r="K919" s="63" t="s">
        <v>1718</v>
      </c>
      <c r="L919" s="64" t="s">
        <v>1197</v>
      </c>
      <c r="M919" s="64" t="s">
        <v>1395</v>
      </c>
    </row>
    <row r="920" spans="1:13" s="65" customFormat="1" ht="12" customHeight="1" x14ac:dyDescent="0.2">
      <c r="A920" s="78">
        <v>237697</v>
      </c>
      <c r="B920" s="69" t="s">
        <v>973</v>
      </c>
      <c r="C920" s="60" t="s">
        <v>1196</v>
      </c>
      <c r="D920" s="66" t="s">
        <v>1204</v>
      </c>
      <c r="E920" s="66" t="s">
        <v>1502</v>
      </c>
      <c r="F920" s="66" t="s">
        <v>1705</v>
      </c>
      <c r="G920" s="60" t="s">
        <v>7</v>
      </c>
      <c r="H920" s="61">
        <v>0.43194444444444446</v>
      </c>
      <c r="I920" s="61">
        <v>0.43194444444444446</v>
      </c>
      <c r="J920" s="62"/>
      <c r="K920" s="63" t="s">
        <v>1718</v>
      </c>
      <c r="L920" s="64" t="s">
        <v>1204</v>
      </c>
      <c r="M920" s="64" t="s">
        <v>1502</v>
      </c>
    </row>
    <row r="921" spans="1:13" s="65" customFormat="1" ht="12" customHeight="1" x14ac:dyDescent="0.2">
      <c r="A921" s="78">
        <v>237698</v>
      </c>
      <c r="B921" s="69" t="s">
        <v>974</v>
      </c>
      <c r="C921" s="60" t="s">
        <v>1196</v>
      </c>
      <c r="D921" s="66" t="s">
        <v>1203</v>
      </c>
      <c r="E921" s="66" t="s">
        <v>1356</v>
      </c>
      <c r="F921" s="66" t="s">
        <v>1638</v>
      </c>
      <c r="G921" s="60" t="s">
        <v>8</v>
      </c>
      <c r="H921" s="61">
        <v>0.72291666666666676</v>
      </c>
      <c r="I921" s="61"/>
      <c r="J921" s="62">
        <v>0.72291666666666676</v>
      </c>
      <c r="K921" s="63" t="s">
        <v>1718</v>
      </c>
      <c r="L921" s="64" t="s">
        <v>1203</v>
      </c>
      <c r="M921" s="64" t="s">
        <v>1356</v>
      </c>
    </row>
    <row r="922" spans="1:13" s="65" customFormat="1" ht="12" customHeight="1" x14ac:dyDescent="0.2">
      <c r="A922" s="78">
        <v>237704</v>
      </c>
      <c r="B922" s="69" t="s">
        <v>975</v>
      </c>
      <c r="C922" s="60" t="s">
        <v>1196</v>
      </c>
      <c r="D922" s="66" t="s">
        <v>1204</v>
      </c>
      <c r="E922" s="66" t="s">
        <v>1532</v>
      </c>
      <c r="F922" s="66" t="s">
        <v>1712</v>
      </c>
      <c r="G922" s="60" t="s">
        <v>8</v>
      </c>
      <c r="H922" s="61">
        <v>2.9333333333333336</v>
      </c>
      <c r="I922" s="61"/>
      <c r="J922" s="62">
        <v>2.9333333333333336</v>
      </c>
      <c r="K922" s="63" t="s">
        <v>1718</v>
      </c>
      <c r="L922" s="64" t="s">
        <v>1204</v>
      </c>
      <c r="M922" s="64" t="s">
        <v>1532</v>
      </c>
    </row>
    <row r="923" spans="1:13" s="65" customFormat="1" ht="12" customHeight="1" x14ac:dyDescent="0.2">
      <c r="A923" s="78">
        <v>237707</v>
      </c>
      <c r="B923" s="69" t="s">
        <v>976</v>
      </c>
      <c r="C923" s="60" t="s">
        <v>1196</v>
      </c>
      <c r="D923" s="66" t="s">
        <v>1204</v>
      </c>
      <c r="E923" s="66" t="s">
        <v>1502</v>
      </c>
      <c r="F923" s="66" t="s">
        <v>1705</v>
      </c>
      <c r="G923" s="60" t="s">
        <v>7</v>
      </c>
      <c r="H923" s="61">
        <v>1.0993055555555555</v>
      </c>
      <c r="I923" s="61">
        <v>1.0993055555555555</v>
      </c>
      <c r="J923" s="62"/>
      <c r="K923" s="63" t="s">
        <v>1718</v>
      </c>
      <c r="L923" s="64" t="s">
        <v>1204</v>
      </c>
      <c r="M923" s="64" t="s">
        <v>1502</v>
      </c>
    </row>
    <row r="924" spans="1:13" s="65" customFormat="1" ht="12" customHeight="1" x14ac:dyDescent="0.2">
      <c r="A924" s="78">
        <v>237715</v>
      </c>
      <c r="B924" s="69" t="s">
        <v>977</v>
      </c>
      <c r="C924" s="60" t="s">
        <v>1196</v>
      </c>
      <c r="D924" s="66" t="s">
        <v>1204</v>
      </c>
      <c r="E924" s="66" t="s">
        <v>1461</v>
      </c>
      <c r="F924" s="66" t="s">
        <v>1618</v>
      </c>
      <c r="G924" s="60" t="s">
        <v>8</v>
      </c>
      <c r="H924" s="61">
        <v>0.72152777777777777</v>
      </c>
      <c r="I924" s="61"/>
      <c r="J924" s="62">
        <v>0.72152777777777777</v>
      </c>
      <c r="K924" s="63" t="s">
        <v>1718</v>
      </c>
      <c r="L924" s="64" t="s">
        <v>1204</v>
      </c>
      <c r="M924" s="64" t="s">
        <v>1461</v>
      </c>
    </row>
    <row r="925" spans="1:13" s="65" customFormat="1" ht="12" customHeight="1" x14ac:dyDescent="0.2">
      <c r="A925" s="78">
        <v>237726</v>
      </c>
      <c r="B925" s="69" t="s">
        <v>978</v>
      </c>
      <c r="C925" s="60" t="s">
        <v>1196</v>
      </c>
      <c r="D925" s="66" t="s">
        <v>1203</v>
      </c>
      <c r="E925" s="66" t="s">
        <v>1345</v>
      </c>
      <c r="F925" s="66" t="s">
        <v>1642</v>
      </c>
      <c r="G925" s="60" t="s">
        <v>7</v>
      </c>
      <c r="H925" s="61">
        <v>0.38819444444444445</v>
      </c>
      <c r="I925" s="61">
        <v>0.38819444444444445</v>
      </c>
      <c r="J925" s="62"/>
      <c r="K925" s="63" t="s">
        <v>1718</v>
      </c>
      <c r="L925" s="64" t="s">
        <v>1203</v>
      </c>
      <c r="M925" s="64" t="s">
        <v>1345</v>
      </c>
    </row>
    <row r="926" spans="1:13" s="65" customFormat="1" ht="12" customHeight="1" x14ac:dyDescent="0.2">
      <c r="A926" s="78">
        <v>237730</v>
      </c>
      <c r="B926" s="69" t="s">
        <v>979</v>
      </c>
      <c r="C926" s="60" t="s">
        <v>1196</v>
      </c>
      <c r="D926" s="66" t="s">
        <v>1204</v>
      </c>
      <c r="E926" s="66" t="s">
        <v>1403</v>
      </c>
      <c r="F926" s="66" t="s">
        <v>1602</v>
      </c>
      <c r="G926" s="60" t="s">
        <v>8</v>
      </c>
      <c r="H926" s="61">
        <v>0.11458333333333333</v>
      </c>
      <c r="I926" s="61"/>
      <c r="J926" s="62">
        <v>0.11458333333333333</v>
      </c>
      <c r="K926" s="63" t="s">
        <v>1718</v>
      </c>
      <c r="L926" s="64" t="s">
        <v>1204</v>
      </c>
      <c r="M926" s="64" t="s">
        <v>1403</v>
      </c>
    </row>
    <row r="927" spans="1:13" s="65" customFormat="1" ht="12" customHeight="1" x14ac:dyDescent="0.2">
      <c r="A927" s="78">
        <v>237742</v>
      </c>
      <c r="B927" s="69" t="s">
        <v>980</v>
      </c>
      <c r="C927" s="60" t="s">
        <v>1196</v>
      </c>
      <c r="D927" s="66" t="s">
        <v>1203</v>
      </c>
      <c r="E927" s="66" t="s">
        <v>1293</v>
      </c>
      <c r="F927" s="66" t="s">
        <v>1643</v>
      </c>
      <c r="G927" s="60" t="s">
        <v>7</v>
      </c>
      <c r="H927" s="61">
        <v>0.16458333333333333</v>
      </c>
      <c r="I927" s="61">
        <v>0.16458333333333333</v>
      </c>
      <c r="J927" s="62"/>
      <c r="K927" s="63" t="s">
        <v>1722</v>
      </c>
      <c r="L927" s="64" t="s">
        <v>1203</v>
      </c>
      <c r="M927" s="64" t="s">
        <v>1293</v>
      </c>
    </row>
    <row r="928" spans="1:13" s="65" customFormat="1" ht="12" customHeight="1" x14ac:dyDescent="0.2">
      <c r="A928" s="78">
        <v>237749</v>
      </c>
      <c r="B928" s="69" t="s">
        <v>981</v>
      </c>
      <c r="C928" s="60" t="s">
        <v>1196</v>
      </c>
      <c r="D928" s="66" t="s">
        <v>1200</v>
      </c>
      <c r="E928" s="66" t="s">
        <v>1228</v>
      </c>
      <c r="F928" s="66" t="s">
        <v>1597</v>
      </c>
      <c r="G928" s="60" t="s">
        <v>8</v>
      </c>
      <c r="H928" s="61">
        <v>0.26041666666666669</v>
      </c>
      <c r="I928" s="61"/>
      <c r="J928" s="62">
        <v>0.26041666666666669</v>
      </c>
      <c r="K928" s="63" t="s">
        <v>1722</v>
      </c>
      <c r="L928" s="64" t="s">
        <v>1200</v>
      </c>
      <c r="M928" s="64" t="s">
        <v>1228</v>
      </c>
    </row>
    <row r="929" spans="1:13" s="65" customFormat="1" ht="12" customHeight="1" x14ac:dyDescent="0.2">
      <c r="A929" s="78">
        <v>237750</v>
      </c>
      <c r="B929" s="69" t="s">
        <v>982</v>
      </c>
      <c r="C929" s="60" t="s">
        <v>1196</v>
      </c>
      <c r="D929" s="66" t="s">
        <v>1201</v>
      </c>
      <c r="E929" s="66" t="s">
        <v>1565</v>
      </c>
      <c r="F929" s="66" t="s">
        <v>1714</v>
      </c>
      <c r="G929" s="60" t="s">
        <v>7</v>
      </c>
      <c r="H929" s="61">
        <v>3.0555555555555555E-2</v>
      </c>
      <c r="I929" s="61">
        <v>3.0555555555555555E-2</v>
      </c>
      <c r="J929" s="62"/>
      <c r="K929" s="63" t="s">
        <v>1722</v>
      </c>
      <c r="L929" s="64" t="s">
        <v>1201</v>
      </c>
      <c r="M929" s="64" t="s">
        <v>1565</v>
      </c>
    </row>
    <row r="930" spans="1:13" s="65" customFormat="1" ht="12" customHeight="1" x14ac:dyDescent="0.2">
      <c r="A930" s="78">
        <v>237751</v>
      </c>
      <c r="B930" s="69" t="s">
        <v>983</v>
      </c>
      <c r="C930" s="60" t="s">
        <v>1196</v>
      </c>
      <c r="D930" s="66" t="s">
        <v>1198</v>
      </c>
      <c r="E930" s="66" t="s">
        <v>1338</v>
      </c>
      <c r="F930" s="66" t="s">
        <v>1664</v>
      </c>
      <c r="G930" s="60" t="s">
        <v>7</v>
      </c>
      <c r="H930" s="61">
        <v>9.0972222222222218E-2</v>
      </c>
      <c r="I930" s="61">
        <v>9.0972222222222218E-2</v>
      </c>
      <c r="J930" s="62"/>
      <c r="K930" s="63" t="s">
        <v>1723</v>
      </c>
      <c r="L930" s="64" t="s">
        <v>1198</v>
      </c>
      <c r="M930" s="64" t="s">
        <v>1338</v>
      </c>
    </row>
    <row r="931" spans="1:13" s="65" customFormat="1" ht="12" customHeight="1" x14ac:dyDescent="0.2">
      <c r="A931" s="78">
        <v>237754</v>
      </c>
      <c r="B931" s="69" t="s">
        <v>984</v>
      </c>
      <c r="C931" s="60" t="s">
        <v>1196</v>
      </c>
      <c r="D931" s="66" t="s">
        <v>1204</v>
      </c>
      <c r="E931" s="66" t="s">
        <v>1566</v>
      </c>
      <c r="F931" s="66" t="s">
        <v>1717</v>
      </c>
      <c r="G931" s="60" t="s">
        <v>8</v>
      </c>
      <c r="H931" s="61">
        <v>0.70000000000000007</v>
      </c>
      <c r="I931" s="61"/>
      <c r="J931" s="62">
        <v>0.70000000000000007</v>
      </c>
      <c r="K931" s="63" t="s">
        <v>1718</v>
      </c>
      <c r="L931" s="64" t="s">
        <v>1204</v>
      </c>
      <c r="M931" s="64" t="s">
        <v>1566</v>
      </c>
    </row>
    <row r="932" spans="1:13" s="65" customFormat="1" ht="12" customHeight="1" x14ac:dyDescent="0.2">
      <c r="A932" s="78">
        <v>237791</v>
      </c>
      <c r="B932" s="69" t="s">
        <v>985</v>
      </c>
      <c r="C932" s="60" t="s">
        <v>1196</v>
      </c>
      <c r="D932" s="66" t="s">
        <v>1204</v>
      </c>
      <c r="E932" s="66" t="s">
        <v>1388</v>
      </c>
      <c r="F932" s="66" t="s">
        <v>1612</v>
      </c>
      <c r="G932" s="60" t="s">
        <v>8</v>
      </c>
      <c r="H932" s="61">
        <v>1.971527777777778</v>
      </c>
      <c r="I932" s="61"/>
      <c r="J932" s="62">
        <v>1.971527777777778</v>
      </c>
      <c r="K932" s="63" t="s">
        <v>1718</v>
      </c>
      <c r="L932" s="64" t="s">
        <v>1204</v>
      </c>
      <c r="M932" s="64" t="s">
        <v>1388</v>
      </c>
    </row>
    <row r="933" spans="1:13" s="65" customFormat="1" ht="12" customHeight="1" x14ac:dyDescent="0.2">
      <c r="A933" s="78">
        <v>237800</v>
      </c>
      <c r="B933" s="69" t="s">
        <v>986</v>
      </c>
      <c r="C933" s="60" t="s">
        <v>1196</v>
      </c>
      <c r="D933" s="66" t="s">
        <v>1198</v>
      </c>
      <c r="E933" s="66" t="s">
        <v>1495</v>
      </c>
      <c r="F933" s="66" t="s">
        <v>1672</v>
      </c>
      <c r="G933" s="60" t="s">
        <v>7</v>
      </c>
      <c r="H933" s="61">
        <v>0.16597222222222222</v>
      </c>
      <c r="I933" s="61">
        <v>0.16597222222222222</v>
      </c>
      <c r="J933" s="62"/>
      <c r="K933" s="63" t="s">
        <v>1723</v>
      </c>
      <c r="L933" s="64" t="s">
        <v>1198</v>
      </c>
      <c r="M933" s="64" t="s">
        <v>1495</v>
      </c>
    </row>
    <row r="934" spans="1:13" s="65" customFormat="1" ht="12" customHeight="1" x14ac:dyDescent="0.2">
      <c r="A934" s="78">
        <v>237801</v>
      </c>
      <c r="B934" s="69" t="s">
        <v>987</v>
      </c>
      <c r="C934" s="60" t="s">
        <v>1196</v>
      </c>
      <c r="D934" s="66" t="s">
        <v>1201</v>
      </c>
      <c r="E934" s="66" t="s">
        <v>1565</v>
      </c>
      <c r="F934" s="66" t="s">
        <v>1714</v>
      </c>
      <c r="G934" s="60" t="s">
        <v>8</v>
      </c>
      <c r="H934" s="61">
        <v>0.76944444444444438</v>
      </c>
      <c r="I934" s="61"/>
      <c r="J934" s="62">
        <v>0.76944444444444438</v>
      </c>
      <c r="K934" s="63" t="s">
        <v>1723</v>
      </c>
      <c r="L934" s="64" t="s">
        <v>1201</v>
      </c>
      <c r="M934" s="64" t="s">
        <v>1565</v>
      </c>
    </row>
    <row r="935" spans="1:13" s="65" customFormat="1" ht="12" customHeight="1" x14ac:dyDescent="0.2">
      <c r="A935" s="78">
        <v>237829</v>
      </c>
      <c r="B935" s="69" t="s">
        <v>988</v>
      </c>
      <c r="C935" s="60" t="s">
        <v>1196</v>
      </c>
      <c r="D935" s="66" t="s">
        <v>1201</v>
      </c>
      <c r="E935" s="66" t="s">
        <v>1362</v>
      </c>
      <c r="F935" s="66" t="s">
        <v>1601</v>
      </c>
      <c r="G935" s="60" t="s">
        <v>8</v>
      </c>
      <c r="H935" s="61">
        <v>1.3194444444444444E-2</v>
      </c>
      <c r="I935" s="61"/>
      <c r="J935" s="62">
        <v>1.3194444444444444E-2</v>
      </c>
      <c r="K935" s="63" t="s">
        <v>1718</v>
      </c>
      <c r="L935" s="64" t="s">
        <v>1201</v>
      </c>
      <c r="M935" s="64" t="s">
        <v>1362</v>
      </c>
    </row>
    <row r="936" spans="1:13" s="65" customFormat="1" ht="12" customHeight="1" x14ac:dyDescent="0.2">
      <c r="A936" s="78">
        <v>237832</v>
      </c>
      <c r="B936" s="69" t="s">
        <v>989</v>
      </c>
      <c r="C936" s="60" t="s">
        <v>1196</v>
      </c>
      <c r="D936" s="66" t="s">
        <v>1197</v>
      </c>
      <c r="E936" s="66" t="s">
        <v>1483</v>
      </c>
      <c r="F936" s="66" t="s">
        <v>1704</v>
      </c>
      <c r="G936" s="60" t="s">
        <v>7</v>
      </c>
      <c r="H936" s="61">
        <v>3.6111111111111115E-2</v>
      </c>
      <c r="I936" s="61">
        <v>3.6111111111111115E-2</v>
      </c>
      <c r="J936" s="62"/>
      <c r="K936" s="63" t="s">
        <v>1718</v>
      </c>
      <c r="L936" s="64" t="s">
        <v>1197</v>
      </c>
      <c r="M936" s="64" t="s">
        <v>1483</v>
      </c>
    </row>
    <row r="937" spans="1:13" s="65" customFormat="1" ht="12" customHeight="1" x14ac:dyDescent="0.2">
      <c r="A937" s="78">
        <v>237838</v>
      </c>
      <c r="B937" s="69" t="s">
        <v>990</v>
      </c>
      <c r="C937" s="60" t="s">
        <v>1196</v>
      </c>
      <c r="D937" s="66" t="s">
        <v>1197</v>
      </c>
      <c r="E937" s="66" t="s">
        <v>1471</v>
      </c>
      <c r="F937" s="66" t="s">
        <v>1636</v>
      </c>
      <c r="G937" s="60" t="s">
        <v>7</v>
      </c>
      <c r="H937" s="61">
        <v>0.11666666666666665</v>
      </c>
      <c r="I937" s="61">
        <v>0.11666666666666665</v>
      </c>
      <c r="J937" s="62"/>
      <c r="K937" s="63" t="s">
        <v>1718</v>
      </c>
      <c r="L937" s="64" t="s">
        <v>1197</v>
      </c>
      <c r="M937" s="64" t="s">
        <v>1471</v>
      </c>
    </row>
    <row r="938" spans="1:13" s="65" customFormat="1" ht="12" customHeight="1" x14ac:dyDescent="0.2">
      <c r="A938" s="78">
        <v>237886</v>
      </c>
      <c r="B938" s="69" t="s">
        <v>991</v>
      </c>
      <c r="C938" s="60" t="s">
        <v>1196</v>
      </c>
      <c r="D938" s="66" t="s">
        <v>1197</v>
      </c>
      <c r="E938" s="66" t="s">
        <v>1206</v>
      </c>
      <c r="F938" s="66" t="s">
        <v>1585</v>
      </c>
      <c r="G938" s="60" t="s">
        <v>7</v>
      </c>
      <c r="H938" s="61">
        <v>8.4722222222222213E-2</v>
      </c>
      <c r="I938" s="61">
        <v>8.4722222222222213E-2</v>
      </c>
      <c r="J938" s="62"/>
      <c r="K938" s="63" t="s">
        <v>1718</v>
      </c>
      <c r="L938" s="64" t="s">
        <v>1197</v>
      </c>
      <c r="M938" s="64" t="s">
        <v>1206</v>
      </c>
    </row>
    <row r="939" spans="1:13" s="65" customFormat="1" ht="12" customHeight="1" x14ac:dyDescent="0.2">
      <c r="A939" s="78">
        <v>237897</v>
      </c>
      <c r="B939" s="69" t="s">
        <v>992</v>
      </c>
      <c r="C939" s="60" t="s">
        <v>1196</v>
      </c>
      <c r="D939" s="66" t="s">
        <v>1204</v>
      </c>
      <c r="E939" s="66" t="s">
        <v>1567</v>
      </c>
      <c r="F939" s="66" t="s">
        <v>1717</v>
      </c>
      <c r="G939" s="60" t="s">
        <v>8</v>
      </c>
      <c r="H939" s="61">
        <v>5.8333333333333327E-2</v>
      </c>
      <c r="I939" s="61"/>
      <c r="J939" s="62">
        <v>5.8333333333333327E-2</v>
      </c>
      <c r="K939" s="63" t="s">
        <v>1722</v>
      </c>
      <c r="L939" s="64" t="s">
        <v>1204</v>
      </c>
      <c r="M939" s="64" t="s">
        <v>1567</v>
      </c>
    </row>
    <row r="940" spans="1:13" s="65" customFormat="1" ht="12" customHeight="1" x14ac:dyDescent="0.2">
      <c r="A940" s="78">
        <v>237899</v>
      </c>
      <c r="B940" s="69" t="s">
        <v>993</v>
      </c>
      <c r="C940" s="60" t="s">
        <v>1196</v>
      </c>
      <c r="D940" s="66" t="s">
        <v>1204</v>
      </c>
      <c r="E940" s="66" t="s">
        <v>1567</v>
      </c>
      <c r="F940" s="66" t="s">
        <v>1717</v>
      </c>
      <c r="G940" s="60" t="s">
        <v>8</v>
      </c>
      <c r="H940" s="61">
        <v>6.6666666666666666E-2</v>
      </c>
      <c r="I940" s="61"/>
      <c r="J940" s="62">
        <v>6.6666666666666666E-2</v>
      </c>
      <c r="K940" s="63" t="s">
        <v>1723</v>
      </c>
      <c r="L940" s="64" t="s">
        <v>1204</v>
      </c>
      <c r="M940" s="64" t="s">
        <v>1567</v>
      </c>
    </row>
    <row r="941" spans="1:13" s="65" customFormat="1" ht="12" customHeight="1" x14ac:dyDescent="0.2">
      <c r="A941" s="78">
        <v>237900</v>
      </c>
      <c r="B941" s="69" t="s">
        <v>994</v>
      </c>
      <c r="C941" s="60" t="s">
        <v>1196</v>
      </c>
      <c r="D941" s="66" t="s">
        <v>1204</v>
      </c>
      <c r="E941" s="66" t="s">
        <v>1566</v>
      </c>
      <c r="F941" s="66" t="s">
        <v>1717</v>
      </c>
      <c r="G941" s="60" t="s">
        <v>8</v>
      </c>
      <c r="H941" s="61">
        <v>0.64166666666666672</v>
      </c>
      <c r="I941" s="61"/>
      <c r="J941" s="62">
        <v>0.64166666666666672</v>
      </c>
      <c r="K941" s="63" t="s">
        <v>1718</v>
      </c>
      <c r="L941" s="64" t="s">
        <v>1204</v>
      </c>
      <c r="M941" s="64" t="s">
        <v>1566</v>
      </c>
    </row>
    <row r="942" spans="1:13" s="65" customFormat="1" ht="12" customHeight="1" x14ac:dyDescent="0.2">
      <c r="A942" s="78">
        <v>237901</v>
      </c>
      <c r="B942" s="69" t="s">
        <v>995</v>
      </c>
      <c r="C942" s="60" t="s">
        <v>1196</v>
      </c>
      <c r="D942" s="66" t="s">
        <v>1204</v>
      </c>
      <c r="E942" s="66" t="s">
        <v>1566</v>
      </c>
      <c r="F942" s="66" t="s">
        <v>1717</v>
      </c>
      <c r="G942" s="60" t="s">
        <v>8</v>
      </c>
      <c r="H942" s="61">
        <v>0.80833333333333324</v>
      </c>
      <c r="I942" s="61"/>
      <c r="J942" s="62">
        <v>0.80833333333333324</v>
      </c>
      <c r="K942" s="63" t="s">
        <v>1718</v>
      </c>
      <c r="L942" s="64" t="s">
        <v>1204</v>
      </c>
      <c r="M942" s="64" t="s">
        <v>1566</v>
      </c>
    </row>
    <row r="943" spans="1:13" s="65" customFormat="1" ht="12" customHeight="1" x14ac:dyDescent="0.2">
      <c r="A943" s="78">
        <v>237914</v>
      </c>
      <c r="B943" s="69" t="s">
        <v>996</v>
      </c>
      <c r="C943" s="60" t="s">
        <v>1196</v>
      </c>
      <c r="D943" s="66" t="s">
        <v>1199</v>
      </c>
      <c r="E943" s="66" t="s">
        <v>1443</v>
      </c>
      <c r="F943" s="66" t="s">
        <v>1698</v>
      </c>
      <c r="G943" s="60" t="s">
        <v>8</v>
      </c>
      <c r="H943" s="61">
        <v>0.27986111111111112</v>
      </c>
      <c r="I943" s="61"/>
      <c r="J943" s="62">
        <v>0.27986111111111112</v>
      </c>
      <c r="K943" s="63" t="s">
        <v>1718</v>
      </c>
      <c r="L943" s="64" t="s">
        <v>1199</v>
      </c>
      <c r="M943" s="64" t="s">
        <v>1443</v>
      </c>
    </row>
    <row r="944" spans="1:13" s="65" customFormat="1" ht="12" customHeight="1" x14ac:dyDescent="0.2">
      <c r="A944" s="78">
        <v>237934</v>
      </c>
      <c r="B944" s="69" t="s">
        <v>997</v>
      </c>
      <c r="C944" s="60" t="s">
        <v>1196</v>
      </c>
      <c r="D944" s="66" t="s">
        <v>1204</v>
      </c>
      <c r="E944" s="66" t="s">
        <v>1560</v>
      </c>
      <c r="F944" s="66" t="s">
        <v>1712</v>
      </c>
      <c r="G944" s="60" t="s">
        <v>7</v>
      </c>
      <c r="H944" s="61">
        <v>0.5</v>
      </c>
      <c r="I944" s="61">
        <v>0.5</v>
      </c>
      <c r="J944" s="62"/>
      <c r="K944" s="63" t="s">
        <v>1723</v>
      </c>
      <c r="L944" s="64" t="s">
        <v>1204</v>
      </c>
      <c r="M944" s="64" t="s">
        <v>1560</v>
      </c>
    </row>
    <row r="945" spans="1:13" s="65" customFormat="1" ht="12" customHeight="1" x14ac:dyDescent="0.2">
      <c r="A945" s="78">
        <v>237937</v>
      </c>
      <c r="B945" s="69" t="s">
        <v>998</v>
      </c>
      <c r="C945" s="60" t="s">
        <v>1196</v>
      </c>
      <c r="D945" s="66" t="s">
        <v>1205</v>
      </c>
      <c r="E945" s="66" t="s">
        <v>1558</v>
      </c>
      <c r="F945" s="66" t="s">
        <v>1695</v>
      </c>
      <c r="G945" s="60" t="s">
        <v>8</v>
      </c>
      <c r="H945" s="61">
        <v>4.9999999999999996E-2</v>
      </c>
      <c r="I945" s="61"/>
      <c r="J945" s="62">
        <v>4.9999999999999996E-2</v>
      </c>
      <c r="K945" s="63" t="s">
        <v>1723</v>
      </c>
      <c r="L945" s="64" t="s">
        <v>1205</v>
      </c>
      <c r="M945" s="64" t="s">
        <v>1558</v>
      </c>
    </row>
    <row r="946" spans="1:13" s="65" customFormat="1" ht="12" customHeight="1" x14ac:dyDescent="0.2">
      <c r="A946" s="78">
        <v>237944</v>
      </c>
      <c r="B946" s="69" t="s">
        <v>999</v>
      </c>
      <c r="C946" s="60" t="s">
        <v>1196</v>
      </c>
      <c r="D946" s="66" t="s">
        <v>1200</v>
      </c>
      <c r="E946" s="66" t="s">
        <v>1449</v>
      </c>
      <c r="F946" s="66" t="s">
        <v>1699</v>
      </c>
      <c r="G946" s="60" t="s">
        <v>8</v>
      </c>
      <c r="H946" s="61">
        <v>0.86458333333333337</v>
      </c>
      <c r="I946" s="61"/>
      <c r="J946" s="62">
        <v>0.86458333333333337</v>
      </c>
      <c r="K946" s="63" t="s">
        <v>1718</v>
      </c>
      <c r="L946" s="64" t="s">
        <v>1200</v>
      </c>
      <c r="M946" s="64" t="s">
        <v>1449</v>
      </c>
    </row>
    <row r="947" spans="1:13" s="65" customFormat="1" ht="12" customHeight="1" x14ac:dyDescent="0.2">
      <c r="A947" s="78">
        <v>238036</v>
      </c>
      <c r="B947" s="69" t="s">
        <v>1000</v>
      </c>
      <c r="C947" s="60" t="s">
        <v>1196</v>
      </c>
      <c r="D947" s="66" t="s">
        <v>1204</v>
      </c>
      <c r="E947" s="66" t="s">
        <v>1388</v>
      </c>
      <c r="F947" s="66" t="s">
        <v>1612</v>
      </c>
      <c r="G947" s="60" t="s">
        <v>8</v>
      </c>
      <c r="H947" s="61">
        <v>0.3666666666666667</v>
      </c>
      <c r="I947" s="61"/>
      <c r="J947" s="62">
        <v>0.3666666666666667</v>
      </c>
      <c r="K947" s="63" t="s">
        <v>1718</v>
      </c>
      <c r="L947" s="64" t="s">
        <v>1204</v>
      </c>
      <c r="M947" s="64" t="s">
        <v>1388</v>
      </c>
    </row>
    <row r="948" spans="1:13" s="65" customFormat="1" ht="12" customHeight="1" x14ac:dyDescent="0.2">
      <c r="A948" s="78">
        <v>238038</v>
      </c>
      <c r="B948" s="69" t="s">
        <v>1001</v>
      </c>
      <c r="C948" s="60" t="s">
        <v>1196</v>
      </c>
      <c r="D948" s="66" t="s">
        <v>1205</v>
      </c>
      <c r="E948" s="66" t="s">
        <v>1468</v>
      </c>
      <c r="F948" s="66" t="s">
        <v>1689</v>
      </c>
      <c r="G948" s="60" t="s">
        <v>7</v>
      </c>
      <c r="H948" s="61">
        <v>0.53472222222222221</v>
      </c>
      <c r="I948" s="61">
        <v>0.53472222222222221</v>
      </c>
      <c r="J948" s="62"/>
      <c r="K948" s="63" t="s">
        <v>1718</v>
      </c>
      <c r="L948" s="64" t="s">
        <v>1205</v>
      </c>
      <c r="M948" s="64" t="s">
        <v>1468</v>
      </c>
    </row>
    <row r="949" spans="1:13" s="65" customFormat="1" ht="12" customHeight="1" x14ac:dyDescent="0.2">
      <c r="A949" s="78">
        <v>238045</v>
      </c>
      <c r="B949" s="69" t="s">
        <v>1002</v>
      </c>
      <c r="C949" s="60" t="s">
        <v>1196</v>
      </c>
      <c r="D949" s="66" t="s">
        <v>1202</v>
      </c>
      <c r="E949" s="66" t="s">
        <v>1489</v>
      </c>
      <c r="F949" s="66" t="s">
        <v>1659</v>
      </c>
      <c r="G949" s="60" t="s">
        <v>7</v>
      </c>
      <c r="H949" s="61">
        <v>0.62430555555555556</v>
      </c>
      <c r="I949" s="61">
        <v>0.62430555555555556</v>
      </c>
      <c r="J949" s="62"/>
      <c r="K949" s="63" t="s">
        <v>1718</v>
      </c>
      <c r="L949" s="64" t="s">
        <v>1202</v>
      </c>
      <c r="M949" s="64" t="s">
        <v>1489</v>
      </c>
    </row>
    <row r="950" spans="1:13" s="65" customFormat="1" ht="12" customHeight="1" x14ac:dyDescent="0.2">
      <c r="A950" s="78">
        <v>238046</v>
      </c>
      <c r="B950" s="69" t="s">
        <v>1003</v>
      </c>
      <c r="C950" s="60" t="s">
        <v>1196</v>
      </c>
      <c r="D950" s="66" t="s">
        <v>1205</v>
      </c>
      <c r="E950" s="66" t="s">
        <v>1534</v>
      </c>
      <c r="F950" s="66" t="s">
        <v>1689</v>
      </c>
      <c r="G950" s="60" t="s">
        <v>8</v>
      </c>
      <c r="H950" s="61">
        <v>0.19444444444444445</v>
      </c>
      <c r="I950" s="61"/>
      <c r="J950" s="62">
        <v>0.19444444444444445</v>
      </c>
      <c r="K950" s="63" t="s">
        <v>1718</v>
      </c>
      <c r="L950" s="64" t="s">
        <v>1205</v>
      </c>
      <c r="M950" s="64" t="s">
        <v>1534</v>
      </c>
    </row>
    <row r="951" spans="1:13" s="65" customFormat="1" ht="12" customHeight="1" x14ac:dyDescent="0.2">
      <c r="A951" s="78">
        <v>238048</v>
      </c>
      <c r="B951" s="69" t="s">
        <v>1004</v>
      </c>
      <c r="C951" s="60" t="s">
        <v>1196</v>
      </c>
      <c r="D951" s="66" t="s">
        <v>1201</v>
      </c>
      <c r="E951" s="66" t="s">
        <v>1380</v>
      </c>
      <c r="F951" s="66" t="s">
        <v>1614</v>
      </c>
      <c r="G951" s="60" t="s">
        <v>8</v>
      </c>
      <c r="H951" s="61">
        <v>0.84513888888888899</v>
      </c>
      <c r="I951" s="61"/>
      <c r="J951" s="62">
        <v>0.84513888888888899</v>
      </c>
      <c r="K951" s="63" t="s">
        <v>1718</v>
      </c>
      <c r="L951" s="64" t="s">
        <v>1201</v>
      </c>
      <c r="M951" s="64" t="s">
        <v>1380</v>
      </c>
    </row>
    <row r="952" spans="1:13" s="65" customFormat="1" ht="12" customHeight="1" x14ac:dyDescent="0.2">
      <c r="A952" s="78">
        <v>238051</v>
      </c>
      <c r="B952" s="69" t="s">
        <v>1005</v>
      </c>
      <c r="C952" s="60" t="s">
        <v>1196</v>
      </c>
      <c r="D952" s="66" t="s">
        <v>1205</v>
      </c>
      <c r="E952" s="66" t="s">
        <v>1438</v>
      </c>
      <c r="F952" s="66" t="s">
        <v>1689</v>
      </c>
      <c r="G952" s="60" t="s">
        <v>8</v>
      </c>
      <c r="H952" s="61">
        <v>0.35069444444444442</v>
      </c>
      <c r="I952" s="61"/>
      <c r="J952" s="62">
        <v>0.35069444444444442</v>
      </c>
      <c r="K952" s="63" t="s">
        <v>1718</v>
      </c>
      <c r="L952" s="64" t="s">
        <v>1205</v>
      </c>
      <c r="M952" s="64" t="s">
        <v>1438</v>
      </c>
    </row>
    <row r="953" spans="1:13" s="65" customFormat="1" ht="12" customHeight="1" x14ac:dyDescent="0.2">
      <c r="A953" s="78">
        <v>238052</v>
      </c>
      <c r="B953" s="69" t="s">
        <v>1006</v>
      </c>
      <c r="C953" s="60" t="s">
        <v>1196</v>
      </c>
      <c r="D953" s="66" t="s">
        <v>1203</v>
      </c>
      <c r="E953" s="66" t="s">
        <v>1334</v>
      </c>
      <c r="F953" s="66" t="s">
        <v>1639</v>
      </c>
      <c r="G953" s="60" t="s">
        <v>8</v>
      </c>
      <c r="H953" s="61">
        <v>0.45</v>
      </c>
      <c r="I953" s="61"/>
      <c r="J953" s="62">
        <v>0.45</v>
      </c>
      <c r="K953" s="63" t="s">
        <v>1718</v>
      </c>
      <c r="L953" s="64" t="s">
        <v>1203</v>
      </c>
      <c r="M953" s="64" t="s">
        <v>1334</v>
      </c>
    </row>
    <row r="954" spans="1:13" s="65" customFormat="1" ht="12" customHeight="1" x14ac:dyDescent="0.2">
      <c r="A954" s="78">
        <v>238053</v>
      </c>
      <c r="B954" s="69" t="s">
        <v>1007</v>
      </c>
      <c r="C954" s="60" t="s">
        <v>1196</v>
      </c>
      <c r="D954" s="66" t="s">
        <v>1205</v>
      </c>
      <c r="E954" s="66" t="s">
        <v>1534</v>
      </c>
      <c r="F954" s="66" t="s">
        <v>1689</v>
      </c>
      <c r="G954" s="60" t="s">
        <v>8</v>
      </c>
      <c r="H954" s="61">
        <v>0.8027777777777777</v>
      </c>
      <c r="I954" s="61"/>
      <c r="J954" s="62">
        <v>0.8027777777777777</v>
      </c>
      <c r="K954" s="63" t="s">
        <v>1718</v>
      </c>
      <c r="L954" s="64" t="s">
        <v>1205</v>
      </c>
      <c r="M954" s="64" t="s">
        <v>1534</v>
      </c>
    </row>
    <row r="955" spans="1:13" s="65" customFormat="1" ht="12" customHeight="1" x14ac:dyDescent="0.2">
      <c r="A955" s="78">
        <v>238086</v>
      </c>
      <c r="B955" s="69" t="s">
        <v>1008</v>
      </c>
      <c r="C955" s="60" t="s">
        <v>1196</v>
      </c>
      <c r="D955" s="66" t="s">
        <v>1197</v>
      </c>
      <c r="E955" s="66" t="s">
        <v>1568</v>
      </c>
      <c r="F955" s="66" t="s">
        <v>1660</v>
      </c>
      <c r="G955" s="60" t="s">
        <v>7</v>
      </c>
      <c r="H955" s="61">
        <v>0.3666666666666667</v>
      </c>
      <c r="I955" s="61">
        <v>0.3666666666666667</v>
      </c>
      <c r="J955" s="62"/>
      <c r="K955" s="63" t="s">
        <v>1718</v>
      </c>
      <c r="L955" s="64" t="s">
        <v>1197</v>
      </c>
      <c r="M955" s="64" t="s">
        <v>1568</v>
      </c>
    </row>
    <row r="956" spans="1:13" s="65" customFormat="1" ht="12" customHeight="1" x14ac:dyDescent="0.2">
      <c r="A956" s="78">
        <v>238087</v>
      </c>
      <c r="B956" s="69" t="s">
        <v>1009</v>
      </c>
      <c r="C956" s="60" t="s">
        <v>1196</v>
      </c>
      <c r="D956" s="66" t="s">
        <v>1202</v>
      </c>
      <c r="E956" s="66" t="s">
        <v>1489</v>
      </c>
      <c r="F956" s="66" t="s">
        <v>1659</v>
      </c>
      <c r="G956" s="60" t="s">
        <v>7</v>
      </c>
      <c r="H956" s="61">
        <v>0.25347222222222221</v>
      </c>
      <c r="I956" s="61">
        <v>0.25347222222222221</v>
      </c>
      <c r="J956" s="62"/>
      <c r="K956" s="63" t="s">
        <v>1718</v>
      </c>
      <c r="L956" s="64" t="s">
        <v>1202</v>
      </c>
      <c r="M956" s="64" t="s">
        <v>1489</v>
      </c>
    </row>
    <row r="957" spans="1:13" s="65" customFormat="1" ht="12" customHeight="1" x14ac:dyDescent="0.2">
      <c r="A957" s="78">
        <v>238191</v>
      </c>
      <c r="B957" s="69" t="s">
        <v>1010</v>
      </c>
      <c r="C957" s="60" t="s">
        <v>1196</v>
      </c>
      <c r="D957" s="66" t="s">
        <v>1204</v>
      </c>
      <c r="E957" s="66" t="s">
        <v>1403</v>
      </c>
      <c r="F957" s="66" t="s">
        <v>1602</v>
      </c>
      <c r="G957" s="60" t="s">
        <v>7</v>
      </c>
      <c r="H957" s="61">
        <v>0.18680555555555556</v>
      </c>
      <c r="I957" s="61">
        <v>0.18680555555555556</v>
      </c>
      <c r="J957" s="62"/>
      <c r="K957" s="63" t="s">
        <v>1718</v>
      </c>
      <c r="L957" s="64" t="s">
        <v>1204</v>
      </c>
      <c r="M957" s="64" t="s">
        <v>1403</v>
      </c>
    </row>
    <row r="958" spans="1:13" s="65" customFormat="1" ht="12" customHeight="1" x14ac:dyDescent="0.2">
      <c r="A958" s="78">
        <v>238194</v>
      </c>
      <c r="B958" s="69" t="s">
        <v>1011</v>
      </c>
      <c r="C958" s="60" t="s">
        <v>1196</v>
      </c>
      <c r="D958" s="66" t="s">
        <v>1202</v>
      </c>
      <c r="E958" s="66" t="s">
        <v>1374</v>
      </c>
      <c r="F958" s="66" t="s">
        <v>1617</v>
      </c>
      <c r="G958" s="60" t="s">
        <v>8</v>
      </c>
      <c r="H958" s="61">
        <v>0.125</v>
      </c>
      <c r="I958" s="61"/>
      <c r="J958" s="62">
        <v>0.125</v>
      </c>
      <c r="K958" s="63" t="s">
        <v>1718</v>
      </c>
      <c r="L958" s="64" t="s">
        <v>1202</v>
      </c>
      <c r="M958" s="64" t="s">
        <v>1374</v>
      </c>
    </row>
    <row r="959" spans="1:13" s="65" customFormat="1" ht="12" customHeight="1" x14ac:dyDescent="0.2">
      <c r="A959" s="78">
        <v>238205</v>
      </c>
      <c r="B959" s="69" t="s">
        <v>1012</v>
      </c>
      <c r="C959" s="60" t="s">
        <v>1196</v>
      </c>
      <c r="D959" s="66" t="s">
        <v>1203</v>
      </c>
      <c r="E959" s="66" t="s">
        <v>1251</v>
      </c>
      <c r="F959" s="66" t="s">
        <v>1615</v>
      </c>
      <c r="G959" s="60" t="s">
        <v>7</v>
      </c>
      <c r="H959" s="61">
        <v>5.9722222222222225E-2</v>
      </c>
      <c r="I959" s="61">
        <v>5.9722222222222225E-2</v>
      </c>
      <c r="J959" s="62"/>
      <c r="K959" s="63" t="s">
        <v>1723</v>
      </c>
      <c r="L959" s="64" t="s">
        <v>1203</v>
      </c>
      <c r="M959" s="64" t="s">
        <v>1251</v>
      </c>
    </row>
    <row r="960" spans="1:13" s="65" customFormat="1" ht="12" customHeight="1" x14ac:dyDescent="0.2">
      <c r="A960" s="78">
        <v>238206</v>
      </c>
      <c r="B960" s="69" t="s">
        <v>1013</v>
      </c>
      <c r="C960" s="60" t="s">
        <v>1196</v>
      </c>
      <c r="D960" s="66" t="s">
        <v>1198</v>
      </c>
      <c r="E960" s="66" t="s">
        <v>1445</v>
      </c>
      <c r="F960" s="66" t="s">
        <v>1599</v>
      </c>
      <c r="G960" s="60" t="s">
        <v>8</v>
      </c>
      <c r="H960" s="61">
        <v>7.8472222222222221E-2</v>
      </c>
      <c r="I960" s="61"/>
      <c r="J960" s="62">
        <v>7.8472222222222221E-2</v>
      </c>
      <c r="K960" s="63" t="s">
        <v>1718</v>
      </c>
      <c r="L960" s="64" t="s">
        <v>1198</v>
      </c>
      <c r="M960" s="64" t="s">
        <v>1445</v>
      </c>
    </row>
    <row r="961" spans="1:13" s="65" customFormat="1" ht="12" customHeight="1" x14ac:dyDescent="0.2">
      <c r="A961" s="78">
        <v>238218</v>
      </c>
      <c r="B961" s="69" t="s">
        <v>1014</v>
      </c>
      <c r="C961" s="60" t="s">
        <v>1196</v>
      </c>
      <c r="D961" s="66" t="s">
        <v>1204</v>
      </c>
      <c r="E961" s="66" t="s">
        <v>1531</v>
      </c>
      <c r="F961" s="66" t="s">
        <v>1711</v>
      </c>
      <c r="G961" s="60" t="s">
        <v>8</v>
      </c>
      <c r="H961" s="61">
        <v>0.32013888888888892</v>
      </c>
      <c r="I961" s="61"/>
      <c r="J961" s="62">
        <v>0.32013888888888892</v>
      </c>
      <c r="K961" s="63" t="s">
        <v>1723</v>
      </c>
      <c r="L961" s="64" t="s">
        <v>1204</v>
      </c>
      <c r="M961" s="64" t="s">
        <v>1531</v>
      </c>
    </row>
    <row r="962" spans="1:13" s="65" customFormat="1" ht="12" customHeight="1" x14ac:dyDescent="0.2">
      <c r="A962" s="78">
        <v>238220</v>
      </c>
      <c r="B962" s="69" t="s">
        <v>1015</v>
      </c>
      <c r="C962" s="60" t="s">
        <v>1196</v>
      </c>
      <c r="D962" s="66" t="s">
        <v>1204</v>
      </c>
      <c r="E962" s="66" t="s">
        <v>1521</v>
      </c>
      <c r="F962" s="66" t="s">
        <v>1711</v>
      </c>
      <c r="G962" s="60" t="s">
        <v>7</v>
      </c>
      <c r="H962" s="61">
        <v>0.3666666666666667</v>
      </c>
      <c r="I962" s="61">
        <v>0.3666666666666667</v>
      </c>
      <c r="J962" s="62"/>
      <c r="K962" s="63" t="s">
        <v>1718</v>
      </c>
      <c r="L962" s="64" t="s">
        <v>1204</v>
      </c>
      <c r="M962" s="64" t="s">
        <v>1521</v>
      </c>
    </row>
    <row r="963" spans="1:13" s="65" customFormat="1" ht="12" customHeight="1" x14ac:dyDescent="0.2">
      <c r="A963" s="78">
        <v>238235</v>
      </c>
      <c r="B963" s="69" t="s">
        <v>1016</v>
      </c>
      <c r="C963" s="60" t="s">
        <v>1196</v>
      </c>
      <c r="D963" s="66" t="s">
        <v>1198</v>
      </c>
      <c r="E963" s="66" t="s">
        <v>1343</v>
      </c>
      <c r="F963" s="66" t="s">
        <v>1607</v>
      </c>
      <c r="G963" s="60" t="s">
        <v>8</v>
      </c>
      <c r="H963" s="61">
        <v>0.35416666666666669</v>
      </c>
      <c r="I963" s="61"/>
      <c r="J963" s="62">
        <v>0.35416666666666669</v>
      </c>
      <c r="K963" s="63" t="s">
        <v>1718</v>
      </c>
      <c r="L963" s="64" t="s">
        <v>1198</v>
      </c>
      <c r="M963" s="64" t="s">
        <v>1343</v>
      </c>
    </row>
    <row r="964" spans="1:13" s="65" customFormat="1" ht="12" customHeight="1" x14ac:dyDescent="0.2">
      <c r="A964" s="78">
        <v>200117</v>
      </c>
      <c r="B964" s="69" t="s">
        <v>1017</v>
      </c>
      <c r="C964" s="60" t="s">
        <v>1196</v>
      </c>
      <c r="D964" s="66" t="s">
        <v>1204</v>
      </c>
      <c r="E964" s="66" t="s">
        <v>1569</v>
      </c>
      <c r="F964" s="66" t="s">
        <v>1593</v>
      </c>
      <c r="G964" s="60" t="s">
        <v>8</v>
      </c>
      <c r="H964" s="61">
        <v>0.85555555555555562</v>
      </c>
      <c r="I964" s="61"/>
      <c r="J964" s="62">
        <v>0.85555555555555562</v>
      </c>
      <c r="K964" s="63" t="s">
        <v>1721</v>
      </c>
      <c r="L964" s="64" t="s">
        <v>1204</v>
      </c>
      <c r="M964" s="64" t="s">
        <v>1569</v>
      </c>
    </row>
    <row r="965" spans="1:13" s="65" customFormat="1" ht="12" customHeight="1" x14ac:dyDescent="0.2">
      <c r="A965" s="78">
        <v>200217</v>
      </c>
      <c r="B965" s="69" t="s">
        <v>1018</v>
      </c>
      <c r="C965" s="60" t="s">
        <v>1196</v>
      </c>
      <c r="D965" s="66" t="s">
        <v>1199</v>
      </c>
      <c r="E965" s="66" t="s">
        <v>1281</v>
      </c>
      <c r="F965" s="66" t="s">
        <v>1635</v>
      </c>
      <c r="G965" s="60" t="s">
        <v>8</v>
      </c>
      <c r="H965" s="61">
        <v>0.33819444444444446</v>
      </c>
      <c r="I965" s="61"/>
      <c r="J965" s="62">
        <v>0.33819444444444446</v>
      </c>
      <c r="K965" s="63" t="s">
        <v>1723</v>
      </c>
      <c r="L965" s="64" t="s">
        <v>1199</v>
      </c>
      <c r="M965" s="64" t="s">
        <v>1281</v>
      </c>
    </row>
    <row r="966" spans="1:13" s="65" customFormat="1" ht="12" customHeight="1" x14ac:dyDescent="0.2">
      <c r="A966" s="78">
        <v>200234</v>
      </c>
      <c r="B966" s="69" t="s">
        <v>1019</v>
      </c>
      <c r="C966" s="60" t="s">
        <v>1196</v>
      </c>
      <c r="D966" s="66" t="s">
        <v>1199</v>
      </c>
      <c r="E966" s="66" t="s">
        <v>1465</v>
      </c>
      <c r="F966" s="66" t="s">
        <v>1666</v>
      </c>
      <c r="G966" s="60" t="s">
        <v>8</v>
      </c>
      <c r="H966" s="61">
        <v>0.20277777777777781</v>
      </c>
      <c r="I966" s="61"/>
      <c r="J966" s="62">
        <v>0.20277777777777781</v>
      </c>
      <c r="K966" s="63" t="s">
        <v>1722</v>
      </c>
      <c r="L966" s="64" t="s">
        <v>1199</v>
      </c>
      <c r="M966" s="64" t="s">
        <v>1465</v>
      </c>
    </row>
    <row r="967" spans="1:13" s="65" customFormat="1" ht="12" customHeight="1" x14ac:dyDescent="0.2">
      <c r="A967" s="78">
        <v>200289</v>
      </c>
      <c r="B967" s="69" t="s">
        <v>1020</v>
      </c>
      <c r="C967" s="60" t="s">
        <v>1196</v>
      </c>
      <c r="D967" s="66" t="s">
        <v>1199</v>
      </c>
      <c r="E967" s="66" t="s">
        <v>1491</v>
      </c>
      <c r="F967" s="66" t="s">
        <v>1678</v>
      </c>
      <c r="G967" s="60" t="s">
        <v>7</v>
      </c>
      <c r="H967" s="61">
        <v>0.88124999999999998</v>
      </c>
      <c r="I967" s="61">
        <v>0.88124999999999998</v>
      </c>
      <c r="J967" s="62"/>
      <c r="K967" s="63" t="s">
        <v>1722</v>
      </c>
      <c r="L967" s="64" t="s">
        <v>1199</v>
      </c>
      <c r="M967" s="64" t="s">
        <v>1491</v>
      </c>
    </row>
    <row r="968" spans="1:13" s="65" customFormat="1" ht="12" customHeight="1" x14ac:dyDescent="0.2">
      <c r="A968" s="78">
        <v>200294</v>
      </c>
      <c r="B968" s="69" t="s">
        <v>1021</v>
      </c>
      <c r="C968" s="60" t="s">
        <v>1196</v>
      </c>
      <c r="D968" s="66" t="s">
        <v>1203</v>
      </c>
      <c r="E968" s="66" t="s">
        <v>1278</v>
      </c>
      <c r="F968" s="66" t="s">
        <v>1632</v>
      </c>
      <c r="G968" s="60" t="s">
        <v>8</v>
      </c>
      <c r="H968" s="61">
        <v>0.11527777777777777</v>
      </c>
      <c r="I968" s="61"/>
      <c r="J968" s="62">
        <v>0.11527777777777777</v>
      </c>
      <c r="K968" s="63" t="s">
        <v>1723</v>
      </c>
      <c r="L968" s="64" t="s">
        <v>1203</v>
      </c>
      <c r="M968" s="64" t="s">
        <v>1278</v>
      </c>
    </row>
    <row r="969" spans="1:13" s="65" customFormat="1" ht="12" customHeight="1" x14ac:dyDescent="0.2">
      <c r="A969" s="78">
        <v>200335</v>
      </c>
      <c r="B969" s="69" t="s">
        <v>1022</v>
      </c>
      <c r="C969" s="60" t="s">
        <v>1196</v>
      </c>
      <c r="D969" s="66" t="s">
        <v>1203</v>
      </c>
      <c r="E969" s="66" t="s">
        <v>1278</v>
      </c>
      <c r="F969" s="66" t="s">
        <v>1632</v>
      </c>
      <c r="G969" s="60" t="s">
        <v>7</v>
      </c>
      <c r="H969" s="61">
        <v>0.26666666666666666</v>
      </c>
      <c r="I969" s="61">
        <v>0.26666666666666666</v>
      </c>
      <c r="J969" s="62"/>
      <c r="K969" s="63" t="s">
        <v>1722</v>
      </c>
      <c r="L969" s="64" t="s">
        <v>1203</v>
      </c>
      <c r="M969" s="64" t="s">
        <v>1278</v>
      </c>
    </row>
    <row r="970" spans="1:13" s="65" customFormat="1" ht="12" customHeight="1" x14ac:dyDescent="0.2">
      <c r="A970" s="78">
        <v>200336</v>
      </c>
      <c r="B970" s="69" t="s">
        <v>1023</v>
      </c>
      <c r="C970" s="60" t="s">
        <v>1196</v>
      </c>
      <c r="D970" s="66" t="s">
        <v>1203</v>
      </c>
      <c r="E970" s="66" t="s">
        <v>1278</v>
      </c>
      <c r="F970" s="66" t="s">
        <v>1632</v>
      </c>
      <c r="G970" s="60" t="s">
        <v>7</v>
      </c>
      <c r="H970" s="61">
        <v>6.5277777777777782E-2</v>
      </c>
      <c r="I970" s="61">
        <v>6.5277777777777782E-2</v>
      </c>
      <c r="J970" s="62"/>
      <c r="K970" s="63" t="s">
        <v>1722</v>
      </c>
      <c r="L970" s="64" t="s">
        <v>1203</v>
      </c>
      <c r="M970" s="64" t="s">
        <v>1278</v>
      </c>
    </row>
    <row r="971" spans="1:13" s="65" customFormat="1" ht="12" customHeight="1" x14ac:dyDescent="0.2">
      <c r="A971" s="78">
        <v>200445</v>
      </c>
      <c r="B971" s="69" t="s">
        <v>1024</v>
      </c>
      <c r="C971" s="60" t="s">
        <v>1196</v>
      </c>
      <c r="D971" s="66" t="s">
        <v>1198</v>
      </c>
      <c r="E971" s="66" t="s">
        <v>1570</v>
      </c>
      <c r="F971" s="66" t="s">
        <v>1691</v>
      </c>
      <c r="G971" s="60" t="s">
        <v>7</v>
      </c>
      <c r="H971" s="61">
        <v>0.48819444444444443</v>
      </c>
      <c r="I971" s="61">
        <v>0.48819444444444443</v>
      </c>
      <c r="J971" s="62"/>
      <c r="K971" s="63" t="s">
        <v>1723</v>
      </c>
      <c r="L971" s="64" t="s">
        <v>1198</v>
      </c>
      <c r="M971" s="64" t="s">
        <v>1570</v>
      </c>
    </row>
    <row r="972" spans="1:13" s="65" customFormat="1" ht="12" customHeight="1" x14ac:dyDescent="0.2">
      <c r="A972" s="78">
        <v>200513</v>
      </c>
      <c r="B972" s="69" t="s">
        <v>1025</v>
      </c>
      <c r="C972" s="60" t="s">
        <v>1196</v>
      </c>
      <c r="D972" s="66" t="s">
        <v>1200</v>
      </c>
      <c r="E972" s="66" t="s">
        <v>1448</v>
      </c>
      <c r="F972" s="66" t="s">
        <v>1699</v>
      </c>
      <c r="G972" s="60" t="s">
        <v>7</v>
      </c>
      <c r="H972" s="61">
        <v>2.5631944444444446</v>
      </c>
      <c r="I972" s="61">
        <v>2.5631944444444446</v>
      </c>
      <c r="J972" s="62"/>
      <c r="K972" s="63" t="s">
        <v>1723</v>
      </c>
      <c r="L972" s="64" t="s">
        <v>1200</v>
      </c>
      <c r="M972" s="64" t="s">
        <v>1448</v>
      </c>
    </row>
    <row r="973" spans="1:13" s="65" customFormat="1" ht="12" customHeight="1" x14ac:dyDescent="0.2">
      <c r="A973" s="78">
        <v>200533</v>
      </c>
      <c r="B973" s="69" t="s">
        <v>1026</v>
      </c>
      <c r="C973" s="60" t="s">
        <v>1196</v>
      </c>
      <c r="D973" s="66" t="s">
        <v>1200</v>
      </c>
      <c r="E973" s="66" t="s">
        <v>1263</v>
      </c>
      <c r="F973" s="66" t="s">
        <v>1622</v>
      </c>
      <c r="G973" s="60" t="s">
        <v>7</v>
      </c>
      <c r="H973" s="61">
        <v>0.6166666666666667</v>
      </c>
      <c r="I973" s="61">
        <v>0.6166666666666667</v>
      </c>
      <c r="J973" s="62"/>
      <c r="K973" s="63" t="s">
        <v>1722</v>
      </c>
      <c r="L973" s="64" t="s">
        <v>1200</v>
      </c>
      <c r="M973" s="64" t="s">
        <v>1263</v>
      </c>
    </row>
    <row r="974" spans="1:13" s="65" customFormat="1" ht="12" customHeight="1" x14ac:dyDescent="0.2">
      <c r="A974" s="78">
        <v>200542</v>
      </c>
      <c r="B974" s="69" t="s">
        <v>1027</v>
      </c>
      <c r="C974" s="60" t="s">
        <v>1196</v>
      </c>
      <c r="D974" s="66" t="s">
        <v>1198</v>
      </c>
      <c r="E974" s="66" t="s">
        <v>1392</v>
      </c>
      <c r="F974" s="66" t="s">
        <v>1625</v>
      </c>
      <c r="G974" s="60" t="s">
        <v>8</v>
      </c>
      <c r="H974" s="61">
        <v>0.57986111111111105</v>
      </c>
      <c r="I974" s="61"/>
      <c r="J974" s="62">
        <v>0.57986111111111105</v>
      </c>
      <c r="K974" s="63" t="s">
        <v>1718</v>
      </c>
      <c r="L974" s="64" t="s">
        <v>1198</v>
      </c>
      <c r="M974" s="64" t="s">
        <v>1392</v>
      </c>
    </row>
    <row r="975" spans="1:13" s="65" customFormat="1" ht="12" customHeight="1" x14ac:dyDescent="0.2">
      <c r="A975" s="78">
        <v>200557</v>
      </c>
      <c r="B975" s="69" t="s">
        <v>1028</v>
      </c>
      <c r="C975" s="60" t="s">
        <v>1196</v>
      </c>
      <c r="D975" s="66" t="s">
        <v>1202</v>
      </c>
      <c r="E975" s="66" t="s">
        <v>1405</v>
      </c>
      <c r="F975" s="66" t="s">
        <v>1684</v>
      </c>
      <c r="G975" s="60" t="s">
        <v>7</v>
      </c>
      <c r="H975" s="61">
        <v>0.28402777777777777</v>
      </c>
      <c r="I975" s="61">
        <v>0.28402777777777777</v>
      </c>
      <c r="J975" s="62"/>
      <c r="K975" s="63" t="s">
        <v>1722</v>
      </c>
      <c r="L975" s="64" t="s">
        <v>1202</v>
      </c>
      <c r="M975" s="64" t="s">
        <v>1405</v>
      </c>
    </row>
    <row r="976" spans="1:13" s="65" customFormat="1" ht="12" customHeight="1" x14ac:dyDescent="0.2">
      <c r="A976" s="78">
        <v>200590</v>
      </c>
      <c r="B976" s="69" t="s">
        <v>1029</v>
      </c>
      <c r="C976" s="60" t="s">
        <v>1196</v>
      </c>
      <c r="D976" s="66" t="s">
        <v>1199</v>
      </c>
      <c r="E976" s="66" t="s">
        <v>1571</v>
      </c>
      <c r="F976" s="66" t="s">
        <v>1587</v>
      </c>
      <c r="G976" s="60" t="s">
        <v>8</v>
      </c>
      <c r="H976" s="61">
        <v>0.19166666666666665</v>
      </c>
      <c r="I976" s="61"/>
      <c r="J976" s="62">
        <v>0.19166666666666665</v>
      </c>
      <c r="K976" s="63" t="s">
        <v>1719</v>
      </c>
      <c r="L976" s="64" t="s">
        <v>1199</v>
      </c>
      <c r="M976" s="64" t="s">
        <v>1571</v>
      </c>
    </row>
    <row r="977" spans="1:13" s="65" customFormat="1" ht="12" customHeight="1" x14ac:dyDescent="0.2">
      <c r="A977" s="78">
        <v>200602</v>
      </c>
      <c r="B977" s="69" t="s">
        <v>1030</v>
      </c>
      <c r="C977" s="60" t="s">
        <v>1196</v>
      </c>
      <c r="D977" s="66" t="s">
        <v>1203</v>
      </c>
      <c r="E977" s="66" t="s">
        <v>1278</v>
      </c>
      <c r="F977" s="66" t="s">
        <v>1632</v>
      </c>
      <c r="G977" s="60" t="s">
        <v>8</v>
      </c>
      <c r="H977" s="61">
        <v>0.30763888888888891</v>
      </c>
      <c r="I977" s="61"/>
      <c r="J977" s="62">
        <v>0.30763888888888891</v>
      </c>
      <c r="K977" s="63" t="s">
        <v>1723</v>
      </c>
      <c r="L977" s="64" t="s">
        <v>1203</v>
      </c>
      <c r="M977" s="64" t="s">
        <v>1278</v>
      </c>
    </row>
    <row r="978" spans="1:13" s="65" customFormat="1" ht="12" customHeight="1" x14ac:dyDescent="0.2">
      <c r="A978" s="78">
        <v>200657</v>
      </c>
      <c r="B978" s="69" t="s">
        <v>1031</v>
      </c>
      <c r="C978" s="60" t="s">
        <v>1196</v>
      </c>
      <c r="D978" s="66" t="s">
        <v>1203</v>
      </c>
      <c r="E978" s="66" t="s">
        <v>1572</v>
      </c>
      <c r="F978" s="66" t="s">
        <v>1592</v>
      </c>
      <c r="G978" s="60" t="s">
        <v>8</v>
      </c>
      <c r="H978" s="61">
        <v>0.3263888888888889</v>
      </c>
      <c r="I978" s="61"/>
      <c r="J978" s="62">
        <v>0.3263888888888889</v>
      </c>
      <c r="K978" s="63" t="s">
        <v>1719</v>
      </c>
      <c r="L978" s="64" t="s">
        <v>1203</v>
      </c>
      <c r="M978" s="64" t="s">
        <v>1572</v>
      </c>
    </row>
    <row r="979" spans="1:13" s="65" customFormat="1" ht="12" customHeight="1" x14ac:dyDescent="0.2">
      <c r="A979" s="78">
        <v>200680</v>
      </c>
      <c r="B979" s="69" t="s">
        <v>1032</v>
      </c>
      <c r="C979" s="60" t="s">
        <v>1196</v>
      </c>
      <c r="D979" s="66" t="s">
        <v>1203</v>
      </c>
      <c r="E979" s="66" t="s">
        <v>1293</v>
      </c>
      <c r="F979" s="66" t="s">
        <v>1643</v>
      </c>
      <c r="G979" s="60" t="s">
        <v>8</v>
      </c>
      <c r="H979" s="61">
        <v>0.17777777777777778</v>
      </c>
      <c r="I979" s="61"/>
      <c r="J979" s="62">
        <v>0.17777777777777778</v>
      </c>
      <c r="K979" s="63" t="s">
        <v>1722</v>
      </c>
      <c r="L979" s="64" t="s">
        <v>1203</v>
      </c>
      <c r="M979" s="64" t="s">
        <v>1293</v>
      </c>
    </row>
    <row r="980" spans="1:13" s="65" customFormat="1" ht="12" customHeight="1" x14ac:dyDescent="0.2">
      <c r="A980" s="78">
        <v>200746</v>
      </c>
      <c r="B980" s="69" t="s">
        <v>1033</v>
      </c>
      <c r="C980" s="60" t="s">
        <v>1196</v>
      </c>
      <c r="D980" s="66" t="s">
        <v>1203</v>
      </c>
      <c r="E980" s="66" t="s">
        <v>1293</v>
      </c>
      <c r="F980" s="66" t="s">
        <v>1643</v>
      </c>
      <c r="G980" s="60" t="s">
        <v>8</v>
      </c>
      <c r="H980" s="61">
        <v>0.70000000000000007</v>
      </c>
      <c r="I980" s="61"/>
      <c r="J980" s="62">
        <v>0.70000000000000007</v>
      </c>
      <c r="K980" s="63" t="s">
        <v>1723</v>
      </c>
      <c r="L980" s="64" t="s">
        <v>1203</v>
      </c>
      <c r="M980" s="64" t="s">
        <v>1293</v>
      </c>
    </row>
    <row r="981" spans="1:13" s="65" customFormat="1" ht="12" customHeight="1" x14ac:dyDescent="0.2">
      <c r="A981" s="78">
        <v>200751</v>
      </c>
      <c r="B981" s="69" t="s">
        <v>1034</v>
      </c>
      <c r="C981" s="60" t="s">
        <v>1196</v>
      </c>
      <c r="D981" s="66" t="s">
        <v>1203</v>
      </c>
      <c r="E981" s="66" t="s">
        <v>1573</v>
      </c>
      <c r="F981" s="66" t="s">
        <v>1592</v>
      </c>
      <c r="G981" s="60" t="s">
        <v>8</v>
      </c>
      <c r="H981" s="61">
        <v>0.14375000000000002</v>
      </c>
      <c r="I981" s="61"/>
      <c r="J981" s="62">
        <v>0.14375000000000002</v>
      </c>
      <c r="K981" s="63" t="s">
        <v>1719</v>
      </c>
      <c r="L981" s="64" t="s">
        <v>1203</v>
      </c>
      <c r="M981" s="64" t="s">
        <v>1573</v>
      </c>
    </row>
    <row r="982" spans="1:13" s="65" customFormat="1" ht="12" customHeight="1" x14ac:dyDescent="0.2">
      <c r="A982" s="78">
        <v>200763</v>
      </c>
      <c r="B982" s="69" t="s">
        <v>1035</v>
      </c>
      <c r="C982" s="60" t="s">
        <v>1196</v>
      </c>
      <c r="D982" s="66" t="s">
        <v>1205</v>
      </c>
      <c r="E982" s="66" t="s">
        <v>1574</v>
      </c>
      <c r="F982" s="66" t="s">
        <v>1594</v>
      </c>
      <c r="G982" s="60" t="s">
        <v>8</v>
      </c>
      <c r="H982" s="61">
        <v>0.59097222222222223</v>
      </c>
      <c r="I982" s="61"/>
      <c r="J982" s="62">
        <v>0.59097222222222223</v>
      </c>
      <c r="K982" s="63" t="s">
        <v>1719</v>
      </c>
      <c r="L982" s="64" t="s">
        <v>1205</v>
      </c>
      <c r="M982" s="64" t="s">
        <v>1574</v>
      </c>
    </row>
    <row r="983" spans="1:13" s="65" customFormat="1" ht="12" customHeight="1" x14ac:dyDescent="0.2">
      <c r="A983" s="78">
        <v>200765</v>
      </c>
      <c r="B983" s="69" t="s">
        <v>1036</v>
      </c>
      <c r="C983" s="60" t="s">
        <v>1196</v>
      </c>
      <c r="D983" s="66" t="s">
        <v>1198</v>
      </c>
      <c r="E983" s="66" t="s">
        <v>1575</v>
      </c>
      <c r="F983" s="66" t="s">
        <v>1586</v>
      </c>
      <c r="G983" s="60" t="s">
        <v>8</v>
      </c>
      <c r="H983" s="61">
        <v>0.22430555555555556</v>
      </c>
      <c r="I983" s="61"/>
      <c r="J983" s="62">
        <v>0.22430555555555556</v>
      </c>
      <c r="K983" s="63" t="s">
        <v>1719</v>
      </c>
      <c r="L983" s="64" t="s">
        <v>1198</v>
      </c>
      <c r="M983" s="64" t="s">
        <v>1575</v>
      </c>
    </row>
    <row r="984" spans="1:13" s="65" customFormat="1" ht="12" customHeight="1" x14ac:dyDescent="0.2">
      <c r="A984" s="78">
        <v>200784</v>
      </c>
      <c r="B984" s="69" t="s">
        <v>1037</v>
      </c>
      <c r="C984" s="60" t="s">
        <v>1196</v>
      </c>
      <c r="D984" s="66" t="s">
        <v>1200</v>
      </c>
      <c r="E984" s="66" t="s">
        <v>1448</v>
      </c>
      <c r="F984" s="66" t="s">
        <v>1699</v>
      </c>
      <c r="G984" s="60" t="s">
        <v>7</v>
      </c>
      <c r="H984" s="61">
        <v>0.24444444444444446</v>
      </c>
      <c r="I984" s="61">
        <v>0.24444444444444446</v>
      </c>
      <c r="J984" s="62"/>
      <c r="K984" s="63" t="s">
        <v>1722</v>
      </c>
      <c r="L984" s="64" t="s">
        <v>1200</v>
      </c>
      <c r="M984" s="64" t="s">
        <v>1448</v>
      </c>
    </row>
    <row r="985" spans="1:13" s="65" customFormat="1" ht="12" customHeight="1" x14ac:dyDescent="0.2">
      <c r="A985" s="78">
        <v>200805</v>
      </c>
      <c r="B985" s="69" t="s">
        <v>1038</v>
      </c>
      <c r="C985" s="60" t="s">
        <v>1196</v>
      </c>
      <c r="D985" s="66" t="s">
        <v>1205</v>
      </c>
      <c r="E985" s="66" t="s">
        <v>1289</v>
      </c>
      <c r="F985" s="66" t="s">
        <v>1640</v>
      </c>
      <c r="G985" s="60" t="s">
        <v>8</v>
      </c>
      <c r="H985" s="61">
        <v>6.3194444444444442E-2</v>
      </c>
      <c r="I985" s="61"/>
      <c r="J985" s="62">
        <v>6.3194444444444442E-2</v>
      </c>
      <c r="K985" s="63" t="s">
        <v>1723</v>
      </c>
      <c r="L985" s="64" t="s">
        <v>1205</v>
      </c>
      <c r="M985" s="64" t="s">
        <v>1289</v>
      </c>
    </row>
    <row r="986" spans="1:13" s="65" customFormat="1" ht="12" customHeight="1" x14ac:dyDescent="0.2">
      <c r="A986" s="78">
        <v>200858</v>
      </c>
      <c r="B986" s="69" t="s">
        <v>1039</v>
      </c>
      <c r="C986" s="60" t="s">
        <v>1196</v>
      </c>
      <c r="D986" s="66" t="s">
        <v>1200</v>
      </c>
      <c r="E986" s="66" t="s">
        <v>1576</v>
      </c>
      <c r="F986" s="66" t="s">
        <v>1598</v>
      </c>
      <c r="G986" s="60" t="s">
        <v>8</v>
      </c>
      <c r="H986" s="61">
        <v>0.65555555555555556</v>
      </c>
      <c r="I986" s="61"/>
      <c r="J986" s="62">
        <v>0.65555555555555556</v>
      </c>
      <c r="K986" s="63" t="s">
        <v>1719</v>
      </c>
      <c r="L986" s="64" t="s">
        <v>1200</v>
      </c>
      <c r="M986" s="64" t="s">
        <v>1576</v>
      </c>
    </row>
    <row r="987" spans="1:13" s="65" customFormat="1" ht="12" customHeight="1" x14ac:dyDescent="0.2">
      <c r="A987" s="78">
        <v>200888</v>
      </c>
      <c r="B987" s="69" t="s">
        <v>1040</v>
      </c>
      <c r="C987" s="60" t="s">
        <v>1196</v>
      </c>
      <c r="D987" s="66" t="s">
        <v>1199</v>
      </c>
      <c r="E987" s="66" t="s">
        <v>1577</v>
      </c>
      <c r="F987" s="66" t="s">
        <v>1587</v>
      </c>
      <c r="G987" s="60" t="s">
        <v>8</v>
      </c>
      <c r="H987" s="61">
        <v>0.53611111111111109</v>
      </c>
      <c r="I987" s="61"/>
      <c r="J987" s="62">
        <v>0.53611111111111109</v>
      </c>
      <c r="K987" s="63" t="s">
        <v>1719</v>
      </c>
      <c r="L987" s="64" t="s">
        <v>1199</v>
      </c>
      <c r="M987" s="64" t="s">
        <v>1577</v>
      </c>
    </row>
    <row r="988" spans="1:13" s="65" customFormat="1" ht="12" customHeight="1" x14ac:dyDescent="0.2">
      <c r="A988" s="78">
        <v>200893</v>
      </c>
      <c r="B988" s="69" t="s">
        <v>1041</v>
      </c>
      <c r="C988" s="60" t="s">
        <v>1196</v>
      </c>
      <c r="D988" s="66" t="s">
        <v>1200</v>
      </c>
      <c r="E988" s="66" t="s">
        <v>1552</v>
      </c>
      <c r="F988" s="66" t="s">
        <v>1692</v>
      </c>
      <c r="G988" s="60" t="s">
        <v>7</v>
      </c>
      <c r="H988" s="61">
        <v>6.7180555555555559</v>
      </c>
      <c r="I988" s="61">
        <v>6.7180555555555559</v>
      </c>
      <c r="J988" s="62"/>
      <c r="K988" s="63" t="s">
        <v>1722</v>
      </c>
      <c r="L988" s="64" t="s">
        <v>1200</v>
      </c>
      <c r="M988" s="64" t="s">
        <v>1552</v>
      </c>
    </row>
    <row r="989" spans="1:13" s="65" customFormat="1" ht="12" customHeight="1" x14ac:dyDescent="0.2">
      <c r="A989" s="78">
        <v>200899</v>
      </c>
      <c r="B989" s="69" t="s">
        <v>1042</v>
      </c>
      <c r="C989" s="60" t="s">
        <v>1196</v>
      </c>
      <c r="D989" s="66" t="s">
        <v>1199</v>
      </c>
      <c r="E989" s="66" t="s">
        <v>1407</v>
      </c>
      <c r="F989" s="66" t="s">
        <v>1686</v>
      </c>
      <c r="G989" s="60" t="s">
        <v>7</v>
      </c>
      <c r="H989" s="61">
        <v>1.4388888888888889</v>
      </c>
      <c r="I989" s="61">
        <v>1.4388888888888889</v>
      </c>
      <c r="J989" s="62"/>
      <c r="K989" s="63" t="s">
        <v>1722</v>
      </c>
      <c r="L989" s="64" t="s">
        <v>1199</v>
      </c>
      <c r="M989" s="64" t="s">
        <v>1407</v>
      </c>
    </row>
    <row r="990" spans="1:13" s="65" customFormat="1" ht="12" customHeight="1" x14ac:dyDescent="0.2">
      <c r="A990" s="78">
        <v>200922</v>
      </c>
      <c r="B990" s="69" t="s">
        <v>1043</v>
      </c>
      <c r="C990" s="60" t="s">
        <v>1196</v>
      </c>
      <c r="D990" s="66" t="s">
        <v>1198</v>
      </c>
      <c r="E990" s="66" t="s">
        <v>1392</v>
      </c>
      <c r="F990" s="66" t="s">
        <v>1625</v>
      </c>
      <c r="G990" s="60" t="s">
        <v>7</v>
      </c>
      <c r="H990" s="61">
        <v>0.31527777777777777</v>
      </c>
      <c r="I990" s="61">
        <v>0.31527777777777777</v>
      </c>
      <c r="J990" s="62"/>
      <c r="K990" s="63" t="s">
        <v>1718</v>
      </c>
      <c r="L990" s="64" t="s">
        <v>1198</v>
      </c>
      <c r="M990" s="64" t="s">
        <v>1392</v>
      </c>
    </row>
    <row r="991" spans="1:13" s="65" customFormat="1" ht="12" customHeight="1" x14ac:dyDescent="0.2">
      <c r="A991" s="78">
        <v>201004</v>
      </c>
      <c r="B991" s="69" t="s">
        <v>1044</v>
      </c>
      <c r="C991" s="60" t="s">
        <v>1196</v>
      </c>
      <c r="D991" s="66" t="s">
        <v>1205</v>
      </c>
      <c r="E991" s="66" t="s">
        <v>1242</v>
      </c>
      <c r="F991" s="66" t="s">
        <v>1609</v>
      </c>
      <c r="G991" s="60" t="s">
        <v>7</v>
      </c>
      <c r="H991" s="61">
        <v>0.1423611111111111</v>
      </c>
      <c r="I991" s="61">
        <v>0.1423611111111111</v>
      </c>
      <c r="J991" s="62"/>
      <c r="K991" s="63" t="s">
        <v>1722</v>
      </c>
      <c r="L991" s="64" t="s">
        <v>1205</v>
      </c>
      <c r="M991" s="64" t="s">
        <v>1242</v>
      </c>
    </row>
    <row r="992" spans="1:13" s="65" customFormat="1" ht="12" customHeight="1" x14ac:dyDescent="0.2">
      <c r="A992" s="78">
        <v>201012</v>
      </c>
      <c r="B992" s="69" t="s">
        <v>1045</v>
      </c>
      <c r="C992" s="60" t="s">
        <v>1196</v>
      </c>
      <c r="D992" s="66" t="s">
        <v>1198</v>
      </c>
      <c r="E992" s="66" t="s">
        <v>1269</v>
      </c>
      <c r="F992" s="66" t="s">
        <v>1625</v>
      </c>
      <c r="G992" s="60" t="s">
        <v>7</v>
      </c>
      <c r="H992" s="61">
        <v>8.2638888888888887E-2</v>
      </c>
      <c r="I992" s="61">
        <v>8.2638888888888887E-2</v>
      </c>
      <c r="J992" s="62"/>
      <c r="K992" s="63" t="s">
        <v>1722</v>
      </c>
      <c r="L992" s="64" t="s">
        <v>1198</v>
      </c>
      <c r="M992" s="64" t="s">
        <v>1269</v>
      </c>
    </row>
    <row r="993" spans="1:13" s="65" customFormat="1" ht="12" customHeight="1" x14ac:dyDescent="0.2">
      <c r="A993" s="78">
        <v>201018</v>
      </c>
      <c r="B993" s="69" t="s">
        <v>1046</v>
      </c>
      <c r="C993" s="60" t="s">
        <v>1196</v>
      </c>
      <c r="D993" s="66" t="s">
        <v>1197</v>
      </c>
      <c r="E993" s="66" t="s">
        <v>1578</v>
      </c>
      <c r="F993" s="66" t="s">
        <v>1595</v>
      </c>
      <c r="G993" s="60" t="s">
        <v>8</v>
      </c>
      <c r="H993" s="61">
        <v>0.73125000000000007</v>
      </c>
      <c r="I993" s="61"/>
      <c r="J993" s="62">
        <v>0.73125000000000007</v>
      </c>
      <c r="K993" s="63" t="s">
        <v>1719</v>
      </c>
      <c r="L993" s="64" t="s">
        <v>1197</v>
      </c>
      <c r="M993" s="64" t="s">
        <v>1578</v>
      </c>
    </row>
    <row r="994" spans="1:13" s="65" customFormat="1" ht="12" customHeight="1" x14ac:dyDescent="0.2">
      <c r="A994" s="78">
        <v>201042</v>
      </c>
      <c r="B994" s="69" t="s">
        <v>1047</v>
      </c>
      <c r="C994" s="60" t="s">
        <v>1196</v>
      </c>
      <c r="D994" s="66" t="s">
        <v>1198</v>
      </c>
      <c r="E994" s="66" t="s">
        <v>1423</v>
      </c>
      <c r="F994" s="66" t="s">
        <v>1655</v>
      </c>
      <c r="G994" s="60" t="s">
        <v>7</v>
      </c>
      <c r="H994" s="61">
        <v>0.12708333333333333</v>
      </c>
      <c r="I994" s="61">
        <v>0.12708333333333333</v>
      </c>
      <c r="J994" s="62"/>
      <c r="K994" s="63" t="s">
        <v>1722</v>
      </c>
      <c r="L994" s="64" t="s">
        <v>1198</v>
      </c>
      <c r="M994" s="64" t="s">
        <v>1423</v>
      </c>
    </row>
    <row r="995" spans="1:13" s="65" customFormat="1" ht="12" customHeight="1" x14ac:dyDescent="0.2">
      <c r="A995" s="78">
        <v>201108</v>
      </c>
      <c r="B995" s="69" t="s">
        <v>1048</v>
      </c>
      <c r="C995" s="60" t="s">
        <v>1196</v>
      </c>
      <c r="D995" s="66" t="s">
        <v>1203</v>
      </c>
      <c r="E995" s="66" t="s">
        <v>1579</v>
      </c>
      <c r="F995" s="66" t="s">
        <v>1592</v>
      </c>
      <c r="G995" s="60" t="s">
        <v>8</v>
      </c>
      <c r="H995" s="61">
        <v>1.0319444444444443</v>
      </c>
      <c r="I995" s="61"/>
      <c r="J995" s="62">
        <v>1.0319444444444443</v>
      </c>
      <c r="K995" s="63" t="s">
        <v>1719</v>
      </c>
      <c r="L995" s="64" t="s">
        <v>1203</v>
      </c>
      <c r="M995" s="64" t="s">
        <v>1579</v>
      </c>
    </row>
    <row r="996" spans="1:13" s="65" customFormat="1" ht="12" customHeight="1" x14ac:dyDescent="0.2">
      <c r="A996" s="78">
        <v>201126</v>
      </c>
      <c r="B996" s="69" t="s">
        <v>1049</v>
      </c>
      <c r="C996" s="60" t="s">
        <v>1196</v>
      </c>
      <c r="D996" s="66" t="s">
        <v>1204</v>
      </c>
      <c r="E996" s="66" t="s">
        <v>1580</v>
      </c>
      <c r="F996" s="66" t="s">
        <v>1687</v>
      </c>
      <c r="G996" s="60" t="s">
        <v>7</v>
      </c>
      <c r="H996" s="61">
        <v>4.0972222222222222E-2</v>
      </c>
      <c r="I996" s="61">
        <v>4.0972222222222222E-2</v>
      </c>
      <c r="J996" s="62"/>
      <c r="K996" s="63" t="s">
        <v>1722</v>
      </c>
      <c r="L996" s="64" t="s">
        <v>1204</v>
      </c>
      <c r="M996" s="64" t="s">
        <v>1580</v>
      </c>
    </row>
    <row r="997" spans="1:13" s="65" customFormat="1" ht="12" customHeight="1" x14ac:dyDescent="0.2">
      <c r="A997" s="78">
        <v>201179</v>
      </c>
      <c r="B997" s="69" t="s">
        <v>1050</v>
      </c>
      <c r="C997" s="60" t="s">
        <v>1196</v>
      </c>
      <c r="D997" s="66" t="s">
        <v>1203</v>
      </c>
      <c r="E997" s="66" t="s">
        <v>1356</v>
      </c>
      <c r="F997" s="66" t="s">
        <v>1638</v>
      </c>
      <c r="G997" s="60" t="s">
        <v>7</v>
      </c>
      <c r="H997" s="61">
        <v>1.9805555555555556</v>
      </c>
      <c r="I997" s="61">
        <v>1.9805555555555556</v>
      </c>
      <c r="J997" s="62"/>
      <c r="K997" s="63" t="s">
        <v>1718</v>
      </c>
      <c r="L997" s="64" t="s">
        <v>1203</v>
      </c>
      <c r="M997" s="64" t="s">
        <v>1356</v>
      </c>
    </row>
    <row r="998" spans="1:13" s="65" customFormat="1" ht="12" customHeight="1" x14ac:dyDescent="0.2">
      <c r="A998" s="78">
        <v>201221</v>
      </c>
      <c r="B998" s="69" t="s">
        <v>1051</v>
      </c>
      <c r="C998" s="60" t="s">
        <v>1196</v>
      </c>
      <c r="D998" s="66" t="s">
        <v>1198</v>
      </c>
      <c r="E998" s="66" t="s">
        <v>1444</v>
      </c>
      <c r="F998" s="66" t="s">
        <v>1605</v>
      </c>
      <c r="G998" s="60" t="s">
        <v>8</v>
      </c>
      <c r="H998" s="61">
        <v>1.3111111111111111</v>
      </c>
      <c r="I998" s="61"/>
      <c r="J998" s="62">
        <v>1.3111111111111111</v>
      </c>
      <c r="K998" s="63" t="s">
        <v>1718</v>
      </c>
      <c r="L998" s="64" t="s">
        <v>1198</v>
      </c>
      <c r="M998" s="64" t="s">
        <v>1444</v>
      </c>
    </row>
    <row r="999" spans="1:13" s="65" customFormat="1" ht="12" customHeight="1" x14ac:dyDescent="0.2">
      <c r="A999" s="78">
        <v>201227</v>
      </c>
      <c r="B999" s="69" t="s">
        <v>1052</v>
      </c>
      <c r="C999" s="60" t="s">
        <v>1196</v>
      </c>
      <c r="D999" s="66" t="s">
        <v>1198</v>
      </c>
      <c r="E999" s="66" t="s">
        <v>1570</v>
      </c>
      <c r="F999" s="66" t="s">
        <v>1691</v>
      </c>
      <c r="G999" s="60" t="s">
        <v>7</v>
      </c>
      <c r="H999" s="61">
        <v>0.47291666666666665</v>
      </c>
      <c r="I999" s="61">
        <v>0.47291666666666665</v>
      </c>
      <c r="J999" s="62"/>
      <c r="K999" s="63" t="s">
        <v>1723</v>
      </c>
      <c r="L999" s="64" t="s">
        <v>1198</v>
      </c>
      <c r="M999" s="64" t="s">
        <v>1570</v>
      </c>
    </row>
    <row r="1000" spans="1:13" s="65" customFormat="1" ht="12" customHeight="1" x14ac:dyDescent="0.2">
      <c r="A1000" s="78">
        <v>201241</v>
      </c>
      <c r="B1000" s="69" t="s">
        <v>1053</v>
      </c>
      <c r="C1000" s="60" t="s">
        <v>1196</v>
      </c>
      <c r="D1000" s="66" t="s">
        <v>1198</v>
      </c>
      <c r="E1000" s="66" t="s">
        <v>1570</v>
      </c>
      <c r="F1000" s="66" t="s">
        <v>1691</v>
      </c>
      <c r="G1000" s="60" t="s">
        <v>7</v>
      </c>
      <c r="H1000" s="61">
        <v>0.52986111111111112</v>
      </c>
      <c r="I1000" s="61">
        <v>0.52986111111111112</v>
      </c>
      <c r="J1000" s="62"/>
      <c r="K1000" s="63" t="s">
        <v>1722</v>
      </c>
      <c r="L1000" s="64" t="s">
        <v>1198</v>
      </c>
      <c r="M1000" s="64" t="s">
        <v>1570</v>
      </c>
    </row>
    <row r="1001" spans="1:13" s="65" customFormat="1" ht="12" customHeight="1" x14ac:dyDescent="0.2">
      <c r="A1001" s="78">
        <v>201242</v>
      </c>
      <c r="B1001" s="69" t="s">
        <v>1054</v>
      </c>
      <c r="C1001" s="60" t="s">
        <v>1196</v>
      </c>
      <c r="D1001" s="66" t="s">
        <v>1198</v>
      </c>
      <c r="E1001" s="66" t="s">
        <v>1240</v>
      </c>
      <c r="F1001" s="66" t="s">
        <v>1607</v>
      </c>
      <c r="G1001" s="60" t="s">
        <v>7</v>
      </c>
      <c r="H1001" s="61">
        <v>1.3944444444444444</v>
      </c>
      <c r="I1001" s="61">
        <v>1.3944444444444444</v>
      </c>
      <c r="J1001" s="62"/>
      <c r="K1001" s="63" t="s">
        <v>1724</v>
      </c>
      <c r="L1001" s="64" t="s">
        <v>1198</v>
      </c>
      <c r="M1001" s="64" t="s">
        <v>1240</v>
      </c>
    </row>
    <row r="1002" spans="1:13" s="65" customFormat="1" ht="12" customHeight="1" x14ac:dyDescent="0.2">
      <c r="A1002" s="78">
        <v>201250</v>
      </c>
      <c r="B1002" s="69" t="s">
        <v>1055</v>
      </c>
      <c r="C1002" s="60" t="s">
        <v>1196</v>
      </c>
      <c r="D1002" s="66" t="s">
        <v>1200</v>
      </c>
      <c r="E1002" s="66" t="s">
        <v>1541</v>
      </c>
      <c r="F1002" s="66" t="s">
        <v>1702</v>
      </c>
      <c r="G1002" s="60" t="s">
        <v>8</v>
      </c>
      <c r="H1002" s="61">
        <v>0.64166666666666672</v>
      </c>
      <c r="I1002" s="61"/>
      <c r="J1002" s="62">
        <v>0.64166666666666672</v>
      </c>
      <c r="K1002" s="63" t="s">
        <v>1723</v>
      </c>
      <c r="L1002" s="64" t="s">
        <v>1200</v>
      </c>
      <c r="M1002" s="64" t="s">
        <v>1541</v>
      </c>
    </row>
    <row r="1003" spans="1:13" s="65" customFormat="1" ht="12" customHeight="1" x14ac:dyDescent="0.2">
      <c r="A1003" s="78">
        <v>201264</v>
      </c>
      <c r="B1003" s="69" t="s">
        <v>1056</v>
      </c>
      <c r="C1003" s="60" t="s">
        <v>1196</v>
      </c>
      <c r="D1003" s="66" t="s">
        <v>1203</v>
      </c>
      <c r="E1003" s="66" t="s">
        <v>1311</v>
      </c>
      <c r="F1003" s="66" t="s">
        <v>1632</v>
      </c>
      <c r="G1003" s="60" t="s">
        <v>8</v>
      </c>
      <c r="H1003" s="61">
        <v>4.3750000000000004E-2</v>
      </c>
      <c r="I1003" s="61"/>
      <c r="J1003" s="62">
        <v>4.3750000000000004E-2</v>
      </c>
      <c r="K1003" s="63" t="s">
        <v>1718</v>
      </c>
      <c r="L1003" s="64" t="s">
        <v>1203</v>
      </c>
      <c r="M1003" s="64" t="s">
        <v>1311</v>
      </c>
    </row>
    <row r="1004" spans="1:13" s="65" customFormat="1" ht="12" customHeight="1" x14ac:dyDescent="0.2">
      <c r="A1004" s="78">
        <v>201272</v>
      </c>
      <c r="B1004" s="69" t="s">
        <v>1057</v>
      </c>
      <c r="C1004" s="60" t="s">
        <v>1196</v>
      </c>
      <c r="D1004" s="66" t="s">
        <v>1202</v>
      </c>
      <c r="E1004" s="66" t="s">
        <v>1422</v>
      </c>
      <c r="F1004" s="66" t="s">
        <v>1684</v>
      </c>
      <c r="G1004" s="60" t="s">
        <v>8</v>
      </c>
      <c r="H1004" s="61">
        <v>1.7423611111111112</v>
      </c>
      <c r="I1004" s="61"/>
      <c r="J1004" s="62">
        <v>1.7423611111111112</v>
      </c>
      <c r="K1004" s="63" t="s">
        <v>1718</v>
      </c>
      <c r="L1004" s="64" t="s">
        <v>1202</v>
      </c>
      <c r="M1004" s="64" t="s">
        <v>1422</v>
      </c>
    </row>
    <row r="1005" spans="1:13" s="65" customFormat="1" ht="12" customHeight="1" x14ac:dyDescent="0.2">
      <c r="A1005" s="78">
        <v>201280</v>
      </c>
      <c r="B1005" s="69" t="s">
        <v>1058</v>
      </c>
      <c r="C1005" s="60" t="s">
        <v>1196</v>
      </c>
      <c r="D1005" s="66" t="s">
        <v>1200</v>
      </c>
      <c r="E1005" s="66" t="s">
        <v>1541</v>
      </c>
      <c r="F1005" s="66" t="s">
        <v>1702</v>
      </c>
      <c r="G1005" s="60" t="s">
        <v>8</v>
      </c>
      <c r="H1005" s="61">
        <v>0.30624999999999997</v>
      </c>
      <c r="I1005" s="61"/>
      <c r="J1005" s="62">
        <v>0.30624999999999997</v>
      </c>
      <c r="K1005" s="63" t="s">
        <v>1723</v>
      </c>
      <c r="L1005" s="64" t="s">
        <v>1200</v>
      </c>
      <c r="M1005" s="64" t="s">
        <v>1541</v>
      </c>
    </row>
    <row r="1006" spans="1:13" s="65" customFormat="1" ht="12" customHeight="1" x14ac:dyDescent="0.2">
      <c r="A1006" s="78">
        <v>201282</v>
      </c>
      <c r="B1006" s="69" t="s">
        <v>1059</v>
      </c>
      <c r="C1006" s="60" t="s">
        <v>1196</v>
      </c>
      <c r="D1006" s="66" t="s">
        <v>1203</v>
      </c>
      <c r="E1006" s="66" t="s">
        <v>1311</v>
      </c>
      <c r="F1006" s="66" t="s">
        <v>1632</v>
      </c>
      <c r="G1006" s="60" t="s">
        <v>8</v>
      </c>
      <c r="H1006" s="61">
        <v>0.35069444444444442</v>
      </c>
      <c r="I1006" s="61"/>
      <c r="J1006" s="62">
        <v>0.35069444444444442</v>
      </c>
      <c r="K1006" s="63" t="s">
        <v>1718</v>
      </c>
      <c r="L1006" s="64" t="s">
        <v>1203</v>
      </c>
      <c r="M1006" s="64" t="s">
        <v>1311</v>
      </c>
    </row>
    <row r="1007" spans="1:13" s="65" customFormat="1" ht="12" customHeight="1" x14ac:dyDescent="0.2">
      <c r="A1007" s="78">
        <v>201292</v>
      </c>
      <c r="B1007" s="69" t="s">
        <v>1060</v>
      </c>
      <c r="C1007" s="60" t="s">
        <v>1196</v>
      </c>
      <c r="D1007" s="66" t="s">
        <v>1205</v>
      </c>
      <c r="E1007" s="66" t="s">
        <v>1373</v>
      </c>
      <c r="F1007" s="66" t="s">
        <v>1676</v>
      </c>
      <c r="G1007" s="60" t="s">
        <v>7</v>
      </c>
      <c r="H1007" s="61">
        <v>0.27708333333333335</v>
      </c>
      <c r="I1007" s="61">
        <v>0.27708333333333335</v>
      </c>
      <c r="J1007" s="62"/>
      <c r="K1007" s="63" t="s">
        <v>1718</v>
      </c>
      <c r="L1007" s="64" t="s">
        <v>1205</v>
      </c>
      <c r="M1007" s="64" t="s">
        <v>1373</v>
      </c>
    </row>
    <row r="1008" spans="1:13" s="65" customFormat="1" ht="12" customHeight="1" x14ac:dyDescent="0.2">
      <c r="A1008" s="78">
        <v>201347</v>
      </c>
      <c r="B1008" s="69" t="s">
        <v>1061</v>
      </c>
      <c r="C1008" s="60" t="s">
        <v>1196</v>
      </c>
      <c r="D1008" s="66" t="s">
        <v>1198</v>
      </c>
      <c r="E1008" s="66" t="s">
        <v>1238</v>
      </c>
      <c r="F1008" s="66" t="s">
        <v>1605</v>
      </c>
      <c r="G1008" s="60" t="s">
        <v>8</v>
      </c>
      <c r="H1008" s="61">
        <v>0.23263888888888887</v>
      </c>
      <c r="I1008" s="61"/>
      <c r="J1008" s="62">
        <v>0.23263888888888887</v>
      </c>
      <c r="K1008" s="63" t="s">
        <v>1723</v>
      </c>
      <c r="L1008" s="64" t="s">
        <v>1198</v>
      </c>
      <c r="M1008" s="64" t="s">
        <v>1238</v>
      </c>
    </row>
    <row r="1009" spans="1:13" s="65" customFormat="1" ht="12" customHeight="1" x14ac:dyDescent="0.2">
      <c r="A1009" s="78">
        <v>201377</v>
      </c>
      <c r="B1009" s="69" t="s">
        <v>1062</v>
      </c>
      <c r="C1009" s="60" t="s">
        <v>1196</v>
      </c>
      <c r="D1009" s="66" t="s">
        <v>1198</v>
      </c>
      <c r="E1009" s="66" t="s">
        <v>1444</v>
      </c>
      <c r="F1009" s="66" t="s">
        <v>1605</v>
      </c>
      <c r="G1009" s="60" t="s">
        <v>7</v>
      </c>
      <c r="H1009" s="61">
        <v>10.866666666666667</v>
      </c>
      <c r="I1009" s="61">
        <v>10.866666666666667</v>
      </c>
      <c r="J1009" s="62"/>
      <c r="K1009" s="63" t="s">
        <v>1718</v>
      </c>
      <c r="L1009" s="64" t="s">
        <v>1198</v>
      </c>
      <c r="M1009" s="64" t="s">
        <v>1444</v>
      </c>
    </row>
    <row r="1010" spans="1:13" s="65" customFormat="1" ht="12" customHeight="1" x14ac:dyDescent="0.2">
      <c r="A1010" s="78">
        <v>201397</v>
      </c>
      <c r="B1010" s="69" t="s">
        <v>1063</v>
      </c>
      <c r="C1010" s="60" t="s">
        <v>1196</v>
      </c>
      <c r="D1010" s="66" t="s">
        <v>1201</v>
      </c>
      <c r="E1010" s="66" t="s">
        <v>1252</v>
      </c>
      <c r="F1010" s="66" t="s">
        <v>1616</v>
      </c>
      <c r="G1010" s="60" t="s">
        <v>7</v>
      </c>
      <c r="H1010" s="61">
        <v>9.3256944444444443</v>
      </c>
      <c r="I1010" s="61">
        <v>9.3256944444444443</v>
      </c>
      <c r="J1010" s="62"/>
      <c r="K1010" s="63" t="s">
        <v>1723</v>
      </c>
      <c r="L1010" s="64" t="s">
        <v>1201</v>
      </c>
      <c r="M1010" s="64" t="s">
        <v>1252</v>
      </c>
    </row>
    <row r="1011" spans="1:13" s="65" customFormat="1" ht="12" customHeight="1" x14ac:dyDescent="0.2">
      <c r="A1011" s="78">
        <v>201416</v>
      </c>
      <c r="B1011" s="69" t="s">
        <v>1064</v>
      </c>
      <c r="C1011" s="60" t="s">
        <v>1196</v>
      </c>
      <c r="D1011" s="66" t="s">
        <v>1205</v>
      </c>
      <c r="E1011" s="66" t="s">
        <v>1298</v>
      </c>
      <c r="F1011" s="66" t="s">
        <v>1647</v>
      </c>
      <c r="G1011" s="60" t="s">
        <v>7</v>
      </c>
      <c r="H1011" s="61">
        <v>4.03125</v>
      </c>
      <c r="I1011" s="61">
        <v>4.03125</v>
      </c>
      <c r="J1011" s="62"/>
      <c r="K1011" s="63" t="s">
        <v>1722</v>
      </c>
      <c r="L1011" s="64" t="s">
        <v>1205</v>
      </c>
      <c r="M1011" s="64" t="s">
        <v>1298</v>
      </c>
    </row>
    <row r="1012" spans="1:13" s="65" customFormat="1" ht="12" customHeight="1" x14ac:dyDescent="0.2">
      <c r="A1012" s="78">
        <v>201441</v>
      </c>
      <c r="B1012" s="69" t="s">
        <v>1065</v>
      </c>
      <c r="C1012" s="60" t="s">
        <v>1196</v>
      </c>
      <c r="D1012" s="66" t="s">
        <v>1204</v>
      </c>
      <c r="E1012" s="66" t="s">
        <v>1580</v>
      </c>
      <c r="F1012" s="66" t="s">
        <v>1687</v>
      </c>
      <c r="G1012" s="60" t="s">
        <v>7</v>
      </c>
      <c r="H1012" s="61">
        <v>6.0604166666666668</v>
      </c>
      <c r="I1012" s="61">
        <v>6.0604166666666668</v>
      </c>
      <c r="J1012" s="62"/>
      <c r="K1012" s="63" t="s">
        <v>1723</v>
      </c>
      <c r="L1012" s="64" t="s">
        <v>1204</v>
      </c>
      <c r="M1012" s="64" t="s">
        <v>1580</v>
      </c>
    </row>
    <row r="1013" spans="1:13" s="65" customFormat="1" ht="12" customHeight="1" x14ac:dyDescent="0.2">
      <c r="A1013" s="78">
        <v>201457</v>
      </c>
      <c r="B1013" s="69" t="s">
        <v>1066</v>
      </c>
      <c r="C1013" s="60" t="s">
        <v>1196</v>
      </c>
      <c r="D1013" s="66" t="s">
        <v>1198</v>
      </c>
      <c r="E1013" s="66" t="s">
        <v>1231</v>
      </c>
      <c r="F1013" s="66" t="s">
        <v>1599</v>
      </c>
      <c r="G1013" s="60" t="s">
        <v>7</v>
      </c>
      <c r="H1013" s="61">
        <v>1.0180555555555555</v>
      </c>
      <c r="I1013" s="61">
        <v>1.0180555555555555</v>
      </c>
      <c r="J1013" s="62"/>
      <c r="K1013" s="63" t="s">
        <v>1723</v>
      </c>
      <c r="L1013" s="64" t="s">
        <v>1198</v>
      </c>
      <c r="M1013" s="64" t="s">
        <v>1231</v>
      </c>
    </row>
    <row r="1014" spans="1:13" s="65" customFormat="1" ht="12" customHeight="1" x14ac:dyDescent="0.2">
      <c r="A1014" s="78">
        <v>201469</v>
      </c>
      <c r="B1014" s="69" t="s">
        <v>1067</v>
      </c>
      <c r="C1014" s="60" t="s">
        <v>1196</v>
      </c>
      <c r="D1014" s="66" t="s">
        <v>1201</v>
      </c>
      <c r="E1014" s="66" t="s">
        <v>1581</v>
      </c>
      <c r="F1014" s="66" t="s">
        <v>1694</v>
      </c>
      <c r="G1014" s="60" t="s">
        <v>8</v>
      </c>
      <c r="H1014" s="61">
        <v>0.46875</v>
      </c>
      <c r="I1014" s="61"/>
      <c r="J1014" s="62">
        <v>0.46875</v>
      </c>
      <c r="K1014" s="63" t="s">
        <v>1723</v>
      </c>
      <c r="L1014" s="64" t="s">
        <v>1201</v>
      </c>
      <c r="M1014" s="64" t="s">
        <v>1581</v>
      </c>
    </row>
    <row r="1015" spans="1:13" s="65" customFormat="1" ht="12" customHeight="1" x14ac:dyDescent="0.2">
      <c r="A1015" s="78">
        <v>201474</v>
      </c>
      <c r="B1015" s="69" t="s">
        <v>1068</v>
      </c>
      <c r="C1015" s="60" t="s">
        <v>1196</v>
      </c>
      <c r="D1015" s="66" t="s">
        <v>1198</v>
      </c>
      <c r="E1015" s="66" t="s">
        <v>1444</v>
      </c>
      <c r="F1015" s="66" t="s">
        <v>1605</v>
      </c>
      <c r="G1015" s="60" t="s">
        <v>7</v>
      </c>
      <c r="H1015" s="61">
        <v>0.80902777777777779</v>
      </c>
      <c r="I1015" s="61">
        <v>0.80902777777777779</v>
      </c>
      <c r="J1015" s="62"/>
      <c r="K1015" s="63" t="s">
        <v>1718</v>
      </c>
      <c r="L1015" s="64" t="s">
        <v>1198</v>
      </c>
      <c r="M1015" s="64" t="s">
        <v>1444</v>
      </c>
    </row>
    <row r="1016" spans="1:13" s="65" customFormat="1" ht="12" customHeight="1" x14ac:dyDescent="0.2">
      <c r="A1016" s="78">
        <v>201556</v>
      </c>
      <c r="B1016" s="69" t="s">
        <v>1069</v>
      </c>
      <c r="C1016" s="60" t="s">
        <v>1196</v>
      </c>
      <c r="D1016" s="66" t="s">
        <v>1199</v>
      </c>
      <c r="E1016" s="66" t="s">
        <v>1491</v>
      </c>
      <c r="F1016" s="66" t="s">
        <v>1678</v>
      </c>
      <c r="G1016" s="60" t="s">
        <v>7</v>
      </c>
      <c r="H1016" s="61">
        <v>0.3430555555555555</v>
      </c>
      <c r="I1016" s="61">
        <v>0.3430555555555555</v>
      </c>
      <c r="J1016" s="62"/>
      <c r="K1016" s="63" t="s">
        <v>1723</v>
      </c>
      <c r="L1016" s="64" t="s">
        <v>1199</v>
      </c>
      <c r="M1016" s="64" t="s">
        <v>1491</v>
      </c>
    </row>
    <row r="1017" spans="1:13" s="65" customFormat="1" ht="12" customHeight="1" x14ac:dyDescent="0.2">
      <c r="A1017" s="78">
        <v>201568</v>
      </c>
      <c r="B1017" s="69" t="s">
        <v>1070</v>
      </c>
      <c r="C1017" s="60" t="s">
        <v>1196</v>
      </c>
      <c r="D1017" s="66" t="s">
        <v>1202</v>
      </c>
      <c r="E1017" s="66" t="s">
        <v>1389</v>
      </c>
      <c r="F1017" s="66" t="s">
        <v>1671</v>
      </c>
      <c r="G1017" s="60" t="s">
        <v>7</v>
      </c>
      <c r="H1017" s="61">
        <v>3.5805555555555557</v>
      </c>
      <c r="I1017" s="61">
        <v>3.5805555555555557</v>
      </c>
      <c r="J1017" s="62"/>
      <c r="K1017" s="63" t="s">
        <v>1718</v>
      </c>
      <c r="L1017" s="64" t="s">
        <v>1202</v>
      </c>
      <c r="M1017" s="64" t="s">
        <v>1389</v>
      </c>
    </row>
    <row r="1018" spans="1:13" s="65" customFormat="1" ht="12" customHeight="1" x14ac:dyDescent="0.2">
      <c r="A1018" s="78">
        <v>201614</v>
      </c>
      <c r="B1018" s="69" t="s">
        <v>1071</v>
      </c>
      <c r="C1018" s="60" t="s">
        <v>1196</v>
      </c>
      <c r="D1018" s="66" t="s">
        <v>1198</v>
      </c>
      <c r="E1018" s="66" t="s">
        <v>1269</v>
      </c>
      <c r="F1018" s="66" t="s">
        <v>1625</v>
      </c>
      <c r="G1018" s="60" t="s">
        <v>7</v>
      </c>
      <c r="H1018" s="61">
        <v>0.16666666666666666</v>
      </c>
      <c r="I1018" s="61">
        <v>0.16666666666666666</v>
      </c>
      <c r="J1018" s="62"/>
      <c r="K1018" s="63" t="s">
        <v>1723</v>
      </c>
      <c r="L1018" s="64" t="s">
        <v>1198</v>
      </c>
      <c r="M1018" s="64" t="s">
        <v>1269</v>
      </c>
    </row>
    <row r="1019" spans="1:13" s="65" customFormat="1" ht="12" customHeight="1" x14ac:dyDescent="0.2">
      <c r="A1019" s="78">
        <v>201688</v>
      </c>
      <c r="B1019" s="69" t="s">
        <v>1072</v>
      </c>
      <c r="C1019" s="60" t="s">
        <v>1196</v>
      </c>
      <c r="D1019" s="66" t="s">
        <v>1198</v>
      </c>
      <c r="E1019" s="66" t="s">
        <v>1231</v>
      </c>
      <c r="F1019" s="66" t="s">
        <v>1599</v>
      </c>
      <c r="G1019" s="60" t="s">
        <v>7</v>
      </c>
      <c r="H1019" s="61">
        <v>0.31875000000000003</v>
      </c>
      <c r="I1019" s="61">
        <v>0.31875000000000003</v>
      </c>
      <c r="J1019" s="62"/>
      <c r="K1019" s="63" t="s">
        <v>1722</v>
      </c>
      <c r="L1019" s="64" t="s">
        <v>1198</v>
      </c>
      <c r="M1019" s="64" t="s">
        <v>1231</v>
      </c>
    </row>
    <row r="1020" spans="1:13" s="65" customFormat="1" ht="12" customHeight="1" x14ac:dyDescent="0.2">
      <c r="A1020" s="78">
        <v>201691</v>
      </c>
      <c r="B1020" s="69" t="s">
        <v>1073</v>
      </c>
      <c r="C1020" s="60" t="s">
        <v>1196</v>
      </c>
      <c r="D1020" s="66" t="s">
        <v>1201</v>
      </c>
      <c r="E1020" s="66" t="s">
        <v>1367</v>
      </c>
      <c r="F1020" s="66" t="s">
        <v>1673</v>
      </c>
      <c r="G1020" s="60" t="s">
        <v>7</v>
      </c>
      <c r="H1020" s="61">
        <v>2.2888888888888888</v>
      </c>
      <c r="I1020" s="61">
        <v>2.2888888888888888</v>
      </c>
      <c r="J1020" s="62"/>
      <c r="K1020" s="63" t="s">
        <v>1718</v>
      </c>
      <c r="L1020" s="64" t="s">
        <v>1201</v>
      </c>
      <c r="M1020" s="64" t="s">
        <v>1367</v>
      </c>
    </row>
    <row r="1021" spans="1:13" s="65" customFormat="1" ht="12" customHeight="1" x14ac:dyDescent="0.2">
      <c r="A1021" s="78">
        <v>201712</v>
      </c>
      <c r="B1021" s="69" t="s">
        <v>1074</v>
      </c>
      <c r="C1021" s="60" t="s">
        <v>1196</v>
      </c>
      <c r="D1021" s="66" t="s">
        <v>1201</v>
      </c>
      <c r="E1021" s="66" t="s">
        <v>1434</v>
      </c>
      <c r="F1021" s="66" t="s">
        <v>1694</v>
      </c>
      <c r="G1021" s="60" t="s">
        <v>8</v>
      </c>
      <c r="H1021" s="61">
        <v>0.82986111111111116</v>
      </c>
      <c r="I1021" s="61"/>
      <c r="J1021" s="62">
        <v>0.82986111111111116</v>
      </c>
      <c r="K1021" s="63" t="s">
        <v>1718</v>
      </c>
      <c r="L1021" s="64" t="s">
        <v>1201</v>
      </c>
      <c r="M1021" s="64" t="s">
        <v>1434</v>
      </c>
    </row>
    <row r="1022" spans="1:13" s="65" customFormat="1" ht="12" customHeight="1" x14ac:dyDescent="0.2">
      <c r="A1022" s="78">
        <v>201734</v>
      </c>
      <c r="B1022" s="69" t="s">
        <v>1075</v>
      </c>
      <c r="C1022" s="60" t="s">
        <v>1196</v>
      </c>
      <c r="D1022" s="66" t="s">
        <v>1197</v>
      </c>
      <c r="E1022" s="66" t="s">
        <v>1265</v>
      </c>
      <c r="F1022" s="66" t="s">
        <v>1623</v>
      </c>
      <c r="G1022" s="60" t="s">
        <v>7</v>
      </c>
      <c r="H1022" s="61">
        <v>17.083333333333332</v>
      </c>
      <c r="I1022" s="61">
        <v>17.083333333333332</v>
      </c>
      <c r="J1022" s="62"/>
      <c r="K1022" s="63" t="s">
        <v>1722</v>
      </c>
      <c r="L1022" s="64" t="s">
        <v>1197</v>
      </c>
      <c r="M1022" s="64" t="s">
        <v>1265</v>
      </c>
    </row>
    <row r="1023" spans="1:13" s="65" customFormat="1" ht="12" customHeight="1" x14ac:dyDescent="0.2">
      <c r="A1023" s="78">
        <v>201736</v>
      </c>
      <c r="B1023" s="69" t="s">
        <v>1076</v>
      </c>
      <c r="C1023" s="60" t="s">
        <v>1196</v>
      </c>
      <c r="D1023" s="66" t="s">
        <v>1202</v>
      </c>
      <c r="E1023" s="66" t="s">
        <v>1405</v>
      </c>
      <c r="F1023" s="66" t="s">
        <v>1684</v>
      </c>
      <c r="G1023" s="60" t="s">
        <v>8</v>
      </c>
      <c r="H1023" s="61">
        <v>1.1958333333333333</v>
      </c>
      <c r="I1023" s="61"/>
      <c r="J1023" s="62">
        <v>1.1958333333333333</v>
      </c>
      <c r="K1023" s="63" t="s">
        <v>1723</v>
      </c>
      <c r="L1023" s="64" t="s">
        <v>1202</v>
      </c>
      <c r="M1023" s="64" t="s">
        <v>1405</v>
      </c>
    </row>
    <row r="1024" spans="1:13" s="65" customFormat="1" ht="12" customHeight="1" x14ac:dyDescent="0.2">
      <c r="A1024" s="78">
        <v>201755</v>
      </c>
      <c r="B1024" s="69" t="s">
        <v>1077</v>
      </c>
      <c r="C1024" s="60" t="s">
        <v>1196</v>
      </c>
      <c r="D1024" s="66" t="s">
        <v>1203</v>
      </c>
      <c r="E1024" s="66" t="s">
        <v>1345</v>
      </c>
      <c r="F1024" s="66" t="s">
        <v>1642</v>
      </c>
      <c r="G1024" s="60" t="s">
        <v>8</v>
      </c>
      <c r="H1024" s="61">
        <v>0.11666666666666665</v>
      </c>
      <c r="I1024" s="61"/>
      <c r="J1024" s="62">
        <v>0.11666666666666665</v>
      </c>
      <c r="K1024" s="63" t="s">
        <v>1718</v>
      </c>
      <c r="L1024" s="64" t="s">
        <v>1203</v>
      </c>
      <c r="M1024" s="64" t="s">
        <v>1345</v>
      </c>
    </row>
    <row r="1025" spans="1:13" s="65" customFormat="1" ht="12" customHeight="1" x14ac:dyDescent="0.2">
      <c r="A1025" s="78">
        <v>201779</v>
      </c>
      <c r="B1025" s="69" t="s">
        <v>1078</v>
      </c>
      <c r="C1025" s="60" t="s">
        <v>1196</v>
      </c>
      <c r="D1025" s="66" t="s">
        <v>1199</v>
      </c>
      <c r="E1025" s="66" t="s">
        <v>1360</v>
      </c>
      <c r="F1025" s="66" t="s">
        <v>1670</v>
      </c>
      <c r="G1025" s="60" t="s">
        <v>8</v>
      </c>
      <c r="H1025" s="61">
        <v>0.13749999999999998</v>
      </c>
      <c r="I1025" s="61"/>
      <c r="J1025" s="62">
        <v>0.13749999999999998</v>
      </c>
      <c r="K1025" s="63" t="s">
        <v>1722</v>
      </c>
      <c r="L1025" s="64" t="s">
        <v>1199</v>
      </c>
      <c r="M1025" s="64" t="s">
        <v>1360</v>
      </c>
    </row>
    <row r="1026" spans="1:13" s="65" customFormat="1" ht="12" customHeight="1" x14ac:dyDescent="0.2">
      <c r="A1026" s="78">
        <v>201783</v>
      </c>
      <c r="B1026" s="69" t="s">
        <v>1079</v>
      </c>
      <c r="C1026" s="60" t="s">
        <v>1196</v>
      </c>
      <c r="D1026" s="66" t="s">
        <v>1201</v>
      </c>
      <c r="E1026" s="66" t="s">
        <v>1257</v>
      </c>
      <c r="F1026" s="66" t="s">
        <v>1619</v>
      </c>
      <c r="G1026" s="60" t="s">
        <v>7</v>
      </c>
      <c r="H1026" s="61">
        <v>5.0826388888888889</v>
      </c>
      <c r="I1026" s="61">
        <v>5.0826388888888889</v>
      </c>
      <c r="J1026" s="62"/>
      <c r="K1026" s="63" t="s">
        <v>1722</v>
      </c>
      <c r="L1026" s="64" t="s">
        <v>1201</v>
      </c>
      <c r="M1026" s="64" t="s">
        <v>1257</v>
      </c>
    </row>
    <row r="1027" spans="1:13" s="65" customFormat="1" ht="12" customHeight="1" x14ac:dyDescent="0.2">
      <c r="A1027" s="78">
        <v>201809</v>
      </c>
      <c r="B1027" s="69" t="s">
        <v>1080</v>
      </c>
      <c r="C1027" s="60" t="s">
        <v>1196</v>
      </c>
      <c r="D1027" s="66" t="s">
        <v>1205</v>
      </c>
      <c r="E1027" s="66" t="s">
        <v>1336</v>
      </c>
      <c r="F1027" s="66" t="s">
        <v>1663</v>
      </c>
      <c r="G1027" s="60" t="s">
        <v>8</v>
      </c>
      <c r="H1027" s="61">
        <v>0.62430555555555556</v>
      </c>
      <c r="I1027" s="61"/>
      <c r="J1027" s="62">
        <v>0.62430555555555556</v>
      </c>
      <c r="K1027" s="63" t="s">
        <v>1718</v>
      </c>
      <c r="L1027" s="64" t="s">
        <v>1205</v>
      </c>
      <c r="M1027" s="64" t="s">
        <v>1336</v>
      </c>
    </row>
    <row r="1028" spans="1:13" s="65" customFormat="1" ht="12" customHeight="1" x14ac:dyDescent="0.2">
      <c r="A1028" s="78">
        <v>201815</v>
      </c>
      <c r="B1028" s="69" t="s">
        <v>1081</v>
      </c>
      <c r="C1028" s="60" t="s">
        <v>1196</v>
      </c>
      <c r="D1028" s="66" t="s">
        <v>1201</v>
      </c>
      <c r="E1028" s="66" t="s">
        <v>1326</v>
      </c>
      <c r="F1028" s="66" t="s">
        <v>1608</v>
      </c>
      <c r="G1028" s="60" t="s">
        <v>7</v>
      </c>
      <c r="H1028" s="61">
        <v>4.7319444444444443</v>
      </c>
      <c r="I1028" s="61">
        <v>4.7319444444444443</v>
      </c>
      <c r="J1028" s="62"/>
      <c r="K1028" s="63" t="s">
        <v>1718</v>
      </c>
      <c r="L1028" s="64" t="s">
        <v>1201</v>
      </c>
      <c r="M1028" s="64" t="s">
        <v>1326</v>
      </c>
    </row>
    <row r="1029" spans="1:13" s="65" customFormat="1" ht="12" customHeight="1" x14ac:dyDescent="0.2">
      <c r="A1029" s="78">
        <v>201821</v>
      </c>
      <c r="B1029" s="69" t="s">
        <v>1082</v>
      </c>
      <c r="C1029" s="60" t="s">
        <v>1196</v>
      </c>
      <c r="D1029" s="66" t="s">
        <v>1198</v>
      </c>
      <c r="E1029" s="66" t="s">
        <v>1428</v>
      </c>
      <c r="F1029" s="66" t="s">
        <v>1691</v>
      </c>
      <c r="G1029" s="60" t="s">
        <v>7</v>
      </c>
      <c r="H1029" s="61">
        <v>0.53194444444444444</v>
      </c>
      <c r="I1029" s="61">
        <v>0.53194444444444444</v>
      </c>
      <c r="J1029" s="62"/>
      <c r="K1029" s="63" t="s">
        <v>1718</v>
      </c>
      <c r="L1029" s="64" t="s">
        <v>1198</v>
      </c>
      <c r="M1029" s="64" t="s">
        <v>1428</v>
      </c>
    </row>
    <row r="1030" spans="1:13" s="65" customFormat="1" ht="12" customHeight="1" x14ac:dyDescent="0.2">
      <c r="A1030" s="78">
        <v>201853</v>
      </c>
      <c r="B1030" s="69" t="s">
        <v>1083</v>
      </c>
      <c r="C1030" s="60" t="s">
        <v>1196</v>
      </c>
      <c r="D1030" s="66" t="s">
        <v>1198</v>
      </c>
      <c r="E1030" s="66" t="s">
        <v>1445</v>
      </c>
      <c r="F1030" s="66" t="s">
        <v>1599</v>
      </c>
      <c r="G1030" s="60" t="s">
        <v>8</v>
      </c>
      <c r="H1030" s="61">
        <v>7.6388888888888886E-3</v>
      </c>
      <c r="I1030" s="61"/>
      <c r="J1030" s="62">
        <v>7.6388888888888886E-3</v>
      </c>
      <c r="K1030" s="63" t="s">
        <v>1718</v>
      </c>
      <c r="L1030" s="64" t="s">
        <v>1198</v>
      </c>
      <c r="M1030" s="64" t="s">
        <v>1445</v>
      </c>
    </row>
    <row r="1031" spans="1:13" s="65" customFormat="1" ht="12" customHeight="1" x14ac:dyDescent="0.2">
      <c r="A1031" s="78">
        <v>201857</v>
      </c>
      <c r="B1031" s="69" t="s">
        <v>1084</v>
      </c>
      <c r="C1031" s="60" t="s">
        <v>1196</v>
      </c>
      <c r="D1031" s="66" t="s">
        <v>1198</v>
      </c>
      <c r="E1031" s="66" t="s">
        <v>1239</v>
      </c>
      <c r="F1031" s="66" t="s">
        <v>1606</v>
      </c>
      <c r="G1031" s="60" t="s">
        <v>8</v>
      </c>
      <c r="H1031" s="61">
        <v>0.60138888888888886</v>
      </c>
      <c r="I1031" s="61"/>
      <c r="J1031" s="62">
        <v>0.60138888888888886</v>
      </c>
      <c r="K1031" s="63" t="s">
        <v>1723</v>
      </c>
      <c r="L1031" s="64" t="s">
        <v>1198</v>
      </c>
      <c r="M1031" s="64" t="s">
        <v>1239</v>
      </c>
    </row>
    <row r="1032" spans="1:13" s="65" customFormat="1" ht="12" customHeight="1" x14ac:dyDescent="0.2">
      <c r="A1032" s="78">
        <v>201872</v>
      </c>
      <c r="B1032" s="69" t="s">
        <v>1085</v>
      </c>
      <c r="C1032" s="60" t="s">
        <v>1196</v>
      </c>
      <c r="D1032" s="66" t="s">
        <v>1201</v>
      </c>
      <c r="E1032" s="66" t="s">
        <v>1581</v>
      </c>
      <c r="F1032" s="66" t="s">
        <v>1694</v>
      </c>
      <c r="G1032" s="60" t="s">
        <v>7</v>
      </c>
      <c r="H1032" s="61">
        <v>7.7777777777777779E-2</v>
      </c>
      <c r="I1032" s="61">
        <v>7.7777777777777779E-2</v>
      </c>
      <c r="J1032" s="62"/>
      <c r="K1032" s="63" t="s">
        <v>1723</v>
      </c>
      <c r="L1032" s="64" t="s">
        <v>1201</v>
      </c>
      <c r="M1032" s="64" t="s">
        <v>1581</v>
      </c>
    </row>
    <row r="1033" spans="1:13" s="65" customFormat="1" ht="12" customHeight="1" x14ac:dyDescent="0.2">
      <c r="A1033" s="78">
        <v>201873</v>
      </c>
      <c r="B1033" s="69" t="s">
        <v>1086</v>
      </c>
      <c r="C1033" s="60" t="s">
        <v>1196</v>
      </c>
      <c r="D1033" s="66" t="s">
        <v>1199</v>
      </c>
      <c r="E1033" s="66" t="s">
        <v>1296</v>
      </c>
      <c r="F1033" s="66" t="s">
        <v>1645</v>
      </c>
      <c r="G1033" s="60" t="s">
        <v>7</v>
      </c>
      <c r="H1033" s="61">
        <v>0.61111111111111105</v>
      </c>
      <c r="I1033" s="61">
        <v>0.61111111111111105</v>
      </c>
      <c r="J1033" s="62"/>
      <c r="K1033" s="63" t="s">
        <v>1723</v>
      </c>
      <c r="L1033" s="64" t="s">
        <v>1199</v>
      </c>
      <c r="M1033" s="64" t="s">
        <v>1296</v>
      </c>
    </row>
    <row r="1034" spans="1:13" s="65" customFormat="1" ht="12" customHeight="1" x14ac:dyDescent="0.2">
      <c r="A1034" s="78">
        <v>201881</v>
      </c>
      <c r="B1034" s="69" t="s">
        <v>1087</v>
      </c>
      <c r="C1034" s="60" t="s">
        <v>1196</v>
      </c>
      <c r="D1034" s="66" t="s">
        <v>1202</v>
      </c>
      <c r="E1034" s="66" t="s">
        <v>1496</v>
      </c>
      <c r="F1034" s="66" t="s">
        <v>1644</v>
      </c>
      <c r="G1034" s="60" t="s">
        <v>7</v>
      </c>
      <c r="H1034" s="61">
        <v>0.95624999999999993</v>
      </c>
      <c r="I1034" s="61">
        <v>0.95624999999999993</v>
      </c>
      <c r="J1034" s="62"/>
      <c r="K1034" s="63" t="s">
        <v>1722</v>
      </c>
      <c r="L1034" s="64" t="s">
        <v>1202</v>
      </c>
      <c r="M1034" s="64" t="s">
        <v>1496</v>
      </c>
    </row>
    <row r="1035" spans="1:13" s="65" customFormat="1" ht="12" customHeight="1" x14ac:dyDescent="0.2">
      <c r="A1035" s="78">
        <v>201900</v>
      </c>
      <c r="B1035" s="69" t="s">
        <v>1088</v>
      </c>
      <c r="C1035" s="60" t="s">
        <v>1196</v>
      </c>
      <c r="D1035" s="66" t="s">
        <v>1201</v>
      </c>
      <c r="E1035" s="66" t="s">
        <v>1581</v>
      </c>
      <c r="F1035" s="66" t="s">
        <v>1694</v>
      </c>
      <c r="G1035" s="60" t="s">
        <v>7</v>
      </c>
      <c r="H1035" s="61">
        <v>3.8520833333333333</v>
      </c>
      <c r="I1035" s="61">
        <v>3.8520833333333333</v>
      </c>
      <c r="J1035" s="62"/>
      <c r="K1035" s="63" t="s">
        <v>1722</v>
      </c>
      <c r="L1035" s="64" t="s">
        <v>1201</v>
      </c>
      <c r="M1035" s="64" t="s">
        <v>1581</v>
      </c>
    </row>
    <row r="1036" spans="1:13" s="65" customFormat="1" ht="12" customHeight="1" x14ac:dyDescent="0.2">
      <c r="A1036" s="78">
        <v>201985</v>
      </c>
      <c r="B1036" s="69" t="s">
        <v>1089</v>
      </c>
      <c r="C1036" s="60" t="s">
        <v>1196</v>
      </c>
      <c r="D1036" s="66" t="s">
        <v>1198</v>
      </c>
      <c r="E1036" s="66" t="s">
        <v>1238</v>
      </c>
      <c r="F1036" s="66" t="s">
        <v>1605</v>
      </c>
      <c r="G1036" s="60" t="s">
        <v>7</v>
      </c>
      <c r="H1036" s="61">
        <v>2.0229166666666667</v>
      </c>
      <c r="I1036" s="61">
        <v>2.0229166666666667</v>
      </c>
      <c r="J1036" s="62"/>
      <c r="K1036" s="63" t="s">
        <v>1723</v>
      </c>
      <c r="L1036" s="64" t="s">
        <v>1198</v>
      </c>
      <c r="M1036" s="64" t="s">
        <v>1238</v>
      </c>
    </row>
    <row r="1037" spans="1:13" s="65" customFormat="1" ht="12" customHeight="1" x14ac:dyDescent="0.2">
      <c r="A1037" s="78">
        <v>201996</v>
      </c>
      <c r="B1037" s="69" t="s">
        <v>1090</v>
      </c>
      <c r="C1037" s="60" t="s">
        <v>1196</v>
      </c>
      <c r="D1037" s="66" t="s">
        <v>1198</v>
      </c>
      <c r="E1037" s="66" t="s">
        <v>1444</v>
      </c>
      <c r="F1037" s="66" t="s">
        <v>1605</v>
      </c>
      <c r="G1037" s="60" t="s">
        <v>8</v>
      </c>
      <c r="H1037" s="61">
        <v>3.5298611111111113</v>
      </c>
      <c r="I1037" s="61"/>
      <c r="J1037" s="62">
        <v>3.5298611111111113</v>
      </c>
      <c r="K1037" s="63" t="s">
        <v>1718</v>
      </c>
      <c r="L1037" s="64" t="s">
        <v>1198</v>
      </c>
      <c r="M1037" s="64" t="s">
        <v>1444</v>
      </c>
    </row>
    <row r="1038" spans="1:13" s="65" customFormat="1" ht="12" customHeight="1" x14ac:dyDescent="0.2">
      <c r="A1038" s="78">
        <v>202049</v>
      </c>
      <c r="B1038" s="69" t="s">
        <v>1091</v>
      </c>
      <c r="C1038" s="60" t="s">
        <v>1196</v>
      </c>
      <c r="D1038" s="66" t="s">
        <v>1199</v>
      </c>
      <c r="E1038" s="66" t="s">
        <v>1407</v>
      </c>
      <c r="F1038" s="66" t="s">
        <v>1686</v>
      </c>
      <c r="G1038" s="60" t="s">
        <v>7</v>
      </c>
      <c r="H1038" s="61">
        <v>17.790277777777778</v>
      </c>
      <c r="I1038" s="61">
        <v>17.790277777777778</v>
      </c>
      <c r="J1038" s="62"/>
      <c r="K1038" s="63" t="s">
        <v>1723</v>
      </c>
      <c r="L1038" s="64" t="s">
        <v>1199</v>
      </c>
      <c r="M1038" s="64" t="s">
        <v>1407</v>
      </c>
    </row>
    <row r="1039" spans="1:13" s="65" customFormat="1" ht="12" customHeight="1" x14ac:dyDescent="0.2">
      <c r="A1039" s="78">
        <v>202070</v>
      </c>
      <c r="B1039" s="69" t="s">
        <v>1092</v>
      </c>
      <c r="C1039" s="60" t="s">
        <v>1196</v>
      </c>
      <c r="D1039" s="66" t="s">
        <v>1202</v>
      </c>
      <c r="E1039" s="66" t="s">
        <v>1291</v>
      </c>
      <c r="F1039" s="66" t="s">
        <v>1641</v>
      </c>
      <c r="G1039" s="60" t="s">
        <v>7</v>
      </c>
      <c r="H1039" s="61">
        <v>0.23263888888888887</v>
      </c>
      <c r="I1039" s="61">
        <v>0.23263888888888887</v>
      </c>
      <c r="J1039" s="62"/>
      <c r="K1039" s="63" t="s">
        <v>1722</v>
      </c>
      <c r="L1039" s="64" t="s">
        <v>1202</v>
      </c>
      <c r="M1039" s="64" t="s">
        <v>1291</v>
      </c>
    </row>
    <row r="1040" spans="1:13" s="65" customFormat="1" ht="12" customHeight="1" x14ac:dyDescent="0.2">
      <c r="A1040" s="78">
        <v>202075</v>
      </c>
      <c r="B1040" s="69" t="s">
        <v>1093</v>
      </c>
      <c r="C1040" s="60" t="s">
        <v>1196</v>
      </c>
      <c r="D1040" s="66" t="s">
        <v>1202</v>
      </c>
      <c r="E1040" s="66" t="s">
        <v>1413</v>
      </c>
      <c r="F1040" s="66" t="s">
        <v>1641</v>
      </c>
      <c r="G1040" s="60" t="s">
        <v>7</v>
      </c>
      <c r="H1040" s="61">
        <v>7.6388888888888895E-2</v>
      </c>
      <c r="I1040" s="61">
        <v>7.6388888888888895E-2</v>
      </c>
      <c r="J1040" s="62"/>
      <c r="K1040" s="63" t="s">
        <v>1718</v>
      </c>
      <c r="L1040" s="64" t="s">
        <v>1202</v>
      </c>
      <c r="M1040" s="64" t="s">
        <v>1413</v>
      </c>
    </row>
    <row r="1041" spans="1:13" s="65" customFormat="1" ht="12" customHeight="1" x14ac:dyDescent="0.2">
      <c r="A1041" s="78">
        <v>202078</v>
      </c>
      <c r="B1041" s="69" t="s">
        <v>1094</v>
      </c>
      <c r="C1041" s="60" t="s">
        <v>1196</v>
      </c>
      <c r="D1041" s="66" t="s">
        <v>1200</v>
      </c>
      <c r="E1041" s="66" t="s">
        <v>1329</v>
      </c>
      <c r="F1041" s="66" t="s">
        <v>1627</v>
      </c>
      <c r="G1041" s="60" t="s">
        <v>8</v>
      </c>
      <c r="H1041" s="61">
        <v>0.34027777777777773</v>
      </c>
      <c r="I1041" s="61"/>
      <c r="J1041" s="62">
        <v>0.34027777777777773</v>
      </c>
      <c r="K1041" s="63" t="s">
        <v>1718</v>
      </c>
      <c r="L1041" s="64" t="s">
        <v>1200</v>
      </c>
      <c r="M1041" s="64" t="s">
        <v>1329</v>
      </c>
    </row>
    <row r="1042" spans="1:13" s="65" customFormat="1" ht="12" customHeight="1" x14ac:dyDescent="0.2">
      <c r="A1042" s="78">
        <v>202098</v>
      </c>
      <c r="B1042" s="69" t="s">
        <v>1095</v>
      </c>
      <c r="C1042" s="60" t="s">
        <v>1196</v>
      </c>
      <c r="D1042" s="66" t="s">
        <v>1198</v>
      </c>
      <c r="E1042" s="66" t="s">
        <v>1411</v>
      </c>
      <c r="F1042" s="66" t="s">
        <v>1685</v>
      </c>
      <c r="G1042" s="60" t="s">
        <v>8</v>
      </c>
      <c r="H1042" s="61">
        <v>1.5916666666666668</v>
      </c>
      <c r="I1042" s="61"/>
      <c r="J1042" s="62">
        <v>1.5916666666666668</v>
      </c>
      <c r="K1042" s="63" t="s">
        <v>1718</v>
      </c>
      <c r="L1042" s="64" t="s">
        <v>1198</v>
      </c>
      <c r="M1042" s="64" t="s">
        <v>1411</v>
      </c>
    </row>
    <row r="1043" spans="1:13" s="65" customFormat="1" ht="12" customHeight="1" x14ac:dyDescent="0.2">
      <c r="A1043" s="78">
        <v>202149</v>
      </c>
      <c r="B1043" s="69" t="s">
        <v>1096</v>
      </c>
      <c r="C1043" s="60" t="s">
        <v>1196</v>
      </c>
      <c r="D1043" s="66" t="s">
        <v>1199</v>
      </c>
      <c r="E1043" s="66" t="s">
        <v>1296</v>
      </c>
      <c r="F1043" s="66" t="s">
        <v>1645</v>
      </c>
      <c r="G1043" s="60" t="s">
        <v>7</v>
      </c>
      <c r="H1043" s="61">
        <v>0.77083333333333337</v>
      </c>
      <c r="I1043" s="61">
        <v>0.77083333333333337</v>
      </c>
      <c r="J1043" s="62"/>
      <c r="K1043" s="63" t="s">
        <v>1722</v>
      </c>
      <c r="L1043" s="64" t="s">
        <v>1199</v>
      </c>
      <c r="M1043" s="64" t="s">
        <v>1296</v>
      </c>
    </row>
    <row r="1044" spans="1:13" s="65" customFormat="1" ht="12" customHeight="1" x14ac:dyDescent="0.2">
      <c r="A1044" s="78">
        <v>202185</v>
      </c>
      <c r="B1044" s="69" t="s">
        <v>1097</v>
      </c>
      <c r="C1044" s="60" t="s">
        <v>1196</v>
      </c>
      <c r="D1044" s="66" t="s">
        <v>1203</v>
      </c>
      <c r="E1044" s="66" t="s">
        <v>1311</v>
      </c>
      <c r="F1044" s="66" t="s">
        <v>1632</v>
      </c>
      <c r="G1044" s="60" t="s">
        <v>8</v>
      </c>
      <c r="H1044" s="61">
        <v>0.41736111111111113</v>
      </c>
      <c r="I1044" s="61"/>
      <c r="J1044" s="62">
        <v>0.41736111111111113</v>
      </c>
      <c r="K1044" s="63" t="s">
        <v>1718</v>
      </c>
      <c r="L1044" s="64" t="s">
        <v>1203</v>
      </c>
      <c r="M1044" s="64" t="s">
        <v>1311</v>
      </c>
    </row>
    <row r="1045" spans="1:13" s="65" customFormat="1" ht="12" customHeight="1" x14ac:dyDescent="0.2">
      <c r="A1045" s="78">
        <v>202223</v>
      </c>
      <c r="B1045" s="69" t="s">
        <v>1098</v>
      </c>
      <c r="C1045" s="60" t="s">
        <v>1196</v>
      </c>
      <c r="D1045" s="66" t="s">
        <v>1203</v>
      </c>
      <c r="E1045" s="66" t="s">
        <v>1508</v>
      </c>
      <c r="F1045" s="66" t="s">
        <v>1667</v>
      </c>
      <c r="G1045" s="60" t="s">
        <v>8</v>
      </c>
      <c r="H1045" s="61">
        <v>6.9444444444444441E-3</v>
      </c>
      <c r="I1045" s="61"/>
      <c r="J1045" s="62">
        <v>6.9444444444444441E-3</v>
      </c>
      <c r="K1045" s="63" t="s">
        <v>1722</v>
      </c>
      <c r="L1045" s="64" t="s">
        <v>1203</v>
      </c>
      <c r="M1045" s="64" t="s">
        <v>1508</v>
      </c>
    </row>
    <row r="1046" spans="1:13" s="65" customFormat="1" ht="12" customHeight="1" x14ac:dyDescent="0.2">
      <c r="A1046" s="78">
        <v>202228</v>
      </c>
      <c r="B1046" s="69" t="s">
        <v>1099</v>
      </c>
      <c r="C1046" s="60" t="s">
        <v>1196</v>
      </c>
      <c r="D1046" s="66" t="s">
        <v>1198</v>
      </c>
      <c r="E1046" s="66" t="s">
        <v>1305</v>
      </c>
      <c r="F1046" s="66" t="s">
        <v>1651</v>
      </c>
      <c r="G1046" s="60" t="s">
        <v>8</v>
      </c>
      <c r="H1046" s="61">
        <v>3.9583333333333331E-2</v>
      </c>
      <c r="I1046" s="61"/>
      <c r="J1046" s="62">
        <v>3.9583333333333331E-2</v>
      </c>
      <c r="K1046" s="63" t="s">
        <v>1728</v>
      </c>
      <c r="L1046" s="64" t="s">
        <v>1198</v>
      </c>
      <c r="M1046" s="64" t="s">
        <v>1305</v>
      </c>
    </row>
    <row r="1047" spans="1:13" s="65" customFormat="1" ht="12" customHeight="1" x14ac:dyDescent="0.2">
      <c r="A1047" s="78">
        <v>202296</v>
      </c>
      <c r="B1047" s="69" t="s">
        <v>1100</v>
      </c>
      <c r="C1047" s="60" t="s">
        <v>1196</v>
      </c>
      <c r="D1047" s="66" t="s">
        <v>1197</v>
      </c>
      <c r="E1047" s="66" t="s">
        <v>1280</v>
      </c>
      <c r="F1047" s="66" t="s">
        <v>1634</v>
      </c>
      <c r="G1047" s="60" t="s">
        <v>7</v>
      </c>
      <c r="H1047" s="61">
        <v>16.133333333333333</v>
      </c>
      <c r="I1047" s="61">
        <v>16.133333333333333</v>
      </c>
      <c r="J1047" s="62"/>
      <c r="K1047" s="63" t="s">
        <v>1722</v>
      </c>
      <c r="L1047" s="64" t="s">
        <v>1197</v>
      </c>
      <c r="M1047" s="64" t="s">
        <v>1280</v>
      </c>
    </row>
    <row r="1048" spans="1:13" s="65" customFormat="1" ht="12" customHeight="1" x14ac:dyDescent="0.2">
      <c r="A1048" s="78">
        <v>202364</v>
      </c>
      <c r="B1048" s="69" t="s">
        <v>1101</v>
      </c>
      <c r="C1048" s="60" t="s">
        <v>1196</v>
      </c>
      <c r="D1048" s="66" t="s">
        <v>1201</v>
      </c>
      <c r="E1048" s="66" t="s">
        <v>1241</v>
      </c>
      <c r="F1048" s="66" t="s">
        <v>1608</v>
      </c>
      <c r="G1048" s="60" t="s">
        <v>7</v>
      </c>
      <c r="H1048" s="61">
        <v>11.622222222222222</v>
      </c>
      <c r="I1048" s="61">
        <v>11.622222222222222</v>
      </c>
      <c r="J1048" s="62"/>
      <c r="K1048" s="63" t="s">
        <v>1723</v>
      </c>
      <c r="L1048" s="64" t="s">
        <v>1201</v>
      </c>
      <c r="M1048" s="64" t="s">
        <v>1241</v>
      </c>
    </row>
    <row r="1049" spans="1:13" s="65" customFormat="1" ht="12" customHeight="1" x14ac:dyDescent="0.2">
      <c r="A1049" s="78">
        <v>202375</v>
      </c>
      <c r="B1049" s="69" t="s">
        <v>1102</v>
      </c>
      <c r="C1049" s="60" t="s">
        <v>1196</v>
      </c>
      <c r="D1049" s="66" t="s">
        <v>1201</v>
      </c>
      <c r="E1049" s="66" t="s">
        <v>1241</v>
      </c>
      <c r="F1049" s="66" t="s">
        <v>1608</v>
      </c>
      <c r="G1049" s="60" t="s">
        <v>7</v>
      </c>
      <c r="H1049" s="61">
        <v>0.16388888888888889</v>
      </c>
      <c r="I1049" s="61">
        <v>0.16388888888888889</v>
      </c>
      <c r="J1049" s="62"/>
      <c r="K1049" s="63" t="s">
        <v>1722</v>
      </c>
      <c r="L1049" s="64" t="s">
        <v>1201</v>
      </c>
      <c r="M1049" s="64" t="s">
        <v>1241</v>
      </c>
    </row>
    <row r="1050" spans="1:13" s="65" customFormat="1" ht="12" customHeight="1" x14ac:dyDescent="0.2">
      <c r="A1050" s="78">
        <v>202385</v>
      </c>
      <c r="B1050" s="69" t="s">
        <v>1103</v>
      </c>
      <c r="C1050" s="60" t="s">
        <v>1196</v>
      </c>
      <c r="D1050" s="66" t="s">
        <v>1200</v>
      </c>
      <c r="E1050" s="66" t="s">
        <v>1247</v>
      </c>
      <c r="F1050" s="66" t="s">
        <v>1613</v>
      </c>
      <c r="G1050" s="60" t="s">
        <v>8</v>
      </c>
      <c r="H1050" s="61">
        <v>0.12013888888888889</v>
      </c>
      <c r="I1050" s="61"/>
      <c r="J1050" s="62">
        <v>0.12013888888888889</v>
      </c>
      <c r="K1050" s="63" t="s">
        <v>1723</v>
      </c>
      <c r="L1050" s="64" t="s">
        <v>1200</v>
      </c>
      <c r="M1050" s="64" t="s">
        <v>1247</v>
      </c>
    </row>
    <row r="1051" spans="1:13" s="65" customFormat="1" ht="12" customHeight="1" x14ac:dyDescent="0.2">
      <c r="A1051" s="78">
        <v>202398</v>
      </c>
      <c r="B1051" s="69" t="s">
        <v>1104</v>
      </c>
      <c r="C1051" s="60" t="s">
        <v>1196</v>
      </c>
      <c r="D1051" s="66" t="s">
        <v>1203</v>
      </c>
      <c r="E1051" s="66" t="s">
        <v>1292</v>
      </c>
      <c r="F1051" s="66" t="s">
        <v>1642</v>
      </c>
      <c r="G1051" s="60" t="s">
        <v>8</v>
      </c>
      <c r="H1051" s="61">
        <v>2.7777777777777779E-3</v>
      </c>
      <c r="I1051" s="61"/>
      <c r="J1051" s="62">
        <v>2.7777777777777779E-3</v>
      </c>
      <c r="K1051" s="63" t="s">
        <v>1722</v>
      </c>
      <c r="L1051" s="64" t="s">
        <v>1203</v>
      </c>
      <c r="M1051" s="64" t="s">
        <v>1292</v>
      </c>
    </row>
    <row r="1052" spans="1:13" s="65" customFormat="1" ht="12" customHeight="1" x14ac:dyDescent="0.2">
      <c r="A1052" s="78">
        <v>202399</v>
      </c>
      <c r="B1052" s="69" t="s">
        <v>1105</v>
      </c>
      <c r="C1052" s="60" t="s">
        <v>1196</v>
      </c>
      <c r="D1052" s="66" t="s">
        <v>1199</v>
      </c>
      <c r="E1052" s="66" t="s">
        <v>1227</v>
      </c>
      <c r="F1052" s="66" t="s">
        <v>1596</v>
      </c>
      <c r="G1052" s="60" t="s">
        <v>8</v>
      </c>
      <c r="H1052" s="61">
        <v>6.6000000000000005</v>
      </c>
      <c r="I1052" s="61"/>
      <c r="J1052" s="62">
        <v>6.6000000000000005</v>
      </c>
      <c r="K1052" s="63" t="s">
        <v>1722</v>
      </c>
      <c r="L1052" s="64" t="s">
        <v>1199</v>
      </c>
      <c r="M1052" s="64" t="s">
        <v>1227</v>
      </c>
    </row>
    <row r="1053" spans="1:13" s="65" customFormat="1" ht="12" customHeight="1" x14ac:dyDescent="0.2">
      <c r="A1053" s="78">
        <v>202582</v>
      </c>
      <c r="B1053" s="69" t="s">
        <v>1106</v>
      </c>
      <c r="C1053" s="60" t="s">
        <v>1196</v>
      </c>
      <c r="D1053" s="66" t="s">
        <v>1203</v>
      </c>
      <c r="E1053" s="66" t="s">
        <v>1508</v>
      </c>
      <c r="F1053" s="66" t="s">
        <v>1667</v>
      </c>
      <c r="G1053" s="60" t="s">
        <v>8</v>
      </c>
      <c r="H1053" s="61">
        <v>7.9166666666666663E-2</v>
      </c>
      <c r="I1053" s="61"/>
      <c r="J1053" s="62">
        <v>7.9166666666666663E-2</v>
      </c>
      <c r="K1053" s="63" t="s">
        <v>1723</v>
      </c>
      <c r="L1053" s="64" t="s">
        <v>1203</v>
      </c>
      <c r="M1053" s="64" t="s">
        <v>1508</v>
      </c>
    </row>
    <row r="1054" spans="1:13" s="65" customFormat="1" ht="12" customHeight="1" x14ac:dyDescent="0.2">
      <c r="A1054" s="78">
        <v>202631</v>
      </c>
      <c r="B1054" s="69" t="s">
        <v>1107</v>
      </c>
      <c r="C1054" s="60" t="s">
        <v>1196</v>
      </c>
      <c r="D1054" s="66" t="s">
        <v>1201</v>
      </c>
      <c r="E1054" s="66" t="s">
        <v>1380</v>
      </c>
      <c r="F1054" s="66" t="s">
        <v>1614</v>
      </c>
      <c r="G1054" s="60" t="s">
        <v>8</v>
      </c>
      <c r="H1054" s="61">
        <v>0.13819444444444443</v>
      </c>
      <c r="I1054" s="61"/>
      <c r="J1054" s="62">
        <v>0.13819444444444443</v>
      </c>
      <c r="K1054" s="63" t="s">
        <v>1718</v>
      </c>
      <c r="L1054" s="64" t="s">
        <v>1201</v>
      </c>
      <c r="M1054" s="64" t="s">
        <v>1380</v>
      </c>
    </row>
    <row r="1055" spans="1:13" s="65" customFormat="1" ht="12" customHeight="1" x14ac:dyDescent="0.2">
      <c r="A1055" s="78">
        <v>202644</v>
      </c>
      <c r="B1055" s="69" t="s">
        <v>1108</v>
      </c>
      <c r="C1055" s="60" t="s">
        <v>1196</v>
      </c>
      <c r="D1055" s="66" t="s">
        <v>1200</v>
      </c>
      <c r="E1055" s="66" t="s">
        <v>1329</v>
      </c>
      <c r="F1055" s="66" t="s">
        <v>1627</v>
      </c>
      <c r="G1055" s="60" t="s">
        <v>8</v>
      </c>
      <c r="H1055" s="61">
        <v>0.16527777777777777</v>
      </c>
      <c r="I1055" s="61"/>
      <c r="J1055" s="62">
        <v>0.16527777777777777</v>
      </c>
      <c r="K1055" s="63" t="s">
        <v>1718</v>
      </c>
      <c r="L1055" s="64" t="s">
        <v>1200</v>
      </c>
      <c r="M1055" s="64" t="s">
        <v>1329</v>
      </c>
    </row>
    <row r="1056" spans="1:13" s="65" customFormat="1" ht="12" customHeight="1" x14ac:dyDescent="0.2">
      <c r="A1056" s="78">
        <v>202664</v>
      </c>
      <c r="B1056" s="69" t="s">
        <v>1109</v>
      </c>
      <c r="C1056" s="60" t="s">
        <v>1196</v>
      </c>
      <c r="D1056" s="66" t="s">
        <v>1199</v>
      </c>
      <c r="E1056" s="66" t="s">
        <v>1478</v>
      </c>
      <c r="F1056" s="66" t="s">
        <v>1628</v>
      </c>
      <c r="G1056" s="60" t="s">
        <v>7</v>
      </c>
      <c r="H1056" s="61">
        <v>1.0416666666666667</v>
      </c>
      <c r="I1056" s="61">
        <v>1.0416666666666667</v>
      </c>
      <c r="J1056" s="62"/>
      <c r="K1056" s="63" t="s">
        <v>1718</v>
      </c>
      <c r="L1056" s="64" t="s">
        <v>1199</v>
      </c>
      <c r="M1056" s="64" t="s">
        <v>1478</v>
      </c>
    </row>
    <row r="1057" spans="1:13" s="65" customFormat="1" ht="12" customHeight="1" x14ac:dyDescent="0.2">
      <c r="A1057" s="78">
        <v>202699</v>
      </c>
      <c r="B1057" s="69" t="s">
        <v>1110</v>
      </c>
      <c r="C1057" s="60" t="s">
        <v>1196</v>
      </c>
      <c r="D1057" s="66" t="s">
        <v>1201</v>
      </c>
      <c r="E1057" s="66" t="s">
        <v>1333</v>
      </c>
      <c r="F1057" s="66" t="s">
        <v>1661</v>
      </c>
      <c r="G1057" s="60" t="s">
        <v>7</v>
      </c>
      <c r="H1057" s="61">
        <v>7.9333333333333336</v>
      </c>
      <c r="I1057" s="61">
        <v>7.9333333333333336</v>
      </c>
      <c r="J1057" s="62"/>
      <c r="K1057" s="63" t="s">
        <v>1718</v>
      </c>
      <c r="L1057" s="64" t="s">
        <v>1201</v>
      </c>
      <c r="M1057" s="64" t="s">
        <v>1333</v>
      </c>
    </row>
    <row r="1058" spans="1:13" s="65" customFormat="1" ht="12" customHeight="1" x14ac:dyDescent="0.2">
      <c r="A1058" s="78">
        <v>202701</v>
      </c>
      <c r="B1058" s="69" t="s">
        <v>1111</v>
      </c>
      <c r="C1058" s="60" t="s">
        <v>1196</v>
      </c>
      <c r="D1058" s="66" t="s">
        <v>1198</v>
      </c>
      <c r="E1058" s="66" t="s">
        <v>1309</v>
      </c>
      <c r="F1058" s="66" t="s">
        <v>1651</v>
      </c>
      <c r="G1058" s="60" t="s">
        <v>8</v>
      </c>
      <c r="H1058" s="61">
        <v>0.47638888888888892</v>
      </c>
      <c r="I1058" s="61"/>
      <c r="J1058" s="62">
        <v>0.47638888888888892</v>
      </c>
      <c r="K1058" s="63" t="s">
        <v>1718</v>
      </c>
      <c r="L1058" s="64" t="s">
        <v>1198</v>
      </c>
      <c r="M1058" s="64" t="s">
        <v>1309</v>
      </c>
    </row>
    <row r="1059" spans="1:13" s="65" customFormat="1" ht="12" customHeight="1" x14ac:dyDescent="0.2">
      <c r="A1059" s="78">
        <v>202727</v>
      </c>
      <c r="B1059" s="69" t="s">
        <v>1112</v>
      </c>
      <c r="C1059" s="60" t="s">
        <v>1196</v>
      </c>
      <c r="D1059" s="66" t="s">
        <v>1197</v>
      </c>
      <c r="E1059" s="66" t="s">
        <v>1265</v>
      </c>
      <c r="F1059" s="66" t="s">
        <v>1623</v>
      </c>
      <c r="G1059" s="60" t="s">
        <v>8</v>
      </c>
      <c r="H1059" s="61">
        <v>0.69166666666666676</v>
      </c>
      <c r="I1059" s="61"/>
      <c r="J1059" s="62">
        <v>0.69166666666666676</v>
      </c>
      <c r="K1059" s="63" t="s">
        <v>1723</v>
      </c>
      <c r="L1059" s="64" t="s">
        <v>1197</v>
      </c>
      <c r="M1059" s="64" t="s">
        <v>1265</v>
      </c>
    </row>
    <row r="1060" spans="1:13" s="65" customFormat="1" ht="12" customHeight="1" x14ac:dyDescent="0.2">
      <c r="A1060" s="78">
        <v>202742</v>
      </c>
      <c r="B1060" s="69" t="s">
        <v>1113</v>
      </c>
      <c r="C1060" s="60" t="s">
        <v>1196</v>
      </c>
      <c r="D1060" s="66" t="s">
        <v>1204</v>
      </c>
      <c r="E1060" s="66" t="s">
        <v>1408</v>
      </c>
      <c r="F1060" s="66" t="s">
        <v>1687</v>
      </c>
      <c r="G1060" s="60" t="s">
        <v>7</v>
      </c>
      <c r="H1060" s="61">
        <v>7.7166666666666668</v>
      </c>
      <c r="I1060" s="61">
        <v>7.7166666666666668</v>
      </c>
      <c r="J1060" s="62"/>
      <c r="K1060" s="63" t="s">
        <v>1718</v>
      </c>
      <c r="L1060" s="64" t="s">
        <v>1204</v>
      </c>
      <c r="M1060" s="64" t="s">
        <v>1408</v>
      </c>
    </row>
    <row r="1061" spans="1:13" s="65" customFormat="1" ht="12" customHeight="1" x14ac:dyDescent="0.2">
      <c r="A1061" s="78">
        <v>202746</v>
      </c>
      <c r="B1061" s="69" t="s">
        <v>1114</v>
      </c>
      <c r="C1061" s="60" t="s">
        <v>1196</v>
      </c>
      <c r="D1061" s="66" t="s">
        <v>1202</v>
      </c>
      <c r="E1061" s="66" t="s">
        <v>1295</v>
      </c>
      <c r="F1061" s="66" t="s">
        <v>1644</v>
      </c>
      <c r="G1061" s="60" t="s">
        <v>8</v>
      </c>
      <c r="H1061" s="61">
        <v>2.6590277777777778</v>
      </c>
      <c r="I1061" s="61"/>
      <c r="J1061" s="62">
        <v>2.6590277777777778</v>
      </c>
      <c r="K1061" s="63" t="s">
        <v>1718</v>
      </c>
      <c r="L1061" s="64" t="s">
        <v>1202</v>
      </c>
      <c r="M1061" s="64" t="s">
        <v>1295</v>
      </c>
    </row>
    <row r="1062" spans="1:13" s="65" customFormat="1" ht="12" customHeight="1" x14ac:dyDescent="0.2">
      <c r="A1062" s="78">
        <v>202770</v>
      </c>
      <c r="B1062" s="69" t="s">
        <v>1115</v>
      </c>
      <c r="C1062" s="60" t="s">
        <v>1196</v>
      </c>
      <c r="D1062" s="66" t="s">
        <v>1202</v>
      </c>
      <c r="E1062" s="66" t="s">
        <v>1405</v>
      </c>
      <c r="F1062" s="66" t="s">
        <v>1684</v>
      </c>
      <c r="G1062" s="60" t="s">
        <v>8</v>
      </c>
      <c r="H1062" s="61">
        <v>0.74305555555555547</v>
      </c>
      <c r="I1062" s="61"/>
      <c r="J1062" s="62">
        <v>0.74305555555555547</v>
      </c>
      <c r="K1062" s="63" t="s">
        <v>1723</v>
      </c>
      <c r="L1062" s="64" t="s">
        <v>1202</v>
      </c>
      <c r="M1062" s="64" t="s">
        <v>1405</v>
      </c>
    </row>
    <row r="1063" spans="1:13" s="65" customFormat="1" ht="12" customHeight="1" x14ac:dyDescent="0.2">
      <c r="A1063" s="78">
        <v>202805</v>
      </c>
      <c r="B1063" s="69" t="s">
        <v>1116</v>
      </c>
      <c r="C1063" s="60" t="s">
        <v>1196</v>
      </c>
      <c r="D1063" s="66" t="s">
        <v>1203</v>
      </c>
      <c r="E1063" s="66" t="s">
        <v>1467</v>
      </c>
      <c r="F1063" s="66" t="s">
        <v>1648</v>
      </c>
      <c r="G1063" s="60" t="s">
        <v>7</v>
      </c>
      <c r="H1063" s="61">
        <v>15.299305555555556</v>
      </c>
      <c r="I1063" s="61">
        <v>15.299305555555556</v>
      </c>
      <c r="J1063" s="62"/>
      <c r="K1063" s="63" t="s">
        <v>1718</v>
      </c>
      <c r="L1063" s="64" t="s">
        <v>1203</v>
      </c>
      <c r="M1063" s="64" t="s">
        <v>1467</v>
      </c>
    </row>
    <row r="1064" spans="1:13" s="65" customFormat="1" ht="12" customHeight="1" x14ac:dyDescent="0.2">
      <c r="A1064" s="78">
        <v>202808</v>
      </c>
      <c r="B1064" s="69" t="s">
        <v>1117</v>
      </c>
      <c r="C1064" s="60" t="s">
        <v>1196</v>
      </c>
      <c r="D1064" s="66" t="s">
        <v>1203</v>
      </c>
      <c r="E1064" s="66" t="s">
        <v>1345</v>
      </c>
      <c r="F1064" s="66" t="s">
        <v>1642</v>
      </c>
      <c r="G1064" s="60" t="s">
        <v>8</v>
      </c>
      <c r="H1064" s="61">
        <v>0.27847222222222223</v>
      </c>
      <c r="I1064" s="61"/>
      <c r="J1064" s="62">
        <v>0.27847222222222223</v>
      </c>
      <c r="K1064" s="63" t="s">
        <v>1718</v>
      </c>
      <c r="L1064" s="64" t="s">
        <v>1203</v>
      </c>
      <c r="M1064" s="64" t="s">
        <v>1345</v>
      </c>
    </row>
    <row r="1065" spans="1:13" s="65" customFormat="1" ht="12" customHeight="1" x14ac:dyDescent="0.2">
      <c r="A1065" s="78">
        <v>202825</v>
      </c>
      <c r="B1065" s="69" t="s">
        <v>1118</v>
      </c>
      <c r="C1065" s="60" t="s">
        <v>1196</v>
      </c>
      <c r="D1065" s="66" t="s">
        <v>1204</v>
      </c>
      <c r="E1065" s="66" t="s">
        <v>1256</v>
      </c>
      <c r="F1065" s="66" t="s">
        <v>1618</v>
      </c>
      <c r="G1065" s="60" t="s">
        <v>8</v>
      </c>
      <c r="H1065" s="61">
        <v>0.17916666666666667</v>
      </c>
      <c r="I1065" s="61"/>
      <c r="J1065" s="62">
        <v>0.17916666666666667</v>
      </c>
      <c r="K1065" s="63" t="s">
        <v>1722</v>
      </c>
      <c r="L1065" s="64" t="s">
        <v>1204</v>
      </c>
      <c r="M1065" s="64" t="s">
        <v>1256</v>
      </c>
    </row>
    <row r="1066" spans="1:13" s="65" customFormat="1" ht="12" customHeight="1" x14ac:dyDescent="0.2">
      <c r="A1066" s="78">
        <v>202844</v>
      </c>
      <c r="B1066" s="69" t="s">
        <v>1119</v>
      </c>
      <c r="C1066" s="60" t="s">
        <v>1196</v>
      </c>
      <c r="D1066" s="66" t="s">
        <v>1202</v>
      </c>
      <c r="E1066" s="66" t="s">
        <v>1253</v>
      </c>
      <c r="F1066" s="66" t="s">
        <v>1617</v>
      </c>
      <c r="G1066" s="60" t="s">
        <v>7</v>
      </c>
      <c r="H1066" s="61">
        <v>3.5770833333333334</v>
      </c>
      <c r="I1066" s="61">
        <v>3.5770833333333334</v>
      </c>
      <c r="J1066" s="62"/>
      <c r="K1066" s="63" t="s">
        <v>1722</v>
      </c>
      <c r="L1066" s="64" t="s">
        <v>1202</v>
      </c>
      <c r="M1066" s="64" t="s">
        <v>1253</v>
      </c>
    </row>
    <row r="1067" spans="1:13" s="65" customFormat="1" ht="12" customHeight="1" x14ac:dyDescent="0.2">
      <c r="A1067" s="78">
        <v>202863</v>
      </c>
      <c r="B1067" s="69" t="s">
        <v>1120</v>
      </c>
      <c r="C1067" s="60" t="s">
        <v>1196</v>
      </c>
      <c r="D1067" s="66" t="s">
        <v>1198</v>
      </c>
      <c r="E1067" s="66" t="s">
        <v>1343</v>
      </c>
      <c r="F1067" s="66" t="s">
        <v>1607</v>
      </c>
      <c r="G1067" s="60" t="s">
        <v>7</v>
      </c>
      <c r="H1067" s="61">
        <v>0.85</v>
      </c>
      <c r="I1067" s="61">
        <v>0.85</v>
      </c>
      <c r="J1067" s="62"/>
      <c r="K1067" s="63" t="s">
        <v>1718</v>
      </c>
      <c r="L1067" s="64" t="s">
        <v>1198</v>
      </c>
      <c r="M1067" s="64" t="s">
        <v>1343</v>
      </c>
    </row>
    <row r="1068" spans="1:13" s="65" customFormat="1" ht="12" customHeight="1" x14ac:dyDescent="0.2">
      <c r="A1068" s="78">
        <v>202865</v>
      </c>
      <c r="B1068" s="69" t="s">
        <v>1121</v>
      </c>
      <c r="C1068" s="60" t="s">
        <v>1196</v>
      </c>
      <c r="D1068" s="66" t="s">
        <v>1203</v>
      </c>
      <c r="E1068" s="66" t="s">
        <v>1334</v>
      </c>
      <c r="F1068" s="66" t="s">
        <v>1639</v>
      </c>
      <c r="G1068" s="60" t="s">
        <v>8</v>
      </c>
      <c r="H1068" s="61">
        <v>1.6402777777777777</v>
      </c>
      <c r="I1068" s="61"/>
      <c r="J1068" s="62">
        <v>1.6402777777777777</v>
      </c>
      <c r="K1068" s="63" t="s">
        <v>1718</v>
      </c>
      <c r="L1068" s="64" t="s">
        <v>1203</v>
      </c>
      <c r="M1068" s="64" t="s">
        <v>1334</v>
      </c>
    </row>
    <row r="1069" spans="1:13" s="65" customFormat="1" ht="12" customHeight="1" x14ac:dyDescent="0.2">
      <c r="A1069" s="78">
        <v>202882</v>
      </c>
      <c r="B1069" s="69" t="s">
        <v>1122</v>
      </c>
      <c r="C1069" s="60" t="s">
        <v>1196</v>
      </c>
      <c r="D1069" s="66" t="s">
        <v>1201</v>
      </c>
      <c r="E1069" s="66" t="s">
        <v>1399</v>
      </c>
      <c r="F1069" s="66" t="s">
        <v>1673</v>
      </c>
      <c r="G1069" s="60" t="s">
        <v>7</v>
      </c>
      <c r="H1069" s="61">
        <v>8.6999999999999993</v>
      </c>
      <c r="I1069" s="61">
        <v>8.6999999999999993</v>
      </c>
      <c r="J1069" s="62"/>
      <c r="K1069" s="63" t="s">
        <v>1723</v>
      </c>
      <c r="L1069" s="64" t="s">
        <v>1201</v>
      </c>
      <c r="M1069" s="64" t="s">
        <v>1399</v>
      </c>
    </row>
    <row r="1070" spans="1:13" s="65" customFormat="1" ht="12" customHeight="1" x14ac:dyDescent="0.2">
      <c r="A1070" s="78">
        <v>202909</v>
      </c>
      <c r="B1070" s="69" t="s">
        <v>1123</v>
      </c>
      <c r="C1070" s="60" t="s">
        <v>1196</v>
      </c>
      <c r="D1070" s="66" t="s">
        <v>1203</v>
      </c>
      <c r="E1070" s="66" t="s">
        <v>1286</v>
      </c>
      <c r="F1070" s="66" t="s">
        <v>1638</v>
      </c>
      <c r="G1070" s="60" t="s">
        <v>8</v>
      </c>
      <c r="H1070" s="61">
        <v>0.34722222222222227</v>
      </c>
      <c r="I1070" s="61"/>
      <c r="J1070" s="62">
        <v>0.34722222222222227</v>
      </c>
      <c r="K1070" s="63" t="s">
        <v>1723</v>
      </c>
      <c r="L1070" s="64" t="s">
        <v>1203</v>
      </c>
      <c r="M1070" s="64" t="s">
        <v>1286</v>
      </c>
    </row>
    <row r="1071" spans="1:13" s="65" customFormat="1" ht="12" customHeight="1" x14ac:dyDescent="0.2">
      <c r="A1071" s="78">
        <v>202916</v>
      </c>
      <c r="B1071" s="69" t="s">
        <v>1124</v>
      </c>
      <c r="C1071" s="60" t="s">
        <v>1196</v>
      </c>
      <c r="D1071" s="66" t="s">
        <v>1203</v>
      </c>
      <c r="E1071" s="66" t="s">
        <v>1345</v>
      </c>
      <c r="F1071" s="66" t="s">
        <v>1642</v>
      </c>
      <c r="G1071" s="60" t="s">
        <v>8</v>
      </c>
      <c r="H1071" s="61">
        <v>0.4145833333333333</v>
      </c>
      <c r="I1071" s="61"/>
      <c r="J1071" s="62">
        <v>0.4145833333333333</v>
      </c>
      <c r="K1071" s="63" t="s">
        <v>1718</v>
      </c>
      <c r="L1071" s="64" t="s">
        <v>1203</v>
      </c>
      <c r="M1071" s="64" t="s">
        <v>1345</v>
      </c>
    </row>
    <row r="1072" spans="1:13" s="65" customFormat="1" ht="12" customHeight="1" x14ac:dyDescent="0.2">
      <c r="A1072" s="78">
        <v>202925</v>
      </c>
      <c r="B1072" s="69" t="s">
        <v>1125</v>
      </c>
      <c r="C1072" s="60" t="s">
        <v>1196</v>
      </c>
      <c r="D1072" s="66" t="s">
        <v>1205</v>
      </c>
      <c r="E1072" s="66" t="s">
        <v>1473</v>
      </c>
      <c r="F1072" s="66" t="s">
        <v>1682</v>
      </c>
      <c r="G1072" s="60" t="s">
        <v>7</v>
      </c>
      <c r="H1072" s="61">
        <v>32.266666666666666</v>
      </c>
      <c r="I1072" s="61">
        <v>32.266666666666666</v>
      </c>
      <c r="J1072" s="62"/>
      <c r="K1072" s="63" t="s">
        <v>1723</v>
      </c>
      <c r="L1072" s="64" t="s">
        <v>1205</v>
      </c>
      <c r="M1072" s="64" t="s">
        <v>1473</v>
      </c>
    </row>
    <row r="1073" spans="1:13" s="65" customFormat="1" ht="12" customHeight="1" x14ac:dyDescent="0.2">
      <c r="A1073" s="78">
        <v>202938</v>
      </c>
      <c r="B1073" s="69" t="s">
        <v>1126</v>
      </c>
      <c r="C1073" s="60" t="s">
        <v>1196</v>
      </c>
      <c r="D1073" s="66" t="s">
        <v>1198</v>
      </c>
      <c r="E1073" s="66" t="s">
        <v>1244</v>
      </c>
      <c r="F1073" s="66" t="s">
        <v>1611</v>
      </c>
      <c r="G1073" s="60" t="s">
        <v>7</v>
      </c>
      <c r="H1073" s="61">
        <v>9.3611111111111107</v>
      </c>
      <c r="I1073" s="61">
        <v>9.3611111111111107</v>
      </c>
      <c r="J1073" s="62"/>
      <c r="K1073" s="63" t="s">
        <v>1723</v>
      </c>
      <c r="L1073" s="64" t="s">
        <v>1198</v>
      </c>
      <c r="M1073" s="64" t="s">
        <v>1244</v>
      </c>
    </row>
    <row r="1074" spans="1:13" s="65" customFormat="1" ht="12" customHeight="1" x14ac:dyDescent="0.2">
      <c r="A1074" s="78">
        <v>202952</v>
      </c>
      <c r="B1074" s="69" t="s">
        <v>1127</v>
      </c>
      <c r="C1074" s="60" t="s">
        <v>1196</v>
      </c>
      <c r="D1074" s="66" t="s">
        <v>1198</v>
      </c>
      <c r="E1074" s="66" t="s">
        <v>1383</v>
      </c>
      <c r="F1074" s="66" t="s">
        <v>1611</v>
      </c>
      <c r="G1074" s="60" t="s">
        <v>7</v>
      </c>
      <c r="H1074" s="61">
        <v>1.5833333333333335</v>
      </c>
      <c r="I1074" s="61">
        <v>1.5833333333333335</v>
      </c>
      <c r="J1074" s="62"/>
      <c r="K1074" s="63" t="s">
        <v>1718</v>
      </c>
      <c r="L1074" s="64" t="s">
        <v>1198</v>
      </c>
      <c r="M1074" s="64" t="s">
        <v>1383</v>
      </c>
    </row>
    <row r="1075" spans="1:13" s="65" customFormat="1" ht="12" customHeight="1" x14ac:dyDescent="0.2">
      <c r="A1075" s="78">
        <v>202977</v>
      </c>
      <c r="B1075" s="69" t="s">
        <v>1128</v>
      </c>
      <c r="C1075" s="60" t="s">
        <v>1196</v>
      </c>
      <c r="D1075" s="66" t="s">
        <v>1199</v>
      </c>
      <c r="E1075" s="66" t="s">
        <v>1315</v>
      </c>
      <c r="F1075" s="66" t="s">
        <v>1635</v>
      </c>
      <c r="G1075" s="60" t="s">
        <v>8</v>
      </c>
      <c r="H1075" s="61">
        <v>0.56041666666666667</v>
      </c>
      <c r="I1075" s="61"/>
      <c r="J1075" s="62">
        <v>0.56041666666666667</v>
      </c>
      <c r="K1075" s="63" t="s">
        <v>1718</v>
      </c>
      <c r="L1075" s="64" t="s">
        <v>1199</v>
      </c>
      <c r="M1075" s="64" t="s">
        <v>1315</v>
      </c>
    </row>
    <row r="1076" spans="1:13" s="65" customFormat="1" ht="12" customHeight="1" x14ac:dyDescent="0.2">
      <c r="A1076" s="78">
        <v>203000</v>
      </c>
      <c r="B1076" s="69" t="s">
        <v>1129</v>
      </c>
      <c r="C1076" s="60" t="s">
        <v>1196</v>
      </c>
      <c r="D1076" s="66" t="s">
        <v>1199</v>
      </c>
      <c r="E1076" s="66" t="s">
        <v>1478</v>
      </c>
      <c r="F1076" s="66" t="s">
        <v>1628</v>
      </c>
      <c r="G1076" s="60" t="s">
        <v>8</v>
      </c>
      <c r="H1076" s="61">
        <v>5.4166666666666669E-2</v>
      </c>
      <c r="I1076" s="61"/>
      <c r="J1076" s="62">
        <v>5.4166666666666669E-2</v>
      </c>
      <c r="K1076" s="63" t="s">
        <v>1718</v>
      </c>
      <c r="L1076" s="64" t="s">
        <v>1199</v>
      </c>
      <c r="M1076" s="64" t="s">
        <v>1478</v>
      </c>
    </row>
    <row r="1077" spans="1:13" s="65" customFormat="1" ht="12" customHeight="1" x14ac:dyDescent="0.2">
      <c r="A1077" s="78">
        <v>203017</v>
      </c>
      <c r="B1077" s="69" t="s">
        <v>1130</v>
      </c>
      <c r="C1077" s="60" t="s">
        <v>1196</v>
      </c>
      <c r="D1077" s="66" t="s">
        <v>1198</v>
      </c>
      <c r="E1077" s="66" t="s">
        <v>1383</v>
      </c>
      <c r="F1077" s="66" t="s">
        <v>1611</v>
      </c>
      <c r="G1077" s="60" t="s">
        <v>7</v>
      </c>
      <c r="H1077" s="61">
        <v>0.10625</v>
      </c>
      <c r="I1077" s="61">
        <v>0.10625</v>
      </c>
      <c r="J1077" s="62"/>
      <c r="K1077" s="63" t="s">
        <v>1718</v>
      </c>
      <c r="L1077" s="64" t="s">
        <v>1198</v>
      </c>
      <c r="M1077" s="64" t="s">
        <v>1383</v>
      </c>
    </row>
    <row r="1078" spans="1:13" s="65" customFormat="1" ht="12" customHeight="1" x14ac:dyDescent="0.2">
      <c r="A1078" s="78">
        <v>203026</v>
      </c>
      <c r="B1078" s="69" t="s">
        <v>1131</v>
      </c>
      <c r="C1078" s="60" t="s">
        <v>1196</v>
      </c>
      <c r="D1078" s="66" t="s">
        <v>1199</v>
      </c>
      <c r="E1078" s="66" t="s">
        <v>1341</v>
      </c>
      <c r="F1078" s="66" t="s">
        <v>1666</v>
      </c>
      <c r="G1078" s="60" t="s">
        <v>7</v>
      </c>
      <c r="H1078" s="61">
        <v>0.21180555555555555</v>
      </c>
      <c r="I1078" s="61">
        <v>0.21180555555555555</v>
      </c>
      <c r="J1078" s="62"/>
      <c r="K1078" s="63" t="s">
        <v>1718</v>
      </c>
      <c r="L1078" s="64" t="s">
        <v>1199</v>
      </c>
      <c r="M1078" s="64" t="s">
        <v>1341</v>
      </c>
    </row>
    <row r="1079" spans="1:13" s="65" customFormat="1" ht="12" customHeight="1" x14ac:dyDescent="0.2">
      <c r="A1079" s="78">
        <v>203054</v>
      </c>
      <c r="B1079" s="69" t="s">
        <v>1132</v>
      </c>
      <c r="C1079" s="60" t="s">
        <v>1196</v>
      </c>
      <c r="D1079" s="66" t="s">
        <v>1203</v>
      </c>
      <c r="E1079" s="66" t="s">
        <v>1427</v>
      </c>
      <c r="F1079" s="66" t="s">
        <v>1643</v>
      </c>
      <c r="G1079" s="60" t="s">
        <v>7</v>
      </c>
      <c r="H1079" s="61">
        <v>0.10277777777777779</v>
      </c>
      <c r="I1079" s="61">
        <v>0.10277777777777779</v>
      </c>
      <c r="J1079" s="62"/>
      <c r="K1079" s="63" t="s">
        <v>1718</v>
      </c>
      <c r="L1079" s="64" t="s">
        <v>1203</v>
      </c>
      <c r="M1079" s="64" t="s">
        <v>1427</v>
      </c>
    </row>
    <row r="1080" spans="1:13" s="65" customFormat="1" ht="12" customHeight="1" x14ac:dyDescent="0.2">
      <c r="A1080" s="78">
        <v>203069</v>
      </c>
      <c r="B1080" s="69" t="s">
        <v>1133</v>
      </c>
      <c r="C1080" s="60" t="s">
        <v>1196</v>
      </c>
      <c r="D1080" s="66" t="s">
        <v>1198</v>
      </c>
      <c r="E1080" s="66" t="s">
        <v>1500</v>
      </c>
      <c r="F1080" s="66" t="s">
        <v>1649</v>
      </c>
      <c r="G1080" s="60" t="s">
        <v>8</v>
      </c>
      <c r="H1080" s="61">
        <v>0.34583333333333338</v>
      </c>
      <c r="I1080" s="61"/>
      <c r="J1080" s="62">
        <v>0.34583333333333338</v>
      </c>
      <c r="K1080" s="63" t="s">
        <v>1718</v>
      </c>
      <c r="L1080" s="64" t="s">
        <v>1198</v>
      </c>
      <c r="M1080" s="64" t="s">
        <v>1500</v>
      </c>
    </row>
    <row r="1081" spans="1:13" s="65" customFormat="1" ht="12" customHeight="1" x14ac:dyDescent="0.2">
      <c r="A1081" s="78">
        <v>203075</v>
      </c>
      <c r="B1081" s="69" t="s">
        <v>1134</v>
      </c>
      <c r="C1081" s="60" t="s">
        <v>1196</v>
      </c>
      <c r="D1081" s="66" t="s">
        <v>1199</v>
      </c>
      <c r="E1081" s="66" t="s">
        <v>1315</v>
      </c>
      <c r="F1081" s="66" t="s">
        <v>1635</v>
      </c>
      <c r="G1081" s="60" t="s">
        <v>7</v>
      </c>
      <c r="H1081" s="61">
        <v>5.6944444444444443E-2</v>
      </c>
      <c r="I1081" s="61">
        <v>5.6944444444444443E-2</v>
      </c>
      <c r="J1081" s="62"/>
      <c r="K1081" s="63" t="s">
        <v>1718</v>
      </c>
      <c r="L1081" s="64" t="s">
        <v>1199</v>
      </c>
      <c r="M1081" s="64" t="s">
        <v>1315</v>
      </c>
    </row>
    <row r="1082" spans="1:13" s="65" customFormat="1" ht="12" customHeight="1" x14ac:dyDescent="0.2">
      <c r="A1082" s="78">
        <v>203078</v>
      </c>
      <c r="B1082" s="69" t="s">
        <v>1135</v>
      </c>
      <c r="C1082" s="60" t="s">
        <v>1196</v>
      </c>
      <c r="D1082" s="66" t="s">
        <v>1200</v>
      </c>
      <c r="E1082" s="66" t="s">
        <v>1350</v>
      </c>
      <c r="F1082" s="66" t="s">
        <v>1613</v>
      </c>
      <c r="G1082" s="60" t="s">
        <v>7</v>
      </c>
      <c r="H1082" s="61">
        <v>2.942361111111111</v>
      </c>
      <c r="I1082" s="61">
        <v>2.942361111111111</v>
      </c>
      <c r="J1082" s="62"/>
      <c r="K1082" s="63" t="s">
        <v>1718</v>
      </c>
      <c r="L1082" s="64" t="s">
        <v>1200</v>
      </c>
      <c r="M1082" s="64" t="s">
        <v>1350</v>
      </c>
    </row>
    <row r="1083" spans="1:13" s="65" customFormat="1" ht="12" customHeight="1" x14ac:dyDescent="0.2">
      <c r="A1083" s="78">
        <v>203107</v>
      </c>
      <c r="B1083" s="69" t="s">
        <v>1136</v>
      </c>
      <c r="C1083" s="60" t="s">
        <v>1196</v>
      </c>
      <c r="D1083" s="66" t="s">
        <v>1203</v>
      </c>
      <c r="E1083" s="66" t="s">
        <v>1427</v>
      </c>
      <c r="F1083" s="66" t="s">
        <v>1643</v>
      </c>
      <c r="G1083" s="60" t="s">
        <v>8</v>
      </c>
      <c r="H1083" s="61">
        <v>1.0909722222222222</v>
      </c>
      <c r="I1083" s="61"/>
      <c r="J1083" s="62">
        <v>1.0909722222222222</v>
      </c>
      <c r="K1083" s="63" t="s">
        <v>1718</v>
      </c>
      <c r="L1083" s="64" t="s">
        <v>1203</v>
      </c>
      <c r="M1083" s="64" t="s">
        <v>1427</v>
      </c>
    </row>
    <row r="1084" spans="1:13" s="65" customFormat="1" ht="12" customHeight="1" x14ac:dyDescent="0.2">
      <c r="A1084" s="78">
        <v>203111</v>
      </c>
      <c r="B1084" s="69" t="s">
        <v>1137</v>
      </c>
      <c r="C1084" s="60" t="s">
        <v>1196</v>
      </c>
      <c r="D1084" s="66" t="s">
        <v>1203</v>
      </c>
      <c r="E1084" s="66" t="s">
        <v>1427</v>
      </c>
      <c r="F1084" s="66" t="s">
        <v>1643</v>
      </c>
      <c r="G1084" s="60" t="s">
        <v>8</v>
      </c>
      <c r="H1084" s="61">
        <v>0.13194444444444445</v>
      </c>
      <c r="I1084" s="61"/>
      <c r="J1084" s="62">
        <v>0.13194444444444445</v>
      </c>
      <c r="K1084" s="63" t="s">
        <v>1718</v>
      </c>
      <c r="L1084" s="64" t="s">
        <v>1203</v>
      </c>
      <c r="M1084" s="64" t="s">
        <v>1427</v>
      </c>
    </row>
    <row r="1085" spans="1:13" s="65" customFormat="1" ht="12" customHeight="1" x14ac:dyDescent="0.2">
      <c r="A1085" s="78">
        <v>203114</v>
      </c>
      <c r="B1085" s="69" t="s">
        <v>1138</v>
      </c>
      <c r="C1085" s="60" t="s">
        <v>1196</v>
      </c>
      <c r="D1085" s="66" t="s">
        <v>1203</v>
      </c>
      <c r="E1085" s="66" t="s">
        <v>1345</v>
      </c>
      <c r="F1085" s="66" t="s">
        <v>1642</v>
      </c>
      <c r="G1085" s="60" t="s">
        <v>8</v>
      </c>
      <c r="H1085" s="61">
        <v>0.29097222222222224</v>
      </c>
      <c r="I1085" s="61"/>
      <c r="J1085" s="62">
        <v>0.29097222222222224</v>
      </c>
      <c r="K1085" s="63" t="s">
        <v>1718</v>
      </c>
      <c r="L1085" s="64" t="s">
        <v>1203</v>
      </c>
      <c r="M1085" s="64" t="s">
        <v>1345</v>
      </c>
    </row>
    <row r="1086" spans="1:13" s="65" customFormat="1" ht="12" customHeight="1" x14ac:dyDescent="0.2">
      <c r="A1086" s="78">
        <v>203137</v>
      </c>
      <c r="B1086" s="69" t="s">
        <v>1139</v>
      </c>
      <c r="C1086" s="60" t="s">
        <v>1196</v>
      </c>
      <c r="D1086" s="66" t="s">
        <v>1203</v>
      </c>
      <c r="E1086" s="66" t="s">
        <v>1467</v>
      </c>
      <c r="F1086" s="66" t="s">
        <v>1648</v>
      </c>
      <c r="G1086" s="60" t="s">
        <v>7</v>
      </c>
      <c r="H1086" s="61">
        <v>4.2048611111111107</v>
      </c>
      <c r="I1086" s="61">
        <v>4.2048611111111107</v>
      </c>
      <c r="J1086" s="62"/>
      <c r="K1086" s="63" t="s">
        <v>1718</v>
      </c>
      <c r="L1086" s="64" t="s">
        <v>1203</v>
      </c>
      <c r="M1086" s="64" t="s">
        <v>1467</v>
      </c>
    </row>
    <row r="1087" spans="1:13" s="65" customFormat="1" ht="12" customHeight="1" x14ac:dyDescent="0.2">
      <c r="A1087" s="78">
        <v>203144</v>
      </c>
      <c r="B1087" s="69" t="s">
        <v>1140</v>
      </c>
      <c r="C1087" s="60" t="s">
        <v>1196</v>
      </c>
      <c r="D1087" s="66" t="s">
        <v>1200</v>
      </c>
      <c r="E1087" s="66" t="s">
        <v>1424</v>
      </c>
      <c r="F1087" s="66" t="s">
        <v>1597</v>
      </c>
      <c r="G1087" s="60" t="s">
        <v>8</v>
      </c>
      <c r="H1087" s="61">
        <v>0.99583333333333324</v>
      </c>
      <c r="I1087" s="61"/>
      <c r="J1087" s="62">
        <v>0.99583333333333324</v>
      </c>
      <c r="K1087" s="63" t="s">
        <v>1718</v>
      </c>
      <c r="L1087" s="64" t="s">
        <v>1200</v>
      </c>
      <c r="M1087" s="64" t="s">
        <v>1424</v>
      </c>
    </row>
    <row r="1088" spans="1:13" s="65" customFormat="1" ht="12" customHeight="1" x14ac:dyDescent="0.2">
      <c r="A1088" s="78">
        <v>203184</v>
      </c>
      <c r="B1088" s="69" t="s">
        <v>1141</v>
      </c>
      <c r="C1088" s="60" t="s">
        <v>1196</v>
      </c>
      <c r="D1088" s="66" t="s">
        <v>1199</v>
      </c>
      <c r="E1088" s="66" t="s">
        <v>1478</v>
      </c>
      <c r="F1088" s="66" t="s">
        <v>1628</v>
      </c>
      <c r="G1088" s="60" t="s">
        <v>8</v>
      </c>
      <c r="H1088" s="61">
        <v>0.7402777777777777</v>
      </c>
      <c r="I1088" s="61"/>
      <c r="J1088" s="62">
        <v>0.7402777777777777</v>
      </c>
      <c r="K1088" s="63" t="s">
        <v>1718</v>
      </c>
      <c r="L1088" s="64" t="s">
        <v>1199</v>
      </c>
      <c r="M1088" s="64" t="s">
        <v>1478</v>
      </c>
    </row>
    <row r="1089" spans="1:13" s="65" customFormat="1" ht="12" customHeight="1" x14ac:dyDescent="0.2">
      <c r="A1089" s="78">
        <v>203223</v>
      </c>
      <c r="B1089" s="69" t="s">
        <v>1142</v>
      </c>
      <c r="C1089" s="60" t="s">
        <v>1196</v>
      </c>
      <c r="D1089" s="66" t="s">
        <v>1201</v>
      </c>
      <c r="E1089" s="66" t="s">
        <v>1367</v>
      </c>
      <c r="F1089" s="66" t="s">
        <v>1673</v>
      </c>
      <c r="G1089" s="60" t="s">
        <v>7</v>
      </c>
      <c r="H1089" s="61">
        <v>7.3777777777777782</v>
      </c>
      <c r="I1089" s="61">
        <v>7.3777777777777782</v>
      </c>
      <c r="J1089" s="62"/>
      <c r="K1089" s="63" t="s">
        <v>1718</v>
      </c>
      <c r="L1089" s="64" t="s">
        <v>1201</v>
      </c>
      <c r="M1089" s="64" t="s">
        <v>1367</v>
      </c>
    </row>
    <row r="1090" spans="1:13" s="65" customFormat="1" ht="12" customHeight="1" x14ac:dyDescent="0.2">
      <c r="A1090" s="78">
        <v>203231</v>
      </c>
      <c r="B1090" s="69" t="s">
        <v>1143</v>
      </c>
      <c r="C1090" s="60" t="s">
        <v>1196</v>
      </c>
      <c r="D1090" s="66" t="s">
        <v>1205</v>
      </c>
      <c r="E1090" s="66" t="s">
        <v>1391</v>
      </c>
      <c r="F1090" s="66" t="s">
        <v>1620</v>
      </c>
      <c r="G1090" s="60" t="s">
        <v>8</v>
      </c>
      <c r="H1090" s="61">
        <v>1.0152777777777777</v>
      </c>
      <c r="I1090" s="61"/>
      <c r="J1090" s="62">
        <v>1.0152777777777777</v>
      </c>
      <c r="K1090" s="63" t="s">
        <v>1718</v>
      </c>
      <c r="L1090" s="64" t="s">
        <v>1205</v>
      </c>
      <c r="M1090" s="64" t="s">
        <v>1391</v>
      </c>
    </row>
    <row r="1091" spans="1:13" s="65" customFormat="1" ht="12" customHeight="1" x14ac:dyDescent="0.2">
      <c r="A1091" s="78">
        <v>203258</v>
      </c>
      <c r="B1091" s="69" t="s">
        <v>1144</v>
      </c>
      <c r="C1091" s="60" t="s">
        <v>1196</v>
      </c>
      <c r="D1091" s="66" t="s">
        <v>1200</v>
      </c>
      <c r="E1091" s="66" t="s">
        <v>1449</v>
      </c>
      <c r="F1091" s="66" t="s">
        <v>1699</v>
      </c>
      <c r="G1091" s="60" t="s">
        <v>8</v>
      </c>
      <c r="H1091" s="61">
        <v>0.73472222222222217</v>
      </c>
      <c r="I1091" s="61"/>
      <c r="J1091" s="62">
        <v>0.73472222222222217</v>
      </c>
      <c r="K1091" s="63" t="s">
        <v>1718</v>
      </c>
      <c r="L1091" s="64" t="s">
        <v>1200</v>
      </c>
      <c r="M1091" s="64" t="s">
        <v>1449</v>
      </c>
    </row>
    <row r="1092" spans="1:13" s="65" customFormat="1" ht="12" customHeight="1" x14ac:dyDescent="0.2">
      <c r="A1092" s="78">
        <v>203277</v>
      </c>
      <c r="B1092" s="69" t="s">
        <v>1145</v>
      </c>
      <c r="C1092" s="60" t="s">
        <v>1196</v>
      </c>
      <c r="D1092" s="66" t="s">
        <v>1200</v>
      </c>
      <c r="E1092" s="66" t="s">
        <v>1449</v>
      </c>
      <c r="F1092" s="66" t="s">
        <v>1699</v>
      </c>
      <c r="G1092" s="60" t="s">
        <v>8</v>
      </c>
      <c r="H1092" s="61">
        <v>0.71250000000000002</v>
      </c>
      <c r="I1092" s="61"/>
      <c r="J1092" s="62">
        <v>0.71250000000000002</v>
      </c>
      <c r="K1092" s="63" t="s">
        <v>1718</v>
      </c>
      <c r="L1092" s="64" t="s">
        <v>1200</v>
      </c>
      <c r="M1092" s="64" t="s">
        <v>1449</v>
      </c>
    </row>
    <row r="1093" spans="1:13" s="65" customFormat="1" ht="12" customHeight="1" x14ac:dyDescent="0.2">
      <c r="A1093" s="78">
        <v>203298</v>
      </c>
      <c r="B1093" s="69" t="s">
        <v>1146</v>
      </c>
      <c r="C1093" s="60" t="s">
        <v>1196</v>
      </c>
      <c r="D1093" s="66" t="s">
        <v>1197</v>
      </c>
      <c r="E1093" s="66" t="s">
        <v>1266</v>
      </c>
      <c r="F1093" s="66" t="s">
        <v>1624</v>
      </c>
      <c r="G1093" s="60" t="s">
        <v>7</v>
      </c>
      <c r="H1093" s="61">
        <v>5.347222222222222E-2</v>
      </c>
      <c r="I1093" s="61">
        <v>5.347222222222222E-2</v>
      </c>
      <c r="J1093" s="62"/>
      <c r="K1093" s="63" t="s">
        <v>1728</v>
      </c>
      <c r="L1093" s="64" t="s">
        <v>1197</v>
      </c>
      <c r="M1093" s="64" t="s">
        <v>1266</v>
      </c>
    </row>
    <row r="1094" spans="1:13" s="65" customFormat="1" ht="12" customHeight="1" x14ac:dyDescent="0.2">
      <c r="A1094" s="78">
        <v>203299</v>
      </c>
      <c r="B1094" s="69" t="s">
        <v>1147</v>
      </c>
      <c r="C1094" s="60" t="s">
        <v>1196</v>
      </c>
      <c r="D1094" s="66" t="s">
        <v>1197</v>
      </c>
      <c r="E1094" s="66" t="s">
        <v>1582</v>
      </c>
      <c r="F1094" s="66" t="s">
        <v>1595</v>
      </c>
      <c r="G1094" s="60" t="s">
        <v>8</v>
      </c>
      <c r="H1094" s="61">
        <v>1.3194444444444444E-2</v>
      </c>
      <c r="I1094" s="61"/>
      <c r="J1094" s="62">
        <v>1.3194444444444444E-2</v>
      </c>
      <c r="K1094" s="63" t="s">
        <v>1720</v>
      </c>
      <c r="L1094" s="64" t="s">
        <v>1197</v>
      </c>
      <c r="M1094" s="64" t="s">
        <v>1582</v>
      </c>
    </row>
    <row r="1095" spans="1:13" s="65" customFormat="1" ht="12" customHeight="1" x14ac:dyDescent="0.2">
      <c r="A1095" s="78">
        <v>203305</v>
      </c>
      <c r="B1095" s="69" t="s">
        <v>1148</v>
      </c>
      <c r="C1095" s="60" t="s">
        <v>1196</v>
      </c>
      <c r="D1095" s="66" t="s">
        <v>1200</v>
      </c>
      <c r="E1095" s="66" t="s">
        <v>1424</v>
      </c>
      <c r="F1095" s="66" t="s">
        <v>1597</v>
      </c>
      <c r="G1095" s="60" t="s">
        <v>8</v>
      </c>
      <c r="H1095" s="61">
        <v>1.0208333333333333</v>
      </c>
      <c r="I1095" s="61"/>
      <c r="J1095" s="62">
        <v>1.0208333333333333</v>
      </c>
      <c r="K1095" s="63" t="s">
        <v>1718</v>
      </c>
      <c r="L1095" s="64" t="s">
        <v>1200</v>
      </c>
      <c r="M1095" s="64" t="s">
        <v>1424</v>
      </c>
    </row>
    <row r="1096" spans="1:13" s="65" customFormat="1" ht="12" customHeight="1" x14ac:dyDescent="0.2">
      <c r="A1096" s="78">
        <v>203326</v>
      </c>
      <c r="B1096" s="69" t="s">
        <v>1149</v>
      </c>
      <c r="C1096" s="60" t="s">
        <v>1196</v>
      </c>
      <c r="D1096" s="66" t="s">
        <v>1199</v>
      </c>
      <c r="E1096" s="66" t="s">
        <v>1583</v>
      </c>
      <c r="F1096" s="66" t="s">
        <v>1587</v>
      </c>
      <c r="G1096" s="60" t="s">
        <v>8</v>
      </c>
      <c r="H1096" s="61">
        <v>0.74444444444444446</v>
      </c>
      <c r="I1096" s="61"/>
      <c r="J1096" s="62">
        <v>0.74444444444444446</v>
      </c>
      <c r="K1096" s="63" t="s">
        <v>1720</v>
      </c>
      <c r="L1096" s="64" t="s">
        <v>1199</v>
      </c>
      <c r="M1096" s="64" t="s">
        <v>1583</v>
      </c>
    </row>
    <row r="1097" spans="1:13" s="65" customFormat="1" ht="12" customHeight="1" x14ac:dyDescent="0.2">
      <c r="A1097" s="78">
        <v>203327</v>
      </c>
      <c r="B1097" s="69" t="s">
        <v>1150</v>
      </c>
      <c r="C1097" s="60" t="s">
        <v>1196</v>
      </c>
      <c r="D1097" s="66" t="s">
        <v>1201</v>
      </c>
      <c r="E1097" s="66" t="s">
        <v>1399</v>
      </c>
      <c r="F1097" s="66" t="s">
        <v>1673</v>
      </c>
      <c r="G1097" s="60" t="s">
        <v>7</v>
      </c>
      <c r="H1097" s="61">
        <v>6.7138888888888886</v>
      </c>
      <c r="I1097" s="61">
        <v>6.7138888888888886</v>
      </c>
      <c r="J1097" s="62"/>
      <c r="K1097" s="63" t="s">
        <v>1724</v>
      </c>
      <c r="L1097" s="64" t="s">
        <v>1201</v>
      </c>
      <c r="M1097" s="64" t="s">
        <v>1399</v>
      </c>
    </row>
    <row r="1098" spans="1:13" s="65" customFormat="1" ht="12" customHeight="1" x14ac:dyDescent="0.2">
      <c r="A1098" s="78">
        <v>203332</v>
      </c>
      <c r="B1098" s="69" t="s">
        <v>1151</v>
      </c>
      <c r="C1098" s="60" t="s">
        <v>1196</v>
      </c>
      <c r="D1098" s="66" t="s">
        <v>1200</v>
      </c>
      <c r="E1098" s="66" t="s">
        <v>1424</v>
      </c>
      <c r="F1098" s="66" t="s">
        <v>1597</v>
      </c>
      <c r="G1098" s="60" t="s">
        <v>8</v>
      </c>
      <c r="H1098" s="61">
        <v>0.7597222222222223</v>
      </c>
      <c r="I1098" s="61"/>
      <c r="J1098" s="62">
        <v>0.7597222222222223</v>
      </c>
      <c r="K1098" s="63" t="s">
        <v>1718</v>
      </c>
      <c r="L1098" s="64" t="s">
        <v>1200</v>
      </c>
      <c r="M1098" s="64" t="s">
        <v>1424</v>
      </c>
    </row>
    <row r="1099" spans="1:13" s="65" customFormat="1" ht="12" customHeight="1" x14ac:dyDescent="0.2">
      <c r="A1099" s="78">
        <v>203334</v>
      </c>
      <c r="B1099" s="69" t="s">
        <v>1152</v>
      </c>
      <c r="C1099" s="60" t="s">
        <v>1196</v>
      </c>
      <c r="D1099" s="66" t="s">
        <v>1198</v>
      </c>
      <c r="E1099" s="66" t="s">
        <v>1457</v>
      </c>
      <c r="F1099" s="66" t="s">
        <v>1650</v>
      </c>
      <c r="G1099" s="60" t="s">
        <v>8</v>
      </c>
      <c r="H1099" s="61">
        <v>0.77708333333333324</v>
      </c>
      <c r="I1099" s="61"/>
      <c r="J1099" s="62">
        <v>0.77708333333333324</v>
      </c>
      <c r="K1099" s="63" t="s">
        <v>1718</v>
      </c>
      <c r="L1099" s="64" t="s">
        <v>1198</v>
      </c>
      <c r="M1099" s="64" t="s">
        <v>1457</v>
      </c>
    </row>
    <row r="1100" spans="1:13" s="65" customFormat="1" ht="12" customHeight="1" x14ac:dyDescent="0.2">
      <c r="A1100" s="78">
        <v>203339</v>
      </c>
      <c r="B1100" s="69" t="s">
        <v>1153</v>
      </c>
      <c r="C1100" s="60" t="s">
        <v>1196</v>
      </c>
      <c r="D1100" s="66" t="s">
        <v>1205</v>
      </c>
      <c r="E1100" s="66" t="s">
        <v>1584</v>
      </c>
      <c r="F1100" s="66" t="s">
        <v>1594</v>
      </c>
      <c r="G1100" s="60" t="s">
        <v>7</v>
      </c>
      <c r="H1100" s="61">
        <v>1.3819444444444444</v>
      </c>
      <c r="I1100" s="61">
        <v>1.3819444444444444</v>
      </c>
      <c r="J1100" s="62"/>
      <c r="K1100" s="63" t="s">
        <v>1720</v>
      </c>
      <c r="L1100" s="64" t="s">
        <v>1205</v>
      </c>
      <c r="M1100" s="64" t="s">
        <v>1584</v>
      </c>
    </row>
    <row r="1101" spans="1:13" s="65" customFormat="1" ht="12" customHeight="1" x14ac:dyDescent="0.2">
      <c r="A1101" s="78">
        <v>203351</v>
      </c>
      <c r="B1101" s="69" t="s">
        <v>1154</v>
      </c>
      <c r="C1101" s="60" t="s">
        <v>1196</v>
      </c>
      <c r="D1101" s="66" t="s">
        <v>1204</v>
      </c>
      <c r="E1101" s="66" t="s">
        <v>1418</v>
      </c>
      <c r="F1101" s="66" t="s">
        <v>1621</v>
      </c>
      <c r="G1101" s="60" t="s">
        <v>8</v>
      </c>
      <c r="H1101" s="61">
        <v>0.3659722222222222</v>
      </c>
      <c r="I1101" s="61"/>
      <c r="J1101" s="62">
        <v>0.3659722222222222</v>
      </c>
      <c r="K1101" s="63" t="s">
        <v>1718</v>
      </c>
      <c r="L1101" s="64" t="s">
        <v>1204</v>
      </c>
      <c r="M1101" s="64" t="s">
        <v>1418</v>
      </c>
    </row>
    <row r="1102" spans="1:13" s="65" customFormat="1" ht="12" customHeight="1" x14ac:dyDescent="0.2">
      <c r="A1102" s="78">
        <v>203354</v>
      </c>
      <c r="B1102" s="69" t="s">
        <v>1155</v>
      </c>
      <c r="C1102" s="60" t="s">
        <v>1196</v>
      </c>
      <c r="D1102" s="66" t="s">
        <v>1198</v>
      </c>
      <c r="E1102" s="66" t="s">
        <v>1445</v>
      </c>
      <c r="F1102" s="66" t="s">
        <v>1599</v>
      </c>
      <c r="G1102" s="60" t="s">
        <v>7</v>
      </c>
      <c r="H1102" s="61">
        <v>0.52638888888888891</v>
      </c>
      <c r="I1102" s="61">
        <v>0.52638888888888891</v>
      </c>
      <c r="J1102" s="62"/>
      <c r="K1102" s="63" t="s">
        <v>1718</v>
      </c>
      <c r="L1102" s="64" t="s">
        <v>1198</v>
      </c>
      <c r="M1102" s="64" t="s">
        <v>1445</v>
      </c>
    </row>
    <row r="1103" spans="1:13" s="65" customFormat="1" ht="12" customHeight="1" x14ac:dyDescent="0.2">
      <c r="A1103" s="78">
        <v>203377</v>
      </c>
      <c r="B1103" s="69" t="s">
        <v>1156</v>
      </c>
      <c r="C1103" s="60" t="s">
        <v>1196</v>
      </c>
      <c r="D1103" s="66" t="s">
        <v>1199</v>
      </c>
      <c r="E1103" s="66" t="s">
        <v>1401</v>
      </c>
      <c r="F1103" s="66" t="s">
        <v>1645</v>
      </c>
      <c r="G1103" s="60" t="s">
        <v>8</v>
      </c>
      <c r="H1103" s="61">
        <v>0.87152777777777779</v>
      </c>
      <c r="I1103" s="61"/>
      <c r="J1103" s="62">
        <v>0.87152777777777779</v>
      </c>
      <c r="K1103" s="63" t="s">
        <v>1718</v>
      </c>
      <c r="L1103" s="64" t="s">
        <v>1199</v>
      </c>
      <c r="M1103" s="64" t="s">
        <v>1401</v>
      </c>
    </row>
    <row r="1104" spans="1:13" s="65" customFormat="1" ht="12" customHeight="1" x14ac:dyDescent="0.2">
      <c r="A1104" s="78">
        <v>203385</v>
      </c>
      <c r="B1104" s="69" t="s">
        <v>1157</v>
      </c>
      <c r="C1104" s="60" t="s">
        <v>1196</v>
      </c>
      <c r="D1104" s="66" t="s">
        <v>1200</v>
      </c>
      <c r="E1104" s="66" t="s">
        <v>1424</v>
      </c>
      <c r="F1104" s="66" t="s">
        <v>1597</v>
      </c>
      <c r="G1104" s="60" t="s">
        <v>8</v>
      </c>
      <c r="H1104" s="61">
        <v>0.72777777777777775</v>
      </c>
      <c r="I1104" s="61"/>
      <c r="J1104" s="62">
        <v>0.72777777777777775</v>
      </c>
      <c r="K1104" s="63" t="s">
        <v>1718</v>
      </c>
      <c r="L1104" s="64" t="s">
        <v>1200</v>
      </c>
      <c r="M1104" s="64" t="s">
        <v>1424</v>
      </c>
    </row>
    <row r="1105" spans="1:13" s="65" customFormat="1" ht="12" customHeight="1" x14ac:dyDescent="0.2">
      <c r="A1105" s="78">
        <v>203398</v>
      </c>
      <c r="B1105" s="69" t="s">
        <v>1158</v>
      </c>
      <c r="C1105" s="60" t="s">
        <v>1196</v>
      </c>
      <c r="D1105" s="66" t="s">
        <v>1203</v>
      </c>
      <c r="E1105" s="66" t="s">
        <v>1572</v>
      </c>
      <c r="F1105" s="66" t="s">
        <v>1592</v>
      </c>
      <c r="G1105" s="60" t="s">
        <v>7</v>
      </c>
      <c r="H1105" s="61">
        <v>0.36805555555555558</v>
      </c>
      <c r="I1105" s="61">
        <v>0.36805555555555558</v>
      </c>
      <c r="J1105" s="62"/>
      <c r="K1105" s="63" t="s">
        <v>1724</v>
      </c>
      <c r="L1105" s="64" t="s">
        <v>1203</v>
      </c>
      <c r="M1105" s="64" t="s">
        <v>1572</v>
      </c>
    </row>
    <row r="1106" spans="1:13" s="65" customFormat="1" ht="12" customHeight="1" x14ac:dyDescent="0.2">
      <c r="A1106" s="78">
        <v>203405</v>
      </c>
      <c r="B1106" s="69" t="s">
        <v>1159</v>
      </c>
      <c r="C1106" s="60" t="s">
        <v>1196</v>
      </c>
      <c r="D1106" s="66" t="s">
        <v>1198</v>
      </c>
      <c r="E1106" s="66" t="s">
        <v>1343</v>
      </c>
      <c r="F1106" s="66" t="s">
        <v>1607</v>
      </c>
      <c r="G1106" s="60" t="s">
        <v>7</v>
      </c>
      <c r="H1106" s="61">
        <v>1.4527777777777777</v>
      </c>
      <c r="I1106" s="61">
        <v>1.4527777777777777</v>
      </c>
      <c r="J1106" s="62"/>
      <c r="K1106" s="63" t="s">
        <v>1718</v>
      </c>
      <c r="L1106" s="64" t="s">
        <v>1198</v>
      </c>
      <c r="M1106" s="64" t="s">
        <v>1343</v>
      </c>
    </row>
    <row r="1107" spans="1:13" s="65" customFormat="1" ht="12" customHeight="1" x14ac:dyDescent="0.2">
      <c r="A1107" s="78">
        <v>203406</v>
      </c>
      <c r="B1107" s="69" t="s">
        <v>1160</v>
      </c>
      <c r="C1107" s="60" t="s">
        <v>1196</v>
      </c>
      <c r="D1107" s="66" t="s">
        <v>1203</v>
      </c>
      <c r="E1107" s="66" t="s">
        <v>1318</v>
      </c>
      <c r="F1107" s="66" t="s">
        <v>1633</v>
      </c>
      <c r="G1107" s="60" t="s">
        <v>7</v>
      </c>
      <c r="H1107" s="61">
        <v>0.78333333333333333</v>
      </c>
      <c r="I1107" s="61">
        <v>0.78333333333333333</v>
      </c>
      <c r="J1107" s="62"/>
      <c r="K1107" s="63" t="s">
        <v>1718</v>
      </c>
      <c r="L1107" s="64" t="s">
        <v>1203</v>
      </c>
      <c r="M1107" s="64" t="s">
        <v>1318</v>
      </c>
    </row>
    <row r="1108" spans="1:13" s="65" customFormat="1" ht="12" customHeight="1" x14ac:dyDescent="0.2">
      <c r="A1108" s="78">
        <v>203407</v>
      </c>
      <c r="B1108" s="69" t="s">
        <v>1161</v>
      </c>
      <c r="C1108" s="60" t="s">
        <v>1196</v>
      </c>
      <c r="D1108" s="66" t="s">
        <v>1204</v>
      </c>
      <c r="E1108" s="66" t="s">
        <v>1403</v>
      </c>
      <c r="F1108" s="66" t="s">
        <v>1602</v>
      </c>
      <c r="G1108" s="60" t="s">
        <v>8</v>
      </c>
      <c r="H1108" s="61">
        <v>0.4069444444444445</v>
      </c>
      <c r="I1108" s="61"/>
      <c r="J1108" s="62">
        <v>0.4069444444444445</v>
      </c>
      <c r="K1108" s="63" t="s">
        <v>1718</v>
      </c>
      <c r="L1108" s="64" t="s">
        <v>1204</v>
      </c>
      <c r="M1108" s="64" t="s">
        <v>1403</v>
      </c>
    </row>
    <row r="1109" spans="1:13" s="65" customFormat="1" ht="12" customHeight="1" x14ac:dyDescent="0.2">
      <c r="A1109" s="78">
        <v>203418</v>
      </c>
      <c r="B1109" s="69" t="s">
        <v>1162</v>
      </c>
      <c r="C1109" s="60" t="s">
        <v>1196</v>
      </c>
      <c r="D1109" s="66" t="s">
        <v>1199</v>
      </c>
      <c r="E1109" s="66" t="s">
        <v>1400</v>
      </c>
      <c r="F1109" s="66" t="s">
        <v>1610</v>
      </c>
      <c r="G1109" s="60" t="s">
        <v>7</v>
      </c>
      <c r="H1109" s="61">
        <v>1.8749999999999999E-2</v>
      </c>
      <c r="I1109" s="61">
        <v>1.8749999999999999E-2</v>
      </c>
      <c r="J1109" s="62"/>
      <c r="K1109" s="63" t="s">
        <v>1718</v>
      </c>
      <c r="L1109" s="64" t="s">
        <v>1199</v>
      </c>
      <c r="M1109" s="64" t="s">
        <v>1400</v>
      </c>
    </row>
    <row r="1110" spans="1:13" s="65" customFormat="1" ht="12" customHeight="1" x14ac:dyDescent="0.2">
      <c r="A1110" s="78">
        <v>203428</v>
      </c>
      <c r="B1110" s="69" t="s">
        <v>1163</v>
      </c>
      <c r="C1110" s="60" t="s">
        <v>1196</v>
      </c>
      <c r="D1110" s="66" t="s">
        <v>1203</v>
      </c>
      <c r="E1110" s="66" t="s">
        <v>1264</v>
      </c>
      <c r="F1110" s="66" t="s">
        <v>1592</v>
      </c>
      <c r="G1110" s="60" t="s">
        <v>7</v>
      </c>
      <c r="H1110" s="61">
        <v>0.80347222222222225</v>
      </c>
      <c r="I1110" s="61">
        <v>0.80347222222222225</v>
      </c>
      <c r="J1110" s="62"/>
      <c r="K1110" s="63" t="s">
        <v>1728</v>
      </c>
      <c r="L1110" s="64" t="s">
        <v>1203</v>
      </c>
      <c r="M1110" s="64" t="s">
        <v>1264</v>
      </c>
    </row>
    <row r="1111" spans="1:13" s="65" customFormat="1" ht="12" customHeight="1" x14ac:dyDescent="0.2">
      <c r="A1111" s="78">
        <v>203448</v>
      </c>
      <c r="B1111" s="69" t="s">
        <v>1164</v>
      </c>
      <c r="C1111" s="60" t="s">
        <v>1196</v>
      </c>
      <c r="D1111" s="66" t="s">
        <v>1203</v>
      </c>
      <c r="E1111" s="66" t="s">
        <v>1334</v>
      </c>
      <c r="F1111" s="66" t="s">
        <v>1639</v>
      </c>
      <c r="G1111" s="60" t="s">
        <v>7</v>
      </c>
      <c r="H1111" s="61">
        <v>2.9430555555555555</v>
      </c>
      <c r="I1111" s="61">
        <v>2.9430555555555555</v>
      </c>
      <c r="J1111" s="62"/>
      <c r="K1111" s="63" t="s">
        <v>1718</v>
      </c>
      <c r="L1111" s="64" t="s">
        <v>1203</v>
      </c>
      <c r="M1111" s="64" t="s">
        <v>1334</v>
      </c>
    </row>
    <row r="1112" spans="1:13" s="65" customFormat="1" ht="12" customHeight="1" x14ac:dyDescent="0.2">
      <c r="A1112" s="78">
        <v>203454</v>
      </c>
      <c r="B1112" s="69" t="s">
        <v>1165</v>
      </c>
      <c r="C1112" s="60" t="s">
        <v>1196</v>
      </c>
      <c r="D1112" s="66" t="s">
        <v>1199</v>
      </c>
      <c r="E1112" s="66" t="s">
        <v>1384</v>
      </c>
      <c r="F1112" s="66" t="s">
        <v>1678</v>
      </c>
      <c r="G1112" s="60" t="s">
        <v>7</v>
      </c>
      <c r="H1112" s="61">
        <v>1.3465277777777778</v>
      </c>
      <c r="I1112" s="61">
        <v>1.3465277777777778</v>
      </c>
      <c r="J1112" s="62"/>
      <c r="K1112" s="63" t="s">
        <v>1718</v>
      </c>
      <c r="L1112" s="64" t="s">
        <v>1199</v>
      </c>
      <c r="M1112" s="64" t="s">
        <v>1384</v>
      </c>
    </row>
    <row r="1113" spans="1:13" s="65" customFormat="1" ht="12" customHeight="1" x14ac:dyDescent="0.2">
      <c r="A1113" s="78">
        <v>203456</v>
      </c>
      <c r="B1113" s="69" t="s">
        <v>1166</v>
      </c>
      <c r="C1113" s="60" t="s">
        <v>1196</v>
      </c>
      <c r="D1113" s="66" t="s">
        <v>1199</v>
      </c>
      <c r="E1113" s="66" t="s">
        <v>1487</v>
      </c>
      <c r="F1113" s="66" t="s">
        <v>1686</v>
      </c>
      <c r="G1113" s="60" t="s">
        <v>8</v>
      </c>
      <c r="H1113" s="61">
        <v>6.5277777777777782E-2</v>
      </c>
      <c r="I1113" s="61"/>
      <c r="J1113" s="62">
        <v>6.5277777777777782E-2</v>
      </c>
      <c r="K1113" s="63" t="s">
        <v>1718</v>
      </c>
      <c r="L1113" s="64" t="s">
        <v>1199</v>
      </c>
      <c r="M1113" s="64" t="s">
        <v>1487</v>
      </c>
    </row>
    <row r="1114" spans="1:13" s="65" customFormat="1" ht="12" customHeight="1" x14ac:dyDescent="0.2">
      <c r="A1114" s="78">
        <v>203475</v>
      </c>
      <c r="B1114" s="69" t="s">
        <v>1167</v>
      </c>
      <c r="C1114" s="60" t="s">
        <v>1196</v>
      </c>
      <c r="D1114" s="66" t="s">
        <v>1201</v>
      </c>
      <c r="E1114" s="66" t="s">
        <v>1380</v>
      </c>
      <c r="F1114" s="66" t="s">
        <v>1614</v>
      </c>
      <c r="G1114" s="60" t="s">
        <v>8</v>
      </c>
      <c r="H1114" s="61">
        <v>1.2138888888888888</v>
      </c>
      <c r="I1114" s="61"/>
      <c r="J1114" s="62">
        <v>1.2138888888888888</v>
      </c>
      <c r="K1114" s="63" t="s">
        <v>1718</v>
      </c>
      <c r="L1114" s="64" t="s">
        <v>1201</v>
      </c>
      <c r="M1114" s="64" t="s">
        <v>1380</v>
      </c>
    </row>
    <row r="1115" spans="1:13" s="65" customFormat="1" ht="12" customHeight="1" x14ac:dyDescent="0.2">
      <c r="A1115" s="78">
        <v>203488</v>
      </c>
      <c r="B1115" s="69" t="s">
        <v>1168</v>
      </c>
      <c r="C1115" s="60" t="s">
        <v>1196</v>
      </c>
      <c r="D1115" s="66" t="s">
        <v>1205</v>
      </c>
      <c r="E1115" s="66" t="s">
        <v>1376</v>
      </c>
      <c r="F1115" s="66" t="s">
        <v>1637</v>
      </c>
      <c r="G1115" s="60" t="s">
        <v>8</v>
      </c>
      <c r="H1115" s="61">
        <v>0.51666666666666672</v>
      </c>
      <c r="I1115" s="61"/>
      <c r="J1115" s="62">
        <v>0.51666666666666672</v>
      </c>
      <c r="K1115" s="63" t="s">
        <v>1718</v>
      </c>
      <c r="L1115" s="64" t="s">
        <v>1205</v>
      </c>
      <c r="M1115" s="64" t="s">
        <v>1376</v>
      </c>
    </row>
    <row r="1116" spans="1:13" s="65" customFormat="1" ht="12" customHeight="1" x14ac:dyDescent="0.2">
      <c r="A1116" s="78">
        <v>203490</v>
      </c>
      <c r="B1116" s="69" t="s">
        <v>1169</v>
      </c>
      <c r="C1116" s="60" t="s">
        <v>1196</v>
      </c>
      <c r="D1116" s="66" t="s">
        <v>1199</v>
      </c>
      <c r="E1116" s="66" t="s">
        <v>1307</v>
      </c>
      <c r="F1116" s="66" t="s">
        <v>1596</v>
      </c>
      <c r="G1116" s="60" t="s">
        <v>7</v>
      </c>
      <c r="H1116" s="61">
        <v>0.34375</v>
      </c>
      <c r="I1116" s="61">
        <v>0.34375</v>
      </c>
      <c r="J1116" s="62"/>
      <c r="K1116" s="63" t="s">
        <v>1718</v>
      </c>
      <c r="L1116" s="64" t="s">
        <v>1199</v>
      </c>
      <c r="M1116" s="64" t="s">
        <v>1307</v>
      </c>
    </row>
    <row r="1117" spans="1:13" s="65" customFormat="1" ht="12" customHeight="1" x14ac:dyDescent="0.2">
      <c r="A1117" s="78">
        <v>203496</v>
      </c>
      <c r="B1117" s="69" t="s">
        <v>1170</v>
      </c>
      <c r="C1117" s="60" t="s">
        <v>1196</v>
      </c>
      <c r="D1117" s="66" t="s">
        <v>1199</v>
      </c>
      <c r="E1117" s="66" t="s">
        <v>1400</v>
      </c>
      <c r="F1117" s="66" t="s">
        <v>1610</v>
      </c>
      <c r="G1117" s="60" t="s">
        <v>8</v>
      </c>
      <c r="H1117" s="61">
        <v>1.3888888888888889E-3</v>
      </c>
      <c r="I1117" s="61"/>
      <c r="J1117" s="62">
        <v>1.3888888888888889E-3</v>
      </c>
      <c r="K1117" s="63" t="s">
        <v>1718</v>
      </c>
      <c r="L1117" s="64" t="s">
        <v>1199</v>
      </c>
      <c r="M1117" s="64" t="s">
        <v>1400</v>
      </c>
    </row>
    <row r="1118" spans="1:13" s="65" customFormat="1" ht="12" customHeight="1" x14ac:dyDescent="0.2">
      <c r="A1118" s="78">
        <v>203499</v>
      </c>
      <c r="B1118" s="69" t="s">
        <v>1171</v>
      </c>
      <c r="C1118" s="60" t="s">
        <v>1196</v>
      </c>
      <c r="D1118" s="66" t="s">
        <v>1200</v>
      </c>
      <c r="E1118" s="66" t="s">
        <v>1472</v>
      </c>
      <c r="F1118" s="66" t="s">
        <v>1622</v>
      </c>
      <c r="G1118" s="60" t="s">
        <v>8</v>
      </c>
      <c r="H1118" s="61">
        <v>2.0590277777777777</v>
      </c>
      <c r="I1118" s="61"/>
      <c r="J1118" s="62">
        <v>2.0590277777777777</v>
      </c>
      <c r="K1118" s="63" t="s">
        <v>1718</v>
      </c>
      <c r="L1118" s="64" t="s">
        <v>1200</v>
      </c>
      <c r="M1118" s="64" t="s">
        <v>1472</v>
      </c>
    </row>
    <row r="1119" spans="1:13" s="65" customFormat="1" ht="12" customHeight="1" x14ac:dyDescent="0.2">
      <c r="A1119" s="78">
        <v>203504</v>
      </c>
      <c r="B1119" s="69" t="s">
        <v>1172</v>
      </c>
      <c r="C1119" s="60" t="s">
        <v>1196</v>
      </c>
      <c r="D1119" s="66" t="s">
        <v>1203</v>
      </c>
      <c r="E1119" s="66" t="s">
        <v>1467</v>
      </c>
      <c r="F1119" s="66" t="s">
        <v>1648</v>
      </c>
      <c r="G1119" s="60" t="s">
        <v>7</v>
      </c>
      <c r="H1119" s="61">
        <v>8.3062500000000004</v>
      </c>
      <c r="I1119" s="61">
        <v>8.3062500000000004</v>
      </c>
      <c r="J1119" s="62"/>
      <c r="K1119" s="63" t="s">
        <v>1718</v>
      </c>
      <c r="L1119" s="64" t="s">
        <v>1203</v>
      </c>
      <c r="M1119" s="64" t="s">
        <v>1467</v>
      </c>
    </row>
    <row r="1120" spans="1:13" s="65" customFormat="1" ht="12" customHeight="1" x14ac:dyDescent="0.2">
      <c r="A1120" s="78">
        <v>203513</v>
      </c>
      <c r="B1120" s="69" t="s">
        <v>1173</v>
      </c>
      <c r="C1120" s="60" t="s">
        <v>1196</v>
      </c>
      <c r="D1120" s="66" t="s">
        <v>1204</v>
      </c>
      <c r="E1120" s="66" t="s">
        <v>1394</v>
      </c>
      <c r="F1120" s="66" t="s">
        <v>1681</v>
      </c>
      <c r="G1120" s="60" t="s">
        <v>8</v>
      </c>
      <c r="H1120" s="61">
        <v>0.49722222222222223</v>
      </c>
      <c r="I1120" s="61"/>
      <c r="J1120" s="62">
        <v>0.49722222222222223</v>
      </c>
      <c r="K1120" s="63" t="s">
        <v>1718</v>
      </c>
      <c r="L1120" s="64" t="s">
        <v>1204</v>
      </c>
      <c r="M1120" s="64" t="s">
        <v>1394</v>
      </c>
    </row>
    <row r="1121" spans="1:13" s="65" customFormat="1" ht="12" customHeight="1" x14ac:dyDescent="0.2">
      <c r="A1121" s="78">
        <v>203521</v>
      </c>
      <c r="B1121" s="69" t="s">
        <v>1174</v>
      </c>
      <c r="C1121" s="60" t="s">
        <v>1196</v>
      </c>
      <c r="D1121" s="66" t="s">
        <v>1197</v>
      </c>
      <c r="E1121" s="66" t="s">
        <v>1332</v>
      </c>
      <c r="F1121" s="66" t="s">
        <v>1623</v>
      </c>
      <c r="G1121" s="60" t="s">
        <v>8</v>
      </c>
      <c r="H1121" s="61">
        <v>1.8347222222222221</v>
      </c>
      <c r="I1121" s="61"/>
      <c r="J1121" s="62">
        <v>1.8347222222222221</v>
      </c>
      <c r="K1121" s="63" t="s">
        <v>1718</v>
      </c>
      <c r="L1121" s="64" t="s">
        <v>1197</v>
      </c>
      <c r="M1121" s="64" t="s">
        <v>1332</v>
      </c>
    </row>
    <row r="1122" spans="1:13" s="65" customFormat="1" ht="12" customHeight="1" x14ac:dyDescent="0.2">
      <c r="A1122" s="78">
        <v>203524</v>
      </c>
      <c r="B1122" s="69" t="s">
        <v>1175</v>
      </c>
      <c r="C1122" s="60" t="s">
        <v>1196</v>
      </c>
      <c r="D1122" s="66" t="s">
        <v>1202</v>
      </c>
      <c r="E1122" s="66" t="s">
        <v>1295</v>
      </c>
      <c r="F1122" s="66" t="s">
        <v>1644</v>
      </c>
      <c r="G1122" s="60" t="s">
        <v>8</v>
      </c>
      <c r="H1122" s="61">
        <v>0.19166666666666665</v>
      </c>
      <c r="I1122" s="61"/>
      <c r="J1122" s="62">
        <v>0.19166666666666665</v>
      </c>
      <c r="K1122" s="63" t="s">
        <v>1718</v>
      </c>
      <c r="L1122" s="64" t="s">
        <v>1202</v>
      </c>
      <c r="M1122" s="64" t="s">
        <v>1295</v>
      </c>
    </row>
    <row r="1123" spans="1:13" s="65" customFormat="1" ht="12" customHeight="1" x14ac:dyDescent="0.2">
      <c r="A1123" s="78">
        <v>203531</v>
      </c>
      <c r="B1123" s="69" t="s">
        <v>1176</v>
      </c>
      <c r="C1123" s="60" t="s">
        <v>1196</v>
      </c>
      <c r="D1123" s="66" t="s">
        <v>1204</v>
      </c>
      <c r="E1123" s="66" t="s">
        <v>1408</v>
      </c>
      <c r="F1123" s="66" t="s">
        <v>1687</v>
      </c>
      <c r="G1123" s="60" t="s">
        <v>7</v>
      </c>
      <c r="H1123" s="61">
        <v>5.40625</v>
      </c>
      <c r="I1123" s="61">
        <v>5.40625</v>
      </c>
      <c r="J1123" s="62"/>
      <c r="K1123" s="63" t="s">
        <v>1718</v>
      </c>
      <c r="L1123" s="64" t="s">
        <v>1204</v>
      </c>
      <c r="M1123" s="64" t="s">
        <v>1408</v>
      </c>
    </row>
    <row r="1124" spans="1:13" s="65" customFormat="1" ht="12" customHeight="1" x14ac:dyDescent="0.2">
      <c r="A1124" s="78">
        <v>203532</v>
      </c>
      <c r="B1124" s="69" t="s">
        <v>1177</v>
      </c>
      <c r="C1124" s="60" t="s">
        <v>1196</v>
      </c>
      <c r="D1124" s="66" t="s">
        <v>1203</v>
      </c>
      <c r="E1124" s="66" t="s">
        <v>1318</v>
      </c>
      <c r="F1124" s="66" t="s">
        <v>1633</v>
      </c>
      <c r="G1124" s="60" t="s">
        <v>7</v>
      </c>
      <c r="H1124" s="61">
        <v>0.30416666666666664</v>
      </c>
      <c r="I1124" s="61">
        <v>0.30416666666666664</v>
      </c>
      <c r="J1124" s="62"/>
      <c r="K1124" s="63" t="s">
        <v>1718</v>
      </c>
      <c r="L1124" s="64" t="s">
        <v>1203</v>
      </c>
      <c r="M1124" s="64" t="s">
        <v>1318</v>
      </c>
    </row>
    <row r="1125" spans="1:13" s="65" customFormat="1" ht="12" customHeight="1" x14ac:dyDescent="0.2">
      <c r="A1125" s="78">
        <v>203534</v>
      </c>
      <c r="B1125" s="69" t="s">
        <v>1178</v>
      </c>
      <c r="C1125" s="60" t="s">
        <v>1196</v>
      </c>
      <c r="D1125" s="66" t="s">
        <v>1197</v>
      </c>
      <c r="E1125" s="66" t="s">
        <v>1308</v>
      </c>
      <c r="F1125" s="66" t="s">
        <v>1624</v>
      </c>
      <c r="G1125" s="60" t="s">
        <v>7</v>
      </c>
      <c r="H1125" s="61">
        <v>0.56944444444444442</v>
      </c>
      <c r="I1125" s="61">
        <v>0.56944444444444442</v>
      </c>
      <c r="J1125" s="62"/>
      <c r="K1125" s="63" t="s">
        <v>1718</v>
      </c>
      <c r="L1125" s="64" t="s">
        <v>1197</v>
      </c>
      <c r="M1125" s="64" t="s">
        <v>1308</v>
      </c>
    </row>
    <row r="1126" spans="1:13" s="65" customFormat="1" ht="12" customHeight="1" x14ac:dyDescent="0.2">
      <c r="A1126" s="78">
        <v>203538</v>
      </c>
      <c r="B1126" s="69" t="s">
        <v>1179</v>
      </c>
      <c r="C1126" s="60" t="s">
        <v>1196</v>
      </c>
      <c r="D1126" s="66" t="s">
        <v>1203</v>
      </c>
      <c r="E1126" s="66" t="s">
        <v>1311</v>
      </c>
      <c r="F1126" s="66" t="s">
        <v>1632</v>
      </c>
      <c r="G1126" s="60" t="s">
        <v>7</v>
      </c>
      <c r="H1126" s="61">
        <v>1.8749999999999999E-2</v>
      </c>
      <c r="I1126" s="61">
        <v>1.8749999999999999E-2</v>
      </c>
      <c r="J1126" s="62"/>
      <c r="K1126" s="63" t="s">
        <v>1718</v>
      </c>
      <c r="L1126" s="64" t="s">
        <v>1203</v>
      </c>
      <c r="M1126" s="64" t="s">
        <v>1311</v>
      </c>
    </row>
    <row r="1127" spans="1:13" s="65" customFormat="1" ht="12" customHeight="1" x14ac:dyDescent="0.2">
      <c r="A1127" s="78">
        <v>203549</v>
      </c>
      <c r="B1127" s="69" t="s">
        <v>1180</v>
      </c>
      <c r="C1127" s="60" t="s">
        <v>1196</v>
      </c>
      <c r="D1127" s="66" t="s">
        <v>1200</v>
      </c>
      <c r="E1127" s="66" t="s">
        <v>1498</v>
      </c>
      <c r="F1127" s="66" t="s">
        <v>1702</v>
      </c>
      <c r="G1127" s="60" t="s">
        <v>8</v>
      </c>
      <c r="H1127" s="61">
        <v>0.43124999999999997</v>
      </c>
      <c r="I1127" s="61"/>
      <c r="J1127" s="62">
        <v>0.43124999999999997</v>
      </c>
      <c r="K1127" s="63" t="s">
        <v>1718</v>
      </c>
      <c r="L1127" s="64" t="s">
        <v>1200</v>
      </c>
      <c r="M1127" s="64" t="s">
        <v>1498</v>
      </c>
    </row>
    <row r="1128" spans="1:13" s="65" customFormat="1" ht="12" customHeight="1" x14ac:dyDescent="0.2">
      <c r="A1128" s="78">
        <v>203558</v>
      </c>
      <c r="B1128" s="69" t="s">
        <v>1181</v>
      </c>
      <c r="C1128" s="60" t="s">
        <v>1196</v>
      </c>
      <c r="D1128" s="66" t="s">
        <v>1203</v>
      </c>
      <c r="E1128" s="66" t="s">
        <v>1334</v>
      </c>
      <c r="F1128" s="66" t="s">
        <v>1639</v>
      </c>
      <c r="G1128" s="60" t="s">
        <v>7</v>
      </c>
      <c r="H1128" s="61">
        <v>0.50763888888888886</v>
      </c>
      <c r="I1128" s="61">
        <v>0.50763888888888886</v>
      </c>
      <c r="J1128" s="62"/>
      <c r="K1128" s="63" t="s">
        <v>1718</v>
      </c>
      <c r="L1128" s="64" t="s">
        <v>1203</v>
      </c>
      <c r="M1128" s="64" t="s">
        <v>1334</v>
      </c>
    </row>
    <row r="1129" spans="1:13" s="65" customFormat="1" ht="12" customHeight="1" x14ac:dyDescent="0.2">
      <c r="A1129" s="78">
        <v>203567</v>
      </c>
      <c r="B1129" s="69" t="s">
        <v>1182</v>
      </c>
      <c r="C1129" s="60" t="s">
        <v>1196</v>
      </c>
      <c r="D1129" s="66" t="s">
        <v>1198</v>
      </c>
      <c r="E1129" s="66" t="s">
        <v>1320</v>
      </c>
      <c r="F1129" s="66" t="s">
        <v>1655</v>
      </c>
      <c r="G1129" s="60" t="s">
        <v>8</v>
      </c>
      <c r="H1129" s="61">
        <v>1.1465277777777778</v>
      </c>
      <c r="I1129" s="61"/>
      <c r="J1129" s="62">
        <v>1.1465277777777778</v>
      </c>
      <c r="K1129" s="63" t="s">
        <v>1718</v>
      </c>
      <c r="L1129" s="64" t="s">
        <v>1198</v>
      </c>
      <c r="M1129" s="64" t="s">
        <v>1320</v>
      </c>
    </row>
    <row r="1130" spans="1:13" s="65" customFormat="1" ht="12" customHeight="1" x14ac:dyDescent="0.2">
      <c r="A1130" s="78">
        <v>203583</v>
      </c>
      <c r="B1130" s="69" t="s">
        <v>1183</v>
      </c>
      <c r="C1130" s="60" t="s">
        <v>1196</v>
      </c>
      <c r="D1130" s="66" t="s">
        <v>1205</v>
      </c>
      <c r="E1130" s="66" t="s">
        <v>1415</v>
      </c>
      <c r="F1130" s="66" t="s">
        <v>1683</v>
      </c>
      <c r="G1130" s="60" t="s">
        <v>7</v>
      </c>
      <c r="H1130" s="61">
        <v>3.5256944444444445</v>
      </c>
      <c r="I1130" s="61">
        <v>3.5256944444444445</v>
      </c>
      <c r="J1130" s="62"/>
      <c r="K1130" s="63" t="s">
        <v>1718</v>
      </c>
      <c r="L1130" s="64" t="s">
        <v>1205</v>
      </c>
      <c r="M1130" s="64" t="s">
        <v>1415</v>
      </c>
    </row>
    <row r="1131" spans="1:13" s="65" customFormat="1" ht="12" customHeight="1" x14ac:dyDescent="0.2">
      <c r="A1131" s="78">
        <v>203589</v>
      </c>
      <c r="B1131" s="69" t="s">
        <v>1184</v>
      </c>
      <c r="C1131" s="60" t="s">
        <v>1196</v>
      </c>
      <c r="D1131" s="66" t="s">
        <v>1198</v>
      </c>
      <c r="E1131" s="66" t="s">
        <v>1383</v>
      </c>
      <c r="F1131" s="66" t="s">
        <v>1611</v>
      </c>
      <c r="G1131" s="60" t="s">
        <v>7</v>
      </c>
      <c r="H1131" s="61">
        <v>1.0805555555555555</v>
      </c>
      <c r="I1131" s="61">
        <v>1.0805555555555555</v>
      </c>
      <c r="J1131" s="62"/>
      <c r="K1131" s="63" t="s">
        <v>1718</v>
      </c>
      <c r="L1131" s="64" t="s">
        <v>1198</v>
      </c>
      <c r="M1131" s="64" t="s">
        <v>1383</v>
      </c>
    </row>
    <row r="1132" spans="1:13" s="65" customFormat="1" ht="12" customHeight="1" x14ac:dyDescent="0.2">
      <c r="A1132" s="78">
        <v>203590</v>
      </c>
      <c r="B1132" s="69" t="s">
        <v>1185</v>
      </c>
      <c r="C1132" s="60" t="s">
        <v>1196</v>
      </c>
      <c r="D1132" s="66" t="s">
        <v>1200</v>
      </c>
      <c r="E1132" s="66" t="s">
        <v>1350</v>
      </c>
      <c r="F1132" s="66" t="s">
        <v>1613</v>
      </c>
      <c r="G1132" s="60" t="s">
        <v>7</v>
      </c>
      <c r="H1132" s="61">
        <v>1.3965277777777778</v>
      </c>
      <c r="I1132" s="61">
        <v>1.3965277777777778</v>
      </c>
      <c r="J1132" s="62"/>
      <c r="K1132" s="63" t="s">
        <v>1718</v>
      </c>
      <c r="L1132" s="64" t="s">
        <v>1200</v>
      </c>
      <c r="M1132" s="64" t="s">
        <v>1350</v>
      </c>
    </row>
    <row r="1133" spans="1:13" s="65" customFormat="1" ht="12" customHeight="1" x14ac:dyDescent="0.2">
      <c r="A1133" s="78">
        <v>203594</v>
      </c>
      <c r="B1133" s="69" t="s">
        <v>1186</v>
      </c>
      <c r="C1133" s="60" t="s">
        <v>1196</v>
      </c>
      <c r="D1133" s="66" t="s">
        <v>1205</v>
      </c>
      <c r="E1133" s="66" t="s">
        <v>1435</v>
      </c>
      <c r="F1133" s="66" t="s">
        <v>1695</v>
      </c>
      <c r="G1133" s="60" t="s">
        <v>7</v>
      </c>
      <c r="H1133" s="61">
        <v>2.4229166666666666</v>
      </c>
      <c r="I1133" s="61">
        <v>2.4229166666666666</v>
      </c>
      <c r="J1133" s="62"/>
      <c r="K1133" s="63" t="s">
        <v>1718</v>
      </c>
      <c r="L1133" s="64" t="s">
        <v>1205</v>
      </c>
      <c r="M1133" s="64" t="s">
        <v>1435</v>
      </c>
    </row>
    <row r="1134" spans="1:13" s="65" customFormat="1" ht="12" customHeight="1" x14ac:dyDescent="0.2">
      <c r="A1134" s="78">
        <v>203598</v>
      </c>
      <c r="B1134" s="69" t="s">
        <v>1187</v>
      </c>
      <c r="C1134" s="60" t="s">
        <v>1196</v>
      </c>
      <c r="D1134" s="66" t="s">
        <v>1199</v>
      </c>
      <c r="E1134" s="66" t="s">
        <v>1315</v>
      </c>
      <c r="F1134" s="66" t="s">
        <v>1635</v>
      </c>
      <c r="G1134" s="60" t="s">
        <v>7</v>
      </c>
      <c r="H1134" s="61">
        <v>0.18055555555555555</v>
      </c>
      <c r="I1134" s="61">
        <v>0.18055555555555555</v>
      </c>
      <c r="J1134" s="62"/>
      <c r="K1134" s="63" t="s">
        <v>1718</v>
      </c>
      <c r="L1134" s="64" t="s">
        <v>1199</v>
      </c>
      <c r="M1134" s="64" t="s">
        <v>1315</v>
      </c>
    </row>
    <row r="1135" spans="1:13" s="65" customFormat="1" ht="12" customHeight="1" x14ac:dyDescent="0.2">
      <c r="A1135" s="78">
        <v>203599</v>
      </c>
      <c r="B1135" s="69" t="s">
        <v>1188</v>
      </c>
      <c r="C1135" s="60" t="s">
        <v>1196</v>
      </c>
      <c r="D1135" s="66" t="s">
        <v>1200</v>
      </c>
      <c r="E1135" s="66" t="s">
        <v>1472</v>
      </c>
      <c r="F1135" s="66" t="s">
        <v>1622</v>
      </c>
      <c r="G1135" s="60" t="s">
        <v>7</v>
      </c>
      <c r="H1135" s="61">
        <v>0.81111111111111101</v>
      </c>
      <c r="I1135" s="61">
        <v>0.81111111111111101</v>
      </c>
      <c r="J1135" s="62"/>
      <c r="K1135" s="63" t="s">
        <v>1718</v>
      </c>
      <c r="L1135" s="64" t="s">
        <v>1200</v>
      </c>
      <c r="M1135" s="64" t="s">
        <v>1472</v>
      </c>
    </row>
    <row r="1136" spans="1:13" s="65" customFormat="1" ht="12" customHeight="1" x14ac:dyDescent="0.2">
      <c r="A1136" s="78">
        <v>203601</v>
      </c>
      <c r="B1136" s="69" t="s">
        <v>1189</v>
      </c>
      <c r="C1136" s="60" t="s">
        <v>1196</v>
      </c>
      <c r="D1136" s="66" t="s">
        <v>1203</v>
      </c>
      <c r="E1136" s="66" t="s">
        <v>1318</v>
      </c>
      <c r="F1136" s="66" t="s">
        <v>1633</v>
      </c>
      <c r="G1136" s="60" t="s">
        <v>7</v>
      </c>
      <c r="H1136" s="61">
        <v>9.930555555555555E-2</v>
      </c>
      <c r="I1136" s="61">
        <v>9.930555555555555E-2</v>
      </c>
      <c r="J1136" s="62"/>
      <c r="K1136" s="63" t="s">
        <v>1718</v>
      </c>
      <c r="L1136" s="64" t="s">
        <v>1203</v>
      </c>
      <c r="M1136" s="64" t="s">
        <v>1318</v>
      </c>
    </row>
    <row r="1137" spans="1:13" s="65" customFormat="1" ht="12" customHeight="1" x14ac:dyDescent="0.2">
      <c r="A1137" s="78">
        <v>203608</v>
      </c>
      <c r="B1137" s="69" t="s">
        <v>1190</v>
      </c>
      <c r="C1137" s="60" t="s">
        <v>1196</v>
      </c>
      <c r="D1137" s="66" t="s">
        <v>1199</v>
      </c>
      <c r="E1137" s="66" t="s">
        <v>1401</v>
      </c>
      <c r="F1137" s="66" t="s">
        <v>1645</v>
      </c>
      <c r="G1137" s="60" t="s">
        <v>8</v>
      </c>
      <c r="H1137" s="61">
        <v>0.20347222222222219</v>
      </c>
      <c r="I1137" s="61"/>
      <c r="J1137" s="62">
        <v>0.20347222222222219</v>
      </c>
      <c r="K1137" s="63" t="s">
        <v>1718</v>
      </c>
      <c r="L1137" s="64" t="s">
        <v>1199</v>
      </c>
      <c r="M1137" s="64" t="s">
        <v>1401</v>
      </c>
    </row>
    <row r="1138" spans="1:13" s="65" customFormat="1" ht="12" customHeight="1" x14ac:dyDescent="0.2">
      <c r="A1138" s="78">
        <v>203617</v>
      </c>
      <c r="B1138" s="69" t="s">
        <v>1191</v>
      </c>
      <c r="C1138" s="60" t="s">
        <v>1196</v>
      </c>
      <c r="D1138" s="66" t="s">
        <v>1200</v>
      </c>
      <c r="E1138" s="66" t="s">
        <v>1431</v>
      </c>
      <c r="F1138" s="66" t="s">
        <v>1692</v>
      </c>
      <c r="G1138" s="60" t="s">
        <v>8</v>
      </c>
      <c r="H1138" s="61">
        <v>0.77430555555555547</v>
      </c>
      <c r="I1138" s="61"/>
      <c r="J1138" s="62">
        <v>0.77430555555555547</v>
      </c>
      <c r="K1138" s="63" t="s">
        <v>1718</v>
      </c>
      <c r="L1138" s="64" t="s">
        <v>1200</v>
      </c>
      <c r="M1138" s="64" t="s">
        <v>1431</v>
      </c>
    </row>
    <row r="1139" spans="1:13" s="65" customFormat="1" ht="12" customHeight="1" x14ac:dyDescent="0.2">
      <c r="A1139" s="78">
        <v>203618</v>
      </c>
      <c r="B1139" s="69" t="s">
        <v>1192</v>
      </c>
      <c r="C1139" s="60" t="s">
        <v>1196</v>
      </c>
      <c r="D1139" s="66" t="s">
        <v>1199</v>
      </c>
      <c r="E1139" s="66" t="s">
        <v>1315</v>
      </c>
      <c r="F1139" s="66" t="s">
        <v>1635</v>
      </c>
      <c r="G1139" s="60" t="s">
        <v>7</v>
      </c>
      <c r="H1139" s="61">
        <v>0.5180555555555556</v>
      </c>
      <c r="I1139" s="61">
        <v>0.5180555555555556</v>
      </c>
      <c r="J1139" s="62"/>
      <c r="K1139" s="63" t="s">
        <v>1718</v>
      </c>
      <c r="L1139" s="64" t="s">
        <v>1199</v>
      </c>
      <c r="M1139" s="64" t="s">
        <v>1315</v>
      </c>
    </row>
    <row r="1140" spans="1:13" s="65" customFormat="1" ht="12" customHeight="1" x14ac:dyDescent="0.2">
      <c r="A1140" s="78">
        <v>203637</v>
      </c>
      <c r="B1140" s="69" t="s">
        <v>1193</v>
      </c>
      <c r="C1140" s="60" t="s">
        <v>1196</v>
      </c>
      <c r="D1140" s="66" t="s">
        <v>1200</v>
      </c>
      <c r="E1140" s="66" t="s">
        <v>1498</v>
      </c>
      <c r="F1140" s="66" t="s">
        <v>1702</v>
      </c>
      <c r="G1140" s="60" t="s">
        <v>7</v>
      </c>
      <c r="H1140" s="61">
        <v>0.45</v>
      </c>
      <c r="I1140" s="61">
        <v>0.45</v>
      </c>
      <c r="J1140" s="62"/>
      <c r="K1140" s="63" t="s">
        <v>1718</v>
      </c>
      <c r="L1140" s="64" t="s">
        <v>1200</v>
      </c>
      <c r="M1140" s="64" t="s">
        <v>1498</v>
      </c>
    </row>
    <row r="1141" spans="1:13" s="65" customFormat="1" ht="12" customHeight="1" x14ac:dyDescent="0.2">
      <c r="A1141" s="78">
        <v>203638</v>
      </c>
      <c r="B1141" s="69" t="s">
        <v>1194</v>
      </c>
      <c r="C1141" s="60" t="s">
        <v>1196</v>
      </c>
      <c r="D1141" s="66" t="s">
        <v>1205</v>
      </c>
      <c r="E1141" s="66" t="s">
        <v>1376</v>
      </c>
      <c r="F1141" s="66" t="s">
        <v>1637</v>
      </c>
      <c r="G1141" s="60" t="s">
        <v>8</v>
      </c>
      <c r="H1141" s="61">
        <v>0.79791666666666661</v>
      </c>
      <c r="I1141" s="61"/>
      <c r="J1141" s="62">
        <v>0.79791666666666661</v>
      </c>
      <c r="K1141" s="63" t="s">
        <v>1718</v>
      </c>
      <c r="L1141" s="64" t="s">
        <v>1205</v>
      </c>
      <c r="M1141" s="64" t="s">
        <v>1376</v>
      </c>
    </row>
    <row r="1142" spans="1:13" s="65" customFormat="1" ht="12" customHeight="1" x14ac:dyDescent="0.2">
      <c r="A1142" s="78">
        <v>203648</v>
      </c>
      <c r="B1142" s="69" t="s">
        <v>1195</v>
      </c>
      <c r="C1142" s="60" t="s">
        <v>1196</v>
      </c>
      <c r="D1142" s="66" t="s">
        <v>1198</v>
      </c>
      <c r="E1142" s="66" t="s">
        <v>1392</v>
      </c>
      <c r="F1142" s="66" t="s">
        <v>1625</v>
      </c>
      <c r="G1142" s="60" t="s">
        <v>7</v>
      </c>
      <c r="H1142" s="61">
        <v>1.3923611111111112</v>
      </c>
      <c r="I1142" s="61">
        <v>1.3923611111111112</v>
      </c>
      <c r="J1142" s="62"/>
      <c r="K1142" s="63" t="s">
        <v>1718</v>
      </c>
      <c r="L1142" s="64" t="s">
        <v>1198</v>
      </c>
      <c r="M1142" s="64" t="s">
        <v>1392</v>
      </c>
    </row>
  </sheetData>
  <autoFilter ref="A1:M1142" xr:uid="{7EC2C3E9-F8E7-4668-B39C-28C9555FC1C0}">
    <sortState xmlns:xlrd2="http://schemas.microsoft.com/office/spreadsheetml/2017/richdata2" ref="A2:M1142">
      <sortCondition ref="A1:A1142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9A9E8-73E8-441F-9FDA-0EC0830B11BA}">
  <sheetPr codeName="Planilha4">
    <tabColor rgb="FFEE7203"/>
  </sheetPr>
  <dimension ref="A1:AA1172"/>
  <sheetViews>
    <sheetView showGridLines="0" zoomScale="70" zoomScaleNormal="70" workbookViewId="0">
      <selection sqref="A1:V1"/>
    </sheetView>
  </sheetViews>
  <sheetFormatPr defaultRowHeight="15" x14ac:dyDescent="0.25"/>
  <cols>
    <col min="1" max="1" width="10.28515625" customWidth="1"/>
    <col min="2" max="2" width="12.42578125" style="33" bestFit="1" customWidth="1"/>
    <col min="3" max="3" width="11.5703125" style="34" customWidth="1"/>
    <col min="4" max="4" width="12" style="35" bestFit="1" customWidth="1"/>
    <col min="5" max="5" width="12" bestFit="1" customWidth="1"/>
    <col min="7" max="7" width="17.7109375" bestFit="1" customWidth="1"/>
    <col min="8" max="8" width="12.42578125" bestFit="1" customWidth="1"/>
    <col min="9" max="9" width="14" bestFit="1" customWidth="1"/>
    <col min="10" max="10" width="1" customWidth="1"/>
    <col min="11" max="11" width="17.7109375" bestFit="1" customWidth="1"/>
    <col min="12" max="12" width="12.85546875" bestFit="1" customWidth="1"/>
    <col min="13" max="13" width="14" bestFit="1" customWidth="1"/>
    <col min="16" max="16" width="5.7109375" customWidth="1"/>
    <col min="17" max="17" width="5.140625" customWidth="1"/>
    <col min="19" max="19" width="9.5703125" bestFit="1" customWidth="1"/>
    <col min="20" max="21" width="10" customWidth="1"/>
    <col min="22" max="22" width="17.140625" customWidth="1"/>
    <col min="23" max="23" width="18.7109375" hidden="1" customWidth="1"/>
    <col min="24" max="24" width="30.85546875" hidden="1" customWidth="1"/>
    <col min="25" max="26" width="9.140625" hidden="1" customWidth="1"/>
    <col min="27" max="27" width="3.42578125" hidden="1" customWidth="1"/>
    <col min="29" max="35" width="8.7109375" customWidth="1"/>
  </cols>
  <sheetData>
    <row r="1" spans="1:24" s="32" customFormat="1" ht="27.75" customHeight="1" x14ac:dyDescent="0.25">
      <c r="A1" s="73" t="s">
        <v>43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</row>
    <row r="3" spans="1:24" ht="15.75" x14ac:dyDescent="0.25">
      <c r="B3" s="51"/>
      <c r="C3" s="52"/>
      <c r="D3" s="53"/>
      <c r="G3" s="74" t="s">
        <v>52</v>
      </c>
      <c r="H3" s="75"/>
      <c r="I3" s="76"/>
      <c r="K3" s="74" t="s">
        <v>53</v>
      </c>
      <c r="L3" s="75"/>
      <c r="M3" s="76"/>
      <c r="S3" s="77" t="s">
        <v>44</v>
      </c>
      <c r="T3" s="77"/>
      <c r="U3" s="77"/>
    </row>
    <row r="4" spans="1:24" x14ac:dyDescent="0.25">
      <c r="B4" s="51"/>
      <c r="C4" s="52"/>
      <c r="D4" s="53"/>
      <c r="G4" s="48" t="s">
        <v>31</v>
      </c>
      <c r="H4" s="36" t="s">
        <v>8</v>
      </c>
      <c r="I4" s="36" t="s">
        <v>7</v>
      </c>
      <c r="K4" s="48" t="s">
        <v>31</v>
      </c>
      <c r="L4" s="36" t="s">
        <v>8</v>
      </c>
      <c r="M4" s="36" t="s">
        <v>7</v>
      </c>
      <c r="S4" s="37" t="s">
        <v>3</v>
      </c>
      <c r="T4" s="38" t="s">
        <v>45</v>
      </c>
      <c r="U4" s="38" t="s">
        <v>46</v>
      </c>
      <c r="W4" s="49" t="s">
        <v>47</v>
      </c>
      <c r="X4" t="s">
        <v>48</v>
      </c>
    </row>
    <row r="5" spans="1:24" x14ac:dyDescent="0.25">
      <c r="G5" s="39" t="s">
        <v>1197</v>
      </c>
      <c r="H5" s="40">
        <v>22.591666666666669</v>
      </c>
      <c r="I5" s="40">
        <v>270.95069444444442</v>
      </c>
      <c r="K5" s="39" t="s">
        <v>1197</v>
      </c>
      <c r="L5" s="40">
        <v>21.470138888888883</v>
      </c>
      <c r="M5" s="40">
        <v>274.87916666666661</v>
      </c>
      <c r="S5" s="39" t="s">
        <v>21</v>
      </c>
      <c r="T5" s="41" t="str">
        <f t="shared" ref="T5:T15" si="0">IF((L5-H5)&gt;0,"Aumentou","Diminuiu")</f>
        <v>Diminuiu</v>
      </c>
      <c r="U5" s="41" t="str">
        <f t="shared" ref="U5:U15" si="1">IF((M5-I5)&gt;0,"Aumentou","Diminuiu")</f>
        <v>Aumentou</v>
      </c>
      <c r="V5" s="16" t="s">
        <v>49</v>
      </c>
      <c r="W5" s="42" t="s">
        <v>15</v>
      </c>
      <c r="X5" s="50">
        <v>138</v>
      </c>
    </row>
    <row r="6" spans="1:24" x14ac:dyDescent="0.25">
      <c r="G6" s="39" t="s">
        <v>1198</v>
      </c>
      <c r="H6" s="40">
        <v>37.073611111111113</v>
      </c>
      <c r="I6" s="40">
        <v>85.805555555555529</v>
      </c>
      <c r="K6" s="39" t="s">
        <v>1198</v>
      </c>
      <c r="L6" s="40">
        <v>87.677083333333343</v>
      </c>
      <c r="M6" s="40">
        <v>105.72013888888888</v>
      </c>
      <c r="S6" s="39" t="s">
        <v>16</v>
      </c>
      <c r="T6" s="41" t="str">
        <f t="shared" si="0"/>
        <v>Aumentou</v>
      </c>
      <c r="U6" s="41" t="str">
        <f t="shared" si="1"/>
        <v>Aumentou</v>
      </c>
      <c r="V6" s="16" t="s">
        <v>49</v>
      </c>
      <c r="W6" s="42" t="s">
        <v>13</v>
      </c>
      <c r="X6" s="50">
        <v>136</v>
      </c>
    </row>
    <row r="7" spans="1:24" ht="15.75" x14ac:dyDescent="0.25">
      <c r="D7" s="54"/>
      <c r="G7" s="39" t="s">
        <v>1199</v>
      </c>
      <c r="H7" s="40">
        <v>32.225694444444443</v>
      </c>
      <c r="I7" s="40">
        <v>58.489583333333357</v>
      </c>
      <c r="K7" s="39" t="s">
        <v>1199</v>
      </c>
      <c r="L7" s="40">
        <v>40.854861111111099</v>
      </c>
      <c r="M7" s="40">
        <v>90.342361111111117</v>
      </c>
      <c r="S7" s="39" t="s">
        <v>14</v>
      </c>
      <c r="T7" s="41" t="str">
        <f t="shared" si="0"/>
        <v>Aumentou</v>
      </c>
      <c r="U7" s="41" t="str">
        <f t="shared" si="1"/>
        <v>Aumentou</v>
      </c>
      <c r="V7" s="16" t="s">
        <v>49</v>
      </c>
      <c r="W7" s="42" t="s">
        <v>17</v>
      </c>
      <c r="X7" s="50">
        <v>118</v>
      </c>
    </row>
    <row r="8" spans="1:24" x14ac:dyDescent="0.25">
      <c r="G8" s="39" t="s">
        <v>1200</v>
      </c>
      <c r="H8" s="40">
        <v>59.859027777777762</v>
      </c>
      <c r="I8" s="40">
        <v>87.959722222222226</v>
      </c>
      <c r="K8" s="39" t="s">
        <v>1200</v>
      </c>
      <c r="L8" s="40">
        <v>35.164583333333333</v>
      </c>
      <c r="M8" s="40">
        <v>59.465277777777793</v>
      </c>
      <c r="S8" s="39" t="s">
        <v>19</v>
      </c>
      <c r="T8" s="41" t="str">
        <f t="shared" si="0"/>
        <v>Diminuiu</v>
      </c>
      <c r="U8" s="41" t="str">
        <f t="shared" si="1"/>
        <v>Diminuiu</v>
      </c>
      <c r="V8" s="16" t="s">
        <v>49</v>
      </c>
      <c r="W8" s="42" t="s">
        <v>20</v>
      </c>
      <c r="X8" s="50">
        <v>116</v>
      </c>
    </row>
    <row r="9" spans="1:24" x14ac:dyDescent="0.25">
      <c r="G9" s="39" t="s">
        <v>1201</v>
      </c>
      <c r="H9" s="40">
        <v>59.674305555555556</v>
      </c>
      <c r="I9" s="40">
        <v>354.58125000000001</v>
      </c>
      <c r="K9" s="39" t="s">
        <v>1201</v>
      </c>
      <c r="L9" s="40">
        <v>63.000694444444449</v>
      </c>
      <c r="M9" s="40">
        <v>354.69027777777779</v>
      </c>
      <c r="S9" s="39" t="s">
        <v>50</v>
      </c>
      <c r="T9" s="41" t="str">
        <f t="shared" si="0"/>
        <v>Aumentou</v>
      </c>
      <c r="U9" s="41" t="str">
        <f t="shared" si="1"/>
        <v>Aumentou</v>
      </c>
      <c r="V9" s="16" t="s">
        <v>49</v>
      </c>
      <c r="W9" s="42" t="s">
        <v>18</v>
      </c>
      <c r="X9" s="50">
        <v>107</v>
      </c>
    </row>
    <row r="10" spans="1:24" x14ac:dyDescent="0.25">
      <c r="G10" s="39" t="s">
        <v>1202</v>
      </c>
      <c r="H10" s="40">
        <v>85.074305555555569</v>
      </c>
      <c r="I10" s="40">
        <v>109.54930555555555</v>
      </c>
      <c r="K10" s="39" t="s">
        <v>1202</v>
      </c>
      <c r="L10" s="40">
        <v>64.51666666666668</v>
      </c>
      <c r="M10" s="40">
        <v>87.10833333333332</v>
      </c>
      <c r="S10" s="39" t="s">
        <v>18</v>
      </c>
      <c r="T10" s="41" t="str">
        <f t="shared" si="0"/>
        <v>Diminuiu</v>
      </c>
      <c r="U10" s="41" t="str">
        <f t="shared" si="1"/>
        <v>Diminuiu</v>
      </c>
      <c r="V10" s="16" t="s">
        <v>49</v>
      </c>
      <c r="W10" s="42" t="s">
        <v>19</v>
      </c>
      <c r="X10" s="50">
        <v>105</v>
      </c>
    </row>
    <row r="11" spans="1:24" x14ac:dyDescent="0.25">
      <c r="G11" s="39" t="s">
        <v>1203</v>
      </c>
      <c r="H11" s="40">
        <v>30.388194444444437</v>
      </c>
      <c r="I11" s="40">
        <v>142.28055555555551</v>
      </c>
      <c r="K11" s="39" t="s">
        <v>1203</v>
      </c>
      <c r="L11" s="40">
        <v>32.619444444444476</v>
      </c>
      <c r="M11" s="40">
        <v>138.28958333333338</v>
      </c>
      <c r="S11" s="39" t="s">
        <v>17</v>
      </c>
      <c r="T11" s="41" t="str">
        <f t="shared" si="0"/>
        <v>Aumentou</v>
      </c>
      <c r="U11" s="41" t="str">
        <f t="shared" si="1"/>
        <v>Diminuiu</v>
      </c>
      <c r="V11" s="16" t="s">
        <v>49</v>
      </c>
      <c r="W11" s="42" t="s">
        <v>14</v>
      </c>
      <c r="X11" s="50">
        <v>105</v>
      </c>
    </row>
    <row r="12" spans="1:24" x14ac:dyDescent="0.25">
      <c r="G12" s="39" t="s">
        <v>1204</v>
      </c>
      <c r="H12" s="40">
        <v>95.767361111111114</v>
      </c>
      <c r="I12" s="40">
        <v>145.20694444444442</v>
      </c>
      <c r="K12" s="39" t="s">
        <v>1204</v>
      </c>
      <c r="L12" s="40">
        <v>101.50972222222224</v>
      </c>
      <c r="M12" s="40">
        <v>146.6861111111111</v>
      </c>
      <c r="S12" s="39" t="s">
        <v>13</v>
      </c>
      <c r="T12" s="41" t="str">
        <f t="shared" si="0"/>
        <v>Aumentou</v>
      </c>
      <c r="U12" s="41" t="str">
        <f t="shared" si="1"/>
        <v>Aumentou</v>
      </c>
      <c r="V12" s="16" t="s">
        <v>49</v>
      </c>
      <c r="W12" s="42" t="s">
        <v>21</v>
      </c>
      <c r="X12" s="50">
        <v>89</v>
      </c>
    </row>
    <row r="13" spans="1:24" x14ac:dyDescent="0.25">
      <c r="G13" s="39" t="s">
        <v>1205</v>
      </c>
      <c r="H13" s="40">
        <v>42.42638888888888</v>
      </c>
      <c r="I13" s="40">
        <v>266.00138888888887</v>
      </c>
      <c r="K13" s="39" t="s">
        <v>1205</v>
      </c>
      <c r="L13" s="40">
        <v>49.236805555555556</v>
      </c>
      <c r="M13" s="40">
        <v>269.25416666666672</v>
      </c>
      <c r="S13" s="39" t="s">
        <v>20</v>
      </c>
      <c r="T13" s="41" t="str">
        <f t="shared" si="0"/>
        <v>Aumentou</v>
      </c>
      <c r="U13" s="41" t="str">
        <f t="shared" si="1"/>
        <v>Aumentou</v>
      </c>
      <c r="V13" s="16" t="s">
        <v>49</v>
      </c>
      <c r="W13" s="42" t="s">
        <v>16</v>
      </c>
      <c r="X13" s="50">
        <v>80</v>
      </c>
    </row>
    <row r="14" spans="1:24" x14ac:dyDescent="0.25">
      <c r="G14" s="43" t="s">
        <v>30</v>
      </c>
      <c r="H14" s="44">
        <v>465.08055555555546</v>
      </c>
      <c r="I14" s="44">
        <v>1520.8249999999998</v>
      </c>
      <c r="K14" s="43" t="s">
        <v>30</v>
      </c>
      <c r="L14" s="44">
        <v>496.05000000000013</v>
      </c>
      <c r="M14" s="44">
        <v>1526.4354166666667</v>
      </c>
      <c r="S14" s="39" t="s">
        <v>51</v>
      </c>
      <c r="T14" s="41" t="str">
        <f t="shared" si="0"/>
        <v>Aumentou</v>
      </c>
      <c r="U14" s="41" t="str">
        <f t="shared" si="1"/>
        <v>Aumentou</v>
      </c>
      <c r="V14" s="16" t="s">
        <v>49</v>
      </c>
      <c r="W14" s="42" t="s">
        <v>30</v>
      </c>
      <c r="X14" s="50">
        <v>994</v>
      </c>
    </row>
    <row r="15" spans="1:24" x14ac:dyDescent="0.25">
      <c r="B15"/>
      <c r="C15"/>
      <c r="D15"/>
      <c r="S15" s="39" t="s">
        <v>15</v>
      </c>
      <c r="T15" s="41" t="str">
        <f t="shared" si="0"/>
        <v>Diminuiu</v>
      </c>
      <c r="U15" s="41" t="str">
        <f t="shared" si="1"/>
        <v>Diminuiu</v>
      </c>
    </row>
    <row r="16" spans="1:24" x14ac:dyDescent="0.25">
      <c r="C16" s="35"/>
      <c r="S16" s="45" t="s">
        <v>30</v>
      </c>
      <c r="T16" s="41" t="str">
        <f t="shared" ref="T16" si="2">IF((L16-H16)&gt;0,"Aumentou","Diminuiu")</f>
        <v>Diminuiu</v>
      </c>
      <c r="U16" s="41" t="str">
        <f t="shared" ref="U16" si="3">IF((M16-I16)&gt;0,"Aumentou","Diminuiu")</f>
        <v>Diminuiu</v>
      </c>
    </row>
    <row r="17" spans="3:4" x14ac:dyDescent="0.25">
      <c r="C17" s="35"/>
    </row>
    <row r="18" spans="3:4" x14ac:dyDescent="0.25">
      <c r="C18" s="35"/>
    </row>
    <row r="19" spans="3:4" x14ac:dyDescent="0.25">
      <c r="C19" s="46"/>
      <c r="D19" s="46"/>
    </row>
    <row r="35" spans="2:4" x14ac:dyDescent="0.25">
      <c r="B35"/>
      <c r="C35"/>
      <c r="D35" s="33"/>
    </row>
    <row r="36" spans="2:4" x14ac:dyDescent="0.25">
      <c r="B36"/>
      <c r="C36"/>
      <c r="D36" s="33"/>
    </row>
    <row r="37" spans="2:4" x14ac:dyDescent="0.25">
      <c r="B37"/>
      <c r="C37"/>
      <c r="D37" s="33"/>
    </row>
    <row r="38" spans="2:4" x14ac:dyDescent="0.25">
      <c r="B38"/>
      <c r="C38"/>
      <c r="D38" s="33"/>
    </row>
    <row r="39" spans="2:4" x14ac:dyDescent="0.25">
      <c r="B39"/>
      <c r="C39"/>
      <c r="D39" s="33"/>
    </row>
    <row r="40" spans="2:4" x14ac:dyDescent="0.25">
      <c r="B40"/>
      <c r="C40"/>
      <c r="D40" s="33"/>
    </row>
    <row r="41" spans="2:4" x14ac:dyDescent="0.25">
      <c r="B41"/>
      <c r="C41"/>
      <c r="D41" s="33"/>
    </row>
    <row r="42" spans="2:4" x14ac:dyDescent="0.25">
      <c r="B42"/>
      <c r="C42"/>
      <c r="D42" s="33"/>
    </row>
    <row r="43" spans="2:4" x14ac:dyDescent="0.25">
      <c r="B43"/>
      <c r="C43"/>
      <c r="D43" s="33"/>
    </row>
    <row r="44" spans="2:4" x14ac:dyDescent="0.25">
      <c r="B44"/>
      <c r="C44"/>
      <c r="D44" s="33"/>
    </row>
    <row r="45" spans="2:4" x14ac:dyDescent="0.25">
      <c r="B45"/>
      <c r="C45"/>
      <c r="D45" s="33"/>
    </row>
    <row r="46" spans="2:4" x14ac:dyDescent="0.25">
      <c r="B46"/>
      <c r="C46"/>
      <c r="D46" s="33"/>
    </row>
    <row r="47" spans="2:4" x14ac:dyDescent="0.25">
      <c r="B47"/>
      <c r="C47"/>
      <c r="D47" s="33"/>
    </row>
    <row r="48" spans="2:4" x14ac:dyDescent="0.25">
      <c r="B48"/>
      <c r="C48"/>
      <c r="D48" s="33"/>
    </row>
    <row r="49" spans="2:4" x14ac:dyDescent="0.25">
      <c r="B49"/>
      <c r="C49"/>
      <c r="D49" s="33"/>
    </row>
    <row r="50" spans="2:4" x14ac:dyDescent="0.25">
      <c r="B50"/>
      <c r="C50"/>
      <c r="D50" s="33"/>
    </row>
    <row r="51" spans="2:4" x14ac:dyDescent="0.25">
      <c r="B51"/>
      <c r="C51"/>
      <c r="D51" s="33"/>
    </row>
    <row r="52" spans="2:4" x14ac:dyDescent="0.25">
      <c r="B52"/>
      <c r="C52"/>
      <c r="D52" s="33"/>
    </row>
    <row r="53" spans="2:4" x14ac:dyDescent="0.25">
      <c r="B53"/>
      <c r="C53"/>
      <c r="D53" s="33"/>
    </row>
    <row r="54" spans="2:4" x14ac:dyDescent="0.25">
      <c r="B54"/>
      <c r="C54"/>
      <c r="D54" s="33"/>
    </row>
    <row r="55" spans="2:4" x14ac:dyDescent="0.25">
      <c r="B55"/>
      <c r="C55"/>
      <c r="D55" s="33"/>
    </row>
    <row r="56" spans="2:4" x14ac:dyDescent="0.25">
      <c r="B56"/>
      <c r="C56"/>
      <c r="D56" s="33"/>
    </row>
    <row r="57" spans="2:4" x14ac:dyDescent="0.25">
      <c r="B57"/>
      <c r="C57"/>
      <c r="D57" s="33"/>
    </row>
    <row r="58" spans="2:4" x14ac:dyDescent="0.25">
      <c r="B58"/>
      <c r="C58"/>
      <c r="D58" s="33"/>
    </row>
    <row r="59" spans="2:4" x14ac:dyDescent="0.25">
      <c r="B59"/>
      <c r="C59"/>
      <c r="D59" s="33"/>
    </row>
    <row r="60" spans="2:4" x14ac:dyDescent="0.25">
      <c r="B60"/>
      <c r="C60"/>
      <c r="D60" s="33"/>
    </row>
    <row r="61" spans="2:4" x14ac:dyDescent="0.25">
      <c r="B61"/>
      <c r="C61"/>
      <c r="D61" s="33"/>
    </row>
    <row r="62" spans="2:4" x14ac:dyDescent="0.25">
      <c r="B62"/>
      <c r="C62"/>
      <c r="D62" s="33"/>
    </row>
    <row r="63" spans="2:4" x14ac:dyDescent="0.25">
      <c r="B63"/>
      <c r="C63"/>
      <c r="D63" s="33"/>
    </row>
    <row r="64" spans="2:4" x14ac:dyDescent="0.25">
      <c r="B64"/>
      <c r="C64"/>
      <c r="D64" s="33"/>
    </row>
    <row r="65" spans="2:4" x14ac:dyDescent="0.25">
      <c r="B65"/>
      <c r="C65"/>
      <c r="D65" s="33"/>
    </row>
    <row r="66" spans="2:4" x14ac:dyDescent="0.25">
      <c r="B66"/>
      <c r="C66"/>
      <c r="D66" s="33"/>
    </row>
    <row r="67" spans="2:4" x14ac:dyDescent="0.25">
      <c r="B67"/>
      <c r="C67"/>
      <c r="D67" s="33"/>
    </row>
    <row r="68" spans="2:4" x14ac:dyDescent="0.25">
      <c r="B68"/>
      <c r="C68"/>
      <c r="D68" s="33"/>
    </row>
    <row r="69" spans="2:4" x14ac:dyDescent="0.25">
      <c r="B69"/>
      <c r="C69"/>
      <c r="D69" s="33"/>
    </row>
    <row r="70" spans="2:4" x14ac:dyDescent="0.25">
      <c r="B70"/>
      <c r="C70"/>
      <c r="D70" s="33"/>
    </row>
    <row r="71" spans="2:4" x14ac:dyDescent="0.25">
      <c r="B71"/>
      <c r="C71"/>
      <c r="D71" s="33"/>
    </row>
    <row r="72" spans="2:4" x14ac:dyDescent="0.25">
      <c r="B72"/>
      <c r="C72"/>
      <c r="D72" s="33"/>
    </row>
    <row r="73" spans="2:4" x14ac:dyDescent="0.25">
      <c r="B73"/>
      <c r="C73"/>
      <c r="D73" s="33"/>
    </row>
    <row r="74" spans="2:4" x14ac:dyDescent="0.25">
      <c r="B74"/>
      <c r="C74"/>
      <c r="D74" s="33"/>
    </row>
    <row r="75" spans="2:4" x14ac:dyDescent="0.25">
      <c r="B75"/>
      <c r="C75"/>
      <c r="D75" s="33"/>
    </row>
    <row r="76" spans="2:4" x14ac:dyDescent="0.25">
      <c r="B76"/>
      <c r="C76"/>
      <c r="D76" s="33"/>
    </row>
    <row r="77" spans="2:4" x14ac:dyDescent="0.25">
      <c r="B77"/>
      <c r="C77"/>
      <c r="D77" s="33"/>
    </row>
    <row r="78" spans="2:4" x14ac:dyDescent="0.25">
      <c r="B78"/>
      <c r="C78"/>
      <c r="D78" s="33"/>
    </row>
    <row r="79" spans="2:4" x14ac:dyDescent="0.25">
      <c r="B79"/>
      <c r="C79"/>
      <c r="D79" s="33"/>
    </row>
    <row r="80" spans="2:4" x14ac:dyDescent="0.25">
      <c r="B80"/>
      <c r="C80"/>
      <c r="D80" s="33"/>
    </row>
    <row r="81" spans="2:4" x14ac:dyDescent="0.25">
      <c r="B81"/>
      <c r="C81"/>
      <c r="D81" s="33"/>
    </row>
    <row r="82" spans="2:4" x14ac:dyDescent="0.25">
      <c r="B82"/>
      <c r="C82"/>
      <c r="D82" s="33"/>
    </row>
    <row r="83" spans="2:4" x14ac:dyDescent="0.25">
      <c r="B83"/>
      <c r="C83"/>
      <c r="D83" s="33"/>
    </row>
    <row r="84" spans="2:4" x14ac:dyDescent="0.25">
      <c r="B84"/>
      <c r="C84"/>
      <c r="D84" s="33"/>
    </row>
    <row r="85" spans="2:4" x14ac:dyDescent="0.25">
      <c r="B85"/>
      <c r="C85"/>
      <c r="D85" s="33"/>
    </row>
    <row r="86" spans="2:4" x14ac:dyDescent="0.25">
      <c r="B86"/>
      <c r="C86"/>
      <c r="D86" s="33"/>
    </row>
    <row r="87" spans="2:4" x14ac:dyDescent="0.25">
      <c r="B87"/>
      <c r="C87"/>
      <c r="D87" s="33"/>
    </row>
    <row r="88" spans="2:4" x14ac:dyDescent="0.25">
      <c r="B88"/>
      <c r="C88"/>
      <c r="D88" s="33"/>
    </row>
    <row r="89" spans="2:4" x14ac:dyDescent="0.25">
      <c r="B89"/>
      <c r="C89"/>
      <c r="D89" s="33"/>
    </row>
    <row r="90" spans="2:4" x14ac:dyDescent="0.25">
      <c r="B90"/>
      <c r="C90"/>
      <c r="D90" s="33"/>
    </row>
    <row r="91" spans="2:4" x14ac:dyDescent="0.25">
      <c r="B91"/>
      <c r="C91"/>
      <c r="D91" s="33"/>
    </row>
    <row r="92" spans="2:4" x14ac:dyDescent="0.25">
      <c r="B92"/>
      <c r="C92"/>
      <c r="D92" s="33"/>
    </row>
    <row r="93" spans="2:4" x14ac:dyDescent="0.25">
      <c r="B93"/>
      <c r="C93"/>
      <c r="D93" s="33"/>
    </row>
    <row r="94" spans="2:4" x14ac:dyDescent="0.25">
      <c r="B94"/>
      <c r="C94"/>
      <c r="D94" s="33"/>
    </row>
    <row r="95" spans="2:4" x14ac:dyDescent="0.25">
      <c r="B95"/>
      <c r="C95"/>
      <c r="D95" s="33"/>
    </row>
    <row r="96" spans="2:4" x14ac:dyDescent="0.25">
      <c r="B96"/>
      <c r="C96"/>
      <c r="D96" s="33"/>
    </row>
    <row r="97" spans="2:4" x14ac:dyDescent="0.25">
      <c r="B97"/>
      <c r="C97"/>
      <c r="D97" s="33"/>
    </row>
    <row r="98" spans="2:4" x14ac:dyDescent="0.25">
      <c r="B98"/>
      <c r="C98"/>
      <c r="D98" s="33"/>
    </row>
    <row r="99" spans="2:4" x14ac:dyDescent="0.25">
      <c r="B99"/>
      <c r="C99"/>
      <c r="D99" s="33"/>
    </row>
    <row r="100" spans="2:4" x14ac:dyDescent="0.25">
      <c r="B100"/>
      <c r="C100"/>
      <c r="D100" s="33"/>
    </row>
    <row r="101" spans="2:4" x14ac:dyDescent="0.25">
      <c r="B101"/>
      <c r="C101"/>
      <c r="D101" s="33"/>
    </row>
    <row r="102" spans="2:4" x14ac:dyDescent="0.25">
      <c r="B102"/>
      <c r="C102"/>
      <c r="D102" s="33"/>
    </row>
    <row r="103" spans="2:4" x14ac:dyDescent="0.25">
      <c r="B103"/>
      <c r="C103"/>
      <c r="D103" s="33"/>
    </row>
    <row r="104" spans="2:4" x14ac:dyDescent="0.25">
      <c r="B104"/>
      <c r="C104"/>
      <c r="D104" s="33"/>
    </row>
    <row r="105" spans="2:4" x14ac:dyDescent="0.25">
      <c r="B105"/>
      <c r="C105"/>
      <c r="D105" s="33"/>
    </row>
    <row r="106" spans="2:4" x14ac:dyDescent="0.25">
      <c r="B106"/>
      <c r="C106"/>
      <c r="D106" s="33"/>
    </row>
    <row r="107" spans="2:4" x14ac:dyDescent="0.25">
      <c r="B107"/>
      <c r="C107"/>
      <c r="D107" s="33"/>
    </row>
    <row r="108" spans="2:4" x14ac:dyDescent="0.25">
      <c r="B108"/>
      <c r="C108"/>
      <c r="D108" s="33"/>
    </row>
    <row r="109" spans="2:4" x14ac:dyDescent="0.25">
      <c r="B109"/>
      <c r="C109"/>
      <c r="D109" s="33"/>
    </row>
    <row r="110" spans="2:4" x14ac:dyDescent="0.25">
      <c r="B110"/>
      <c r="C110"/>
      <c r="D110" s="33"/>
    </row>
    <row r="111" spans="2:4" x14ac:dyDescent="0.25">
      <c r="B111"/>
      <c r="C111"/>
      <c r="D111" s="33"/>
    </row>
    <row r="112" spans="2:4" x14ac:dyDescent="0.25">
      <c r="B112"/>
      <c r="C112"/>
      <c r="D112" s="33"/>
    </row>
    <row r="113" spans="2:4" x14ac:dyDescent="0.25">
      <c r="B113"/>
      <c r="C113"/>
      <c r="D113" s="33"/>
    </row>
    <row r="114" spans="2:4" x14ac:dyDescent="0.25">
      <c r="B114"/>
      <c r="C114"/>
      <c r="D114" s="33"/>
    </row>
    <row r="115" spans="2:4" x14ac:dyDescent="0.25">
      <c r="B115"/>
      <c r="C115"/>
      <c r="D115" s="33"/>
    </row>
    <row r="116" spans="2:4" x14ac:dyDescent="0.25">
      <c r="B116"/>
      <c r="C116"/>
      <c r="D116" s="33"/>
    </row>
    <row r="117" spans="2:4" x14ac:dyDescent="0.25">
      <c r="B117"/>
      <c r="C117"/>
      <c r="D117" s="33"/>
    </row>
    <row r="118" spans="2:4" x14ac:dyDescent="0.25">
      <c r="B118"/>
      <c r="C118"/>
      <c r="D118" s="33"/>
    </row>
    <row r="119" spans="2:4" x14ac:dyDescent="0.25">
      <c r="B119"/>
      <c r="C119"/>
      <c r="D119" s="33"/>
    </row>
    <row r="120" spans="2:4" x14ac:dyDescent="0.25">
      <c r="B120"/>
      <c r="C120"/>
      <c r="D120" s="33"/>
    </row>
    <row r="121" spans="2:4" x14ac:dyDescent="0.25">
      <c r="B121"/>
      <c r="C121"/>
      <c r="D121" s="33"/>
    </row>
    <row r="122" spans="2:4" x14ac:dyDescent="0.25">
      <c r="B122"/>
      <c r="C122"/>
      <c r="D122" s="33"/>
    </row>
    <row r="123" spans="2:4" x14ac:dyDescent="0.25">
      <c r="B123"/>
      <c r="C123"/>
      <c r="D123" s="33"/>
    </row>
    <row r="124" spans="2:4" x14ac:dyDescent="0.25">
      <c r="B124"/>
      <c r="C124"/>
      <c r="D124" s="33"/>
    </row>
    <row r="125" spans="2:4" x14ac:dyDescent="0.25">
      <c r="B125"/>
      <c r="C125"/>
      <c r="D125" s="33"/>
    </row>
    <row r="126" spans="2:4" x14ac:dyDescent="0.25">
      <c r="B126"/>
      <c r="C126"/>
      <c r="D126" s="33"/>
    </row>
    <row r="127" spans="2:4" x14ac:dyDescent="0.25">
      <c r="B127"/>
      <c r="C127"/>
      <c r="D127" s="33"/>
    </row>
    <row r="128" spans="2:4" x14ac:dyDescent="0.25">
      <c r="B128"/>
      <c r="C128"/>
      <c r="D128" s="33"/>
    </row>
    <row r="129" spans="2:4" x14ac:dyDescent="0.25">
      <c r="B129"/>
      <c r="C129"/>
      <c r="D129" s="33"/>
    </row>
    <row r="130" spans="2:4" x14ac:dyDescent="0.25">
      <c r="B130"/>
      <c r="C130"/>
      <c r="D130" s="33"/>
    </row>
    <row r="131" spans="2:4" x14ac:dyDescent="0.25">
      <c r="B131"/>
      <c r="C131"/>
      <c r="D131" s="33"/>
    </row>
    <row r="132" spans="2:4" x14ac:dyDescent="0.25">
      <c r="B132"/>
      <c r="C132"/>
      <c r="D132" s="33"/>
    </row>
    <row r="133" spans="2:4" x14ac:dyDescent="0.25">
      <c r="B133"/>
      <c r="C133"/>
      <c r="D133" s="33"/>
    </row>
    <row r="134" spans="2:4" x14ac:dyDescent="0.25">
      <c r="B134"/>
      <c r="C134"/>
      <c r="D134" s="33"/>
    </row>
    <row r="135" spans="2:4" x14ac:dyDescent="0.25">
      <c r="B135"/>
      <c r="C135"/>
      <c r="D135" s="33"/>
    </row>
    <row r="136" spans="2:4" x14ac:dyDescent="0.25">
      <c r="B136"/>
      <c r="C136"/>
      <c r="D136" s="33"/>
    </row>
    <row r="137" spans="2:4" x14ac:dyDescent="0.25">
      <c r="B137"/>
      <c r="C137"/>
      <c r="D137" s="33"/>
    </row>
    <row r="138" spans="2:4" x14ac:dyDescent="0.25">
      <c r="B138"/>
      <c r="C138"/>
      <c r="D138" s="33"/>
    </row>
    <row r="139" spans="2:4" x14ac:dyDescent="0.25">
      <c r="B139"/>
      <c r="C139"/>
      <c r="D139" s="33"/>
    </row>
    <row r="140" spans="2:4" x14ac:dyDescent="0.25">
      <c r="B140"/>
      <c r="C140"/>
      <c r="D140" s="33"/>
    </row>
    <row r="141" spans="2:4" x14ac:dyDescent="0.25">
      <c r="B141"/>
      <c r="C141"/>
      <c r="D141" s="33"/>
    </row>
    <row r="142" spans="2:4" x14ac:dyDescent="0.25">
      <c r="B142"/>
      <c r="C142"/>
      <c r="D142" s="33"/>
    </row>
    <row r="143" spans="2:4" x14ac:dyDescent="0.25">
      <c r="B143"/>
      <c r="C143"/>
      <c r="D143" s="33"/>
    </row>
    <row r="144" spans="2:4" x14ac:dyDescent="0.25">
      <c r="B144"/>
      <c r="C144"/>
      <c r="D144" s="33"/>
    </row>
    <row r="145" spans="2:4" x14ac:dyDescent="0.25">
      <c r="B145"/>
      <c r="C145"/>
      <c r="D145" s="33"/>
    </row>
    <row r="146" spans="2:4" x14ac:dyDescent="0.25">
      <c r="B146"/>
      <c r="C146"/>
      <c r="D146" s="33"/>
    </row>
    <row r="147" spans="2:4" x14ac:dyDescent="0.25">
      <c r="B147"/>
      <c r="C147"/>
      <c r="D147" s="33"/>
    </row>
    <row r="148" spans="2:4" x14ac:dyDescent="0.25">
      <c r="B148"/>
      <c r="C148"/>
      <c r="D148" s="33"/>
    </row>
    <row r="149" spans="2:4" x14ac:dyDescent="0.25">
      <c r="B149"/>
      <c r="C149"/>
      <c r="D149" s="33"/>
    </row>
    <row r="150" spans="2:4" x14ac:dyDescent="0.25">
      <c r="B150"/>
      <c r="C150"/>
      <c r="D150" s="33"/>
    </row>
    <row r="151" spans="2:4" x14ac:dyDescent="0.25">
      <c r="B151"/>
      <c r="C151"/>
      <c r="D151" s="33"/>
    </row>
    <row r="152" spans="2:4" x14ac:dyDescent="0.25">
      <c r="B152"/>
      <c r="C152"/>
      <c r="D152" s="33"/>
    </row>
    <row r="153" spans="2:4" x14ac:dyDescent="0.25">
      <c r="B153"/>
      <c r="C153"/>
      <c r="D153" s="33"/>
    </row>
    <row r="154" spans="2:4" x14ac:dyDescent="0.25">
      <c r="B154"/>
      <c r="C154"/>
      <c r="D154" s="33"/>
    </row>
    <row r="155" spans="2:4" x14ac:dyDescent="0.25">
      <c r="B155"/>
      <c r="C155"/>
      <c r="D155" s="33"/>
    </row>
    <row r="156" spans="2:4" x14ac:dyDescent="0.25">
      <c r="B156"/>
      <c r="C156"/>
      <c r="D156" s="33"/>
    </row>
    <row r="157" spans="2:4" x14ac:dyDescent="0.25">
      <c r="B157"/>
      <c r="C157"/>
      <c r="D157" s="33"/>
    </row>
    <row r="158" spans="2:4" x14ac:dyDescent="0.25">
      <c r="B158"/>
      <c r="C158"/>
      <c r="D158" s="33"/>
    </row>
    <row r="159" spans="2:4" x14ac:dyDescent="0.25">
      <c r="B159"/>
      <c r="C159"/>
      <c r="D159" s="33"/>
    </row>
    <row r="160" spans="2:4" x14ac:dyDescent="0.25">
      <c r="B160"/>
      <c r="C160"/>
      <c r="D160" s="33"/>
    </row>
    <row r="161" spans="2:4" x14ac:dyDescent="0.25">
      <c r="B161"/>
      <c r="C161"/>
      <c r="D161" s="33"/>
    </row>
    <row r="162" spans="2:4" x14ac:dyDescent="0.25">
      <c r="B162"/>
      <c r="C162"/>
      <c r="D162" s="33"/>
    </row>
    <row r="163" spans="2:4" x14ac:dyDescent="0.25">
      <c r="B163"/>
      <c r="C163"/>
      <c r="D163" s="33"/>
    </row>
    <row r="164" spans="2:4" x14ac:dyDescent="0.25">
      <c r="B164"/>
      <c r="C164"/>
      <c r="D164" s="33"/>
    </row>
    <row r="165" spans="2:4" x14ac:dyDescent="0.25">
      <c r="B165"/>
      <c r="C165"/>
      <c r="D165" s="33"/>
    </row>
    <row r="166" spans="2:4" x14ac:dyDescent="0.25">
      <c r="B166"/>
      <c r="C166"/>
      <c r="D166" s="33"/>
    </row>
    <row r="167" spans="2:4" x14ac:dyDescent="0.25">
      <c r="B167"/>
      <c r="C167"/>
      <c r="D167" s="33"/>
    </row>
    <row r="168" spans="2:4" x14ac:dyDescent="0.25">
      <c r="B168"/>
      <c r="C168" s="33"/>
      <c r="D168" s="33"/>
    </row>
    <row r="169" spans="2:4" x14ac:dyDescent="0.25">
      <c r="B169"/>
      <c r="C169" s="33"/>
      <c r="D169" s="33"/>
    </row>
    <row r="170" spans="2:4" x14ac:dyDescent="0.25">
      <c r="B170"/>
      <c r="C170" s="33"/>
      <c r="D170" s="33"/>
    </row>
    <row r="171" spans="2:4" x14ac:dyDescent="0.25">
      <c r="B171"/>
      <c r="C171" s="33"/>
      <c r="D171" s="33"/>
    </row>
    <row r="172" spans="2:4" x14ac:dyDescent="0.25">
      <c r="B172"/>
      <c r="C172" s="33"/>
      <c r="D172" s="33"/>
    </row>
    <row r="173" spans="2:4" x14ac:dyDescent="0.25">
      <c r="B173"/>
      <c r="C173" s="33"/>
      <c r="D173" s="33"/>
    </row>
    <row r="174" spans="2:4" x14ac:dyDescent="0.25">
      <c r="B174"/>
      <c r="C174" s="33"/>
      <c r="D174" s="33"/>
    </row>
    <row r="175" spans="2:4" x14ac:dyDescent="0.25">
      <c r="B175"/>
      <c r="C175" s="33"/>
      <c r="D175" s="33"/>
    </row>
    <row r="176" spans="2:4" x14ac:dyDescent="0.25">
      <c r="B176"/>
      <c r="C176" s="33"/>
      <c r="D176" s="33"/>
    </row>
    <row r="177" spans="2:4" x14ac:dyDescent="0.25">
      <c r="B177"/>
      <c r="C177" s="33"/>
      <c r="D177" s="33"/>
    </row>
    <row r="178" spans="2:4" x14ac:dyDescent="0.25">
      <c r="B178"/>
      <c r="C178" s="33"/>
      <c r="D178" s="33"/>
    </row>
    <row r="179" spans="2:4" x14ac:dyDescent="0.25">
      <c r="B179"/>
      <c r="C179" s="33"/>
      <c r="D179" s="33"/>
    </row>
    <row r="180" spans="2:4" x14ac:dyDescent="0.25">
      <c r="B180"/>
      <c r="C180" s="33"/>
      <c r="D180" s="33"/>
    </row>
    <row r="181" spans="2:4" x14ac:dyDescent="0.25">
      <c r="B181"/>
      <c r="C181" s="33"/>
      <c r="D181" s="33"/>
    </row>
    <row r="182" spans="2:4" x14ac:dyDescent="0.25">
      <c r="B182"/>
      <c r="C182" s="33"/>
      <c r="D182" s="33"/>
    </row>
    <row r="183" spans="2:4" x14ac:dyDescent="0.25">
      <c r="B183"/>
      <c r="C183" s="33"/>
      <c r="D183" s="33"/>
    </row>
    <row r="184" spans="2:4" x14ac:dyDescent="0.25">
      <c r="B184"/>
      <c r="C184" s="33"/>
      <c r="D184" s="33"/>
    </row>
    <row r="185" spans="2:4" x14ac:dyDescent="0.25">
      <c r="B185"/>
      <c r="C185" s="33"/>
      <c r="D185" s="33"/>
    </row>
    <row r="186" spans="2:4" x14ac:dyDescent="0.25">
      <c r="B186"/>
      <c r="C186" s="33"/>
      <c r="D186" s="33"/>
    </row>
    <row r="187" spans="2:4" x14ac:dyDescent="0.25">
      <c r="B187"/>
      <c r="C187" s="33"/>
      <c r="D187" s="33"/>
    </row>
    <row r="188" spans="2:4" x14ac:dyDescent="0.25">
      <c r="B188"/>
      <c r="C188" s="33"/>
      <c r="D188" s="47"/>
    </row>
    <row r="189" spans="2:4" x14ac:dyDescent="0.25">
      <c r="B189"/>
      <c r="C189" s="33"/>
      <c r="D189" s="47"/>
    </row>
    <row r="190" spans="2:4" x14ac:dyDescent="0.25">
      <c r="B190"/>
      <c r="C190" s="33"/>
      <c r="D190" s="47"/>
    </row>
    <row r="191" spans="2:4" x14ac:dyDescent="0.25">
      <c r="B191"/>
      <c r="C191" s="33"/>
      <c r="D191" s="47"/>
    </row>
    <row r="192" spans="2:4" x14ac:dyDescent="0.25">
      <c r="B192"/>
      <c r="C192" s="33"/>
      <c r="D192" s="47"/>
    </row>
    <row r="193" spans="2:4" x14ac:dyDescent="0.25">
      <c r="B193"/>
      <c r="C193" s="33"/>
      <c r="D193" s="47"/>
    </row>
    <row r="194" spans="2:4" x14ac:dyDescent="0.25">
      <c r="B194"/>
      <c r="C194" s="33"/>
      <c r="D194" s="47"/>
    </row>
    <row r="195" spans="2:4" x14ac:dyDescent="0.25">
      <c r="B195"/>
      <c r="C195" s="33"/>
      <c r="D195" s="47"/>
    </row>
    <row r="196" spans="2:4" x14ac:dyDescent="0.25">
      <c r="B196"/>
      <c r="C196" s="33"/>
      <c r="D196" s="47"/>
    </row>
    <row r="197" spans="2:4" x14ac:dyDescent="0.25">
      <c r="B197"/>
      <c r="C197" s="33"/>
      <c r="D197" s="47"/>
    </row>
    <row r="198" spans="2:4" x14ac:dyDescent="0.25">
      <c r="B198"/>
      <c r="C198" s="33"/>
      <c r="D198" s="47"/>
    </row>
    <row r="199" spans="2:4" x14ac:dyDescent="0.25">
      <c r="B199"/>
      <c r="C199" s="33"/>
      <c r="D199" s="47"/>
    </row>
    <row r="200" spans="2:4" x14ac:dyDescent="0.25">
      <c r="B200"/>
      <c r="C200" s="33"/>
      <c r="D200" s="47"/>
    </row>
    <row r="201" spans="2:4" x14ac:dyDescent="0.25">
      <c r="B201"/>
      <c r="C201" s="33"/>
      <c r="D201" s="47"/>
    </row>
    <row r="202" spans="2:4" x14ac:dyDescent="0.25">
      <c r="B202"/>
      <c r="C202" s="33"/>
      <c r="D202" s="47"/>
    </row>
    <row r="203" spans="2:4" x14ac:dyDescent="0.25">
      <c r="B203"/>
      <c r="C203" s="33"/>
      <c r="D203" s="47"/>
    </row>
    <row r="204" spans="2:4" x14ac:dyDescent="0.25">
      <c r="B204"/>
      <c r="C204" s="33"/>
      <c r="D204" s="47"/>
    </row>
    <row r="205" spans="2:4" x14ac:dyDescent="0.25">
      <c r="B205"/>
      <c r="C205" s="33"/>
      <c r="D205" s="47"/>
    </row>
    <row r="206" spans="2:4" x14ac:dyDescent="0.25">
      <c r="B206"/>
      <c r="C206" s="33"/>
      <c r="D206" s="47"/>
    </row>
    <row r="207" spans="2:4" x14ac:dyDescent="0.25">
      <c r="B207"/>
      <c r="C207" s="33"/>
      <c r="D207" s="47"/>
    </row>
    <row r="208" spans="2:4" x14ac:dyDescent="0.25">
      <c r="B208"/>
      <c r="C208" s="33"/>
      <c r="D208" s="47"/>
    </row>
    <row r="209" spans="2:4" x14ac:dyDescent="0.25">
      <c r="B209"/>
      <c r="C209" s="33"/>
      <c r="D209" s="47"/>
    </row>
    <row r="210" spans="2:4" x14ac:dyDescent="0.25">
      <c r="B210"/>
      <c r="C210" s="33"/>
      <c r="D210" s="47"/>
    </row>
    <row r="211" spans="2:4" x14ac:dyDescent="0.25">
      <c r="B211"/>
      <c r="C211" s="33"/>
      <c r="D211" s="47"/>
    </row>
    <row r="212" spans="2:4" x14ac:dyDescent="0.25">
      <c r="B212"/>
      <c r="C212" s="33"/>
      <c r="D212" s="47"/>
    </row>
    <row r="213" spans="2:4" x14ac:dyDescent="0.25">
      <c r="B213"/>
      <c r="C213" s="33"/>
      <c r="D213" s="47"/>
    </row>
    <row r="214" spans="2:4" x14ac:dyDescent="0.25">
      <c r="B214"/>
      <c r="C214" s="33"/>
      <c r="D214" s="47"/>
    </row>
    <row r="215" spans="2:4" x14ac:dyDescent="0.25">
      <c r="B215"/>
      <c r="C215" s="33"/>
      <c r="D215" s="47"/>
    </row>
    <row r="216" spans="2:4" x14ac:dyDescent="0.25">
      <c r="B216"/>
      <c r="C216" s="33"/>
      <c r="D216" s="47"/>
    </row>
    <row r="217" spans="2:4" x14ac:dyDescent="0.25">
      <c r="B217"/>
      <c r="C217" s="33"/>
      <c r="D217" s="47"/>
    </row>
    <row r="218" spans="2:4" x14ac:dyDescent="0.25">
      <c r="B218"/>
      <c r="C218" s="33"/>
      <c r="D218" s="47"/>
    </row>
    <row r="219" spans="2:4" x14ac:dyDescent="0.25">
      <c r="B219"/>
      <c r="C219" s="33"/>
      <c r="D219" s="47"/>
    </row>
    <row r="220" spans="2:4" x14ac:dyDescent="0.25">
      <c r="B220"/>
      <c r="C220" s="33"/>
      <c r="D220" s="47"/>
    </row>
    <row r="221" spans="2:4" x14ac:dyDescent="0.25">
      <c r="B221"/>
      <c r="C221" s="33"/>
      <c r="D221" s="47"/>
    </row>
    <row r="222" spans="2:4" x14ac:dyDescent="0.25">
      <c r="B222"/>
      <c r="C222" s="33"/>
      <c r="D222" s="47"/>
    </row>
    <row r="223" spans="2:4" x14ac:dyDescent="0.25">
      <c r="B223"/>
      <c r="C223" s="33"/>
      <c r="D223" s="47"/>
    </row>
    <row r="224" spans="2:4" x14ac:dyDescent="0.25">
      <c r="B224"/>
      <c r="C224" s="33"/>
      <c r="D224" s="47"/>
    </row>
    <row r="225" spans="2:4" x14ac:dyDescent="0.25">
      <c r="B225"/>
      <c r="C225" s="33"/>
      <c r="D225" s="47"/>
    </row>
    <row r="226" spans="2:4" x14ac:dyDescent="0.25">
      <c r="B226"/>
      <c r="C226" s="33"/>
      <c r="D226" s="47"/>
    </row>
    <row r="227" spans="2:4" x14ac:dyDescent="0.25">
      <c r="B227"/>
      <c r="C227" s="33"/>
      <c r="D227" s="47"/>
    </row>
    <row r="228" spans="2:4" x14ac:dyDescent="0.25">
      <c r="B228"/>
      <c r="C228" s="33"/>
      <c r="D228" s="47"/>
    </row>
    <row r="229" spans="2:4" x14ac:dyDescent="0.25">
      <c r="B229"/>
      <c r="C229" s="33"/>
      <c r="D229" s="47"/>
    </row>
    <row r="230" spans="2:4" x14ac:dyDescent="0.25">
      <c r="B230"/>
      <c r="C230" s="33"/>
      <c r="D230" s="47"/>
    </row>
    <row r="231" spans="2:4" x14ac:dyDescent="0.25">
      <c r="B231"/>
      <c r="C231" s="33"/>
      <c r="D231" s="47"/>
    </row>
    <row r="232" spans="2:4" x14ac:dyDescent="0.25">
      <c r="B232"/>
      <c r="C232" s="33"/>
      <c r="D232" s="47"/>
    </row>
    <row r="233" spans="2:4" x14ac:dyDescent="0.25">
      <c r="B233"/>
      <c r="C233" s="33"/>
      <c r="D233" s="47"/>
    </row>
    <row r="234" spans="2:4" x14ac:dyDescent="0.25">
      <c r="B234"/>
      <c r="C234" s="33"/>
      <c r="D234" s="47"/>
    </row>
    <row r="235" spans="2:4" x14ac:dyDescent="0.25">
      <c r="B235"/>
      <c r="C235" s="33"/>
      <c r="D235" s="47"/>
    </row>
    <row r="236" spans="2:4" x14ac:dyDescent="0.25">
      <c r="B236"/>
      <c r="C236" s="33"/>
      <c r="D236" s="47"/>
    </row>
    <row r="237" spans="2:4" x14ac:dyDescent="0.25">
      <c r="B237"/>
      <c r="C237" s="33"/>
      <c r="D237" s="47"/>
    </row>
    <row r="238" spans="2:4" x14ac:dyDescent="0.25">
      <c r="B238"/>
      <c r="C238" s="33"/>
      <c r="D238" s="47"/>
    </row>
    <row r="239" spans="2:4" x14ac:dyDescent="0.25">
      <c r="B239"/>
      <c r="C239" s="33"/>
      <c r="D239" s="47"/>
    </row>
    <row r="240" spans="2:4" x14ac:dyDescent="0.25">
      <c r="B240"/>
      <c r="C240" s="33"/>
      <c r="D240" s="47"/>
    </row>
    <row r="241" spans="2:4" x14ac:dyDescent="0.25">
      <c r="B241"/>
      <c r="C241" s="33"/>
      <c r="D241" s="47"/>
    </row>
    <row r="242" spans="2:4" x14ac:dyDescent="0.25">
      <c r="B242"/>
      <c r="C242" s="33"/>
      <c r="D242" s="47"/>
    </row>
    <row r="243" spans="2:4" x14ac:dyDescent="0.25">
      <c r="B243"/>
      <c r="C243" s="33"/>
      <c r="D243" s="47"/>
    </row>
    <row r="244" spans="2:4" x14ac:dyDescent="0.25">
      <c r="B244"/>
      <c r="C244" s="33"/>
      <c r="D244" s="47"/>
    </row>
    <row r="245" spans="2:4" x14ac:dyDescent="0.25">
      <c r="B245"/>
      <c r="C245" s="33"/>
      <c r="D245" s="47"/>
    </row>
    <row r="246" spans="2:4" x14ac:dyDescent="0.25">
      <c r="B246"/>
      <c r="C246" s="33"/>
      <c r="D246" s="47"/>
    </row>
    <row r="247" spans="2:4" x14ac:dyDescent="0.25">
      <c r="B247"/>
      <c r="C247" s="33"/>
      <c r="D247" s="47"/>
    </row>
    <row r="248" spans="2:4" x14ac:dyDescent="0.25">
      <c r="B248"/>
      <c r="C248" s="33"/>
      <c r="D248" s="47"/>
    </row>
    <row r="249" spans="2:4" x14ac:dyDescent="0.25">
      <c r="B249"/>
      <c r="C249" s="33"/>
      <c r="D249" s="47"/>
    </row>
    <row r="250" spans="2:4" x14ac:dyDescent="0.25">
      <c r="B250"/>
      <c r="C250" s="33"/>
      <c r="D250" s="47"/>
    </row>
    <row r="251" spans="2:4" x14ac:dyDescent="0.25">
      <c r="B251"/>
      <c r="C251" s="33"/>
      <c r="D251" s="47"/>
    </row>
    <row r="252" spans="2:4" x14ac:dyDescent="0.25">
      <c r="B252"/>
      <c r="C252" s="33"/>
      <c r="D252" s="47"/>
    </row>
    <row r="253" spans="2:4" x14ac:dyDescent="0.25">
      <c r="B253"/>
      <c r="C253" s="33"/>
      <c r="D253" s="47"/>
    </row>
    <row r="254" spans="2:4" x14ac:dyDescent="0.25">
      <c r="B254"/>
      <c r="C254" s="33"/>
      <c r="D254" s="47"/>
    </row>
    <row r="255" spans="2:4" x14ac:dyDescent="0.25">
      <c r="B255"/>
      <c r="C255" s="33"/>
      <c r="D255" s="47"/>
    </row>
    <row r="256" spans="2:4" x14ac:dyDescent="0.25">
      <c r="B256"/>
      <c r="C256" s="33"/>
      <c r="D256" s="47"/>
    </row>
    <row r="257" spans="2:4" x14ac:dyDescent="0.25">
      <c r="B257"/>
      <c r="C257" s="33"/>
      <c r="D257" s="47"/>
    </row>
    <row r="258" spans="2:4" x14ac:dyDescent="0.25">
      <c r="B258"/>
      <c r="C258" s="33"/>
      <c r="D258" s="47"/>
    </row>
    <row r="259" spans="2:4" x14ac:dyDescent="0.25">
      <c r="B259"/>
      <c r="C259" s="33"/>
      <c r="D259" s="47"/>
    </row>
    <row r="260" spans="2:4" x14ac:dyDescent="0.25">
      <c r="B260"/>
      <c r="C260" s="33"/>
      <c r="D260" s="47"/>
    </row>
    <row r="261" spans="2:4" x14ac:dyDescent="0.25">
      <c r="B261"/>
      <c r="C261" s="33"/>
      <c r="D261" s="47"/>
    </row>
    <row r="262" spans="2:4" x14ac:dyDescent="0.25">
      <c r="B262"/>
      <c r="C262" s="33"/>
      <c r="D262" s="47"/>
    </row>
    <row r="263" spans="2:4" x14ac:dyDescent="0.25">
      <c r="B263"/>
      <c r="C263" s="33"/>
      <c r="D263" s="47"/>
    </row>
    <row r="264" spans="2:4" x14ac:dyDescent="0.25">
      <c r="B264"/>
      <c r="C264" s="33"/>
      <c r="D264" s="47"/>
    </row>
    <row r="265" spans="2:4" x14ac:dyDescent="0.25">
      <c r="B265"/>
      <c r="C265" s="33"/>
      <c r="D265" s="47"/>
    </row>
    <row r="266" spans="2:4" x14ac:dyDescent="0.25">
      <c r="B266"/>
      <c r="C266" s="33"/>
      <c r="D266" s="47"/>
    </row>
    <row r="267" spans="2:4" x14ac:dyDescent="0.25">
      <c r="B267"/>
      <c r="C267" s="33"/>
      <c r="D267" s="47"/>
    </row>
    <row r="268" spans="2:4" x14ac:dyDescent="0.25">
      <c r="B268"/>
      <c r="C268" s="33"/>
      <c r="D268" s="47"/>
    </row>
    <row r="269" spans="2:4" x14ac:dyDescent="0.25">
      <c r="B269"/>
      <c r="C269" s="33"/>
      <c r="D269" s="47"/>
    </row>
    <row r="270" spans="2:4" x14ac:dyDescent="0.25">
      <c r="B270"/>
      <c r="C270" s="33"/>
      <c r="D270" s="47"/>
    </row>
    <row r="271" spans="2:4" x14ac:dyDescent="0.25">
      <c r="B271"/>
      <c r="C271" s="33"/>
      <c r="D271" s="47"/>
    </row>
    <row r="272" spans="2:4" x14ac:dyDescent="0.25">
      <c r="B272"/>
      <c r="C272" s="33"/>
      <c r="D272" s="47"/>
    </row>
    <row r="273" spans="2:4" x14ac:dyDescent="0.25">
      <c r="B273"/>
      <c r="C273" s="33"/>
      <c r="D273" s="47"/>
    </row>
    <row r="274" spans="2:4" x14ac:dyDescent="0.25">
      <c r="B274"/>
      <c r="C274" s="33"/>
      <c r="D274" s="47"/>
    </row>
    <row r="275" spans="2:4" x14ac:dyDescent="0.25">
      <c r="B275"/>
      <c r="C275" s="33"/>
      <c r="D275" s="47"/>
    </row>
    <row r="276" spans="2:4" x14ac:dyDescent="0.25">
      <c r="B276"/>
      <c r="C276" s="33"/>
      <c r="D276" s="47"/>
    </row>
    <row r="277" spans="2:4" x14ac:dyDescent="0.25">
      <c r="B277"/>
      <c r="C277" s="33"/>
      <c r="D277" s="47"/>
    </row>
    <row r="278" spans="2:4" x14ac:dyDescent="0.25">
      <c r="B278"/>
      <c r="C278" s="33"/>
      <c r="D278" s="47"/>
    </row>
    <row r="279" spans="2:4" x14ac:dyDescent="0.25">
      <c r="B279"/>
      <c r="C279" s="33"/>
      <c r="D279" s="47"/>
    </row>
    <row r="280" spans="2:4" x14ac:dyDescent="0.25">
      <c r="B280"/>
      <c r="C280" s="33"/>
      <c r="D280" s="47"/>
    </row>
    <row r="281" spans="2:4" x14ac:dyDescent="0.25">
      <c r="B281"/>
      <c r="C281" s="33"/>
      <c r="D281" s="47"/>
    </row>
    <row r="282" spans="2:4" x14ac:dyDescent="0.25">
      <c r="B282"/>
      <c r="C282" s="33"/>
      <c r="D282" s="47"/>
    </row>
    <row r="283" spans="2:4" x14ac:dyDescent="0.25">
      <c r="B283"/>
      <c r="C283" s="33"/>
      <c r="D283" s="47"/>
    </row>
    <row r="284" spans="2:4" x14ac:dyDescent="0.25">
      <c r="B284"/>
      <c r="C284" s="33"/>
      <c r="D284" s="47"/>
    </row>
    <row r="285" spans="2:4" x14ac:dyDescent="0.25">
      <c r="B285"/>
      <c r="C285" s="33"/>
      <c r="D285" s="47"/>
    </row>
    <row r="286" spans="2:4" x14ac:dyDescent="0.25">
      <c r="B286"/>
      <c r="C286" s="33"/>
      <c r="D286" s="47"/>
    </row>
    <row r="287" spans="2:4" x14ac:dyDescent="0.25">
      <c r="B287"/>
      <c r="C287" s="33"/>
      <c r="D287" s="47"/>
    </row>
    <row r="288" spans="2:4" x14ac:dyDescent="0.25">
      <c r="B288"/>
      <c r="C288" s="33"/>
      <c r="D288" s="47"/>
    </row>
    <row r="289" spans="2:4" x14ac:dyDescent="0.25">
      <c r="B289"/>
      <c r="C289" s="33"/>
      <c r="D289" s="47"/>
    </row>
    <row r="290" spans="2:4" x14ac:dyDescent="0.25">
      <c r="B290"/>
      <c r="C290" s="33"/>
      <c r="D290" s="47"/>
    </row>
    <row r="291" spans="2:4" x14ac:dyDescent="0.25">
      <c r="B291"/>
      <c r="C291" s="33"/>
      <c r="D291" s="47"/>
    </row>
    <row r="292" spans="2:4" x14ac:dyDescent="0.25">
      <c r="B292"/>
      <c r="C292" s="33"/>
      <c r="D292" s="47"/>
    </row>
    <row r="293" spans="2:4" x14ac:dyDescent="0.25">
      <c r="B293"/>
      <c r="C293" s="33"/>
      <c r="D293" s="47"/>
    </row>
    <row r="294" spans="2:4" x14ac:dyDescent="0.25">
      <c r="B294"/>
      <c r="C294" s="33"/>
      <c r="D294" s="47"/>
    </row>
    <row r="295" spans="2:4" x14ac:dyDescent="0.25">
      <c r="B295"/>
      <c r="C295" s="33"/>
      <c r="D295" s="47"/>
    </row>
    <row r="296" spans="2:4" x14ac:dyDescent="0.25">
      <c r="B296"/>
      <c r="C296" s="33"/>
      <c r="D296" s="47"/>
    </row>
    <row r="297" spans="2:4" x14ac:dyDescent="0.25">
      <c r="B297"/>
      <c r="C297" s="33"/>
      <c r="D297" s="47"/>
    </row>
    <row r="298" spans="2:4" x14ac:dyDescent="0.25">
      <c r="B298"/>
      <c r="C298" s="33"/>
      <c r="D298" s="47"/>
    </row>
    <row r="299" spans="2:4" x14ac:dyDescent="0.25">
      <c r="B299"/>
      <c r="C299" s="33"/>
      <c r="D299" s="47"/>
    </row>
    <row r="300" spans="2:4" x14ac:dyDescent="0.25">
      <c r="B300"/>
      <c r="C300" s="33"/>
      <c r="D300" s="47"/>
    </row>
    <row r="301" spans="2:4" x14ac:dyDescent="0.25">
      <c r="B301"/>
      <c r="C301" s="33"/>
      <c r="D301" s="47"/>
    </row>
    <row r="302" spans="2:4" x14ac:dyDescent="0.25">
      <c r="B302"/>
      <c r="C302" s="33"/>
      <c r="D302" s="47"/>
    </row>
    <row r="303" spans="2:4" x14ac:dyDescent="0.25">
      <c r="B303"/>
      <c r="C303" s="33"/>
      <c r="D303" s="47"/>
    </row>
    <row r="304" spans="2:4" x14ac:dyDescent="0.25">
      <c r="B304"/>
      <c r="C304" s="33"/>
      <c r="D304" s="47"/>
    </row>
    <row r="305" spans="2:4" x14ac:dyDescent="0.25">
      <c r="B305"/>
      <c r="C305" s="33"/>
      <c r="D305" s="47"/>
    </row>
    <row r="306" spans="2:4" x14ac:dyDescent="0.25">
      <c r="B306"/>
      <c r="C306" s="33"/>
      <c r="D306" s="47"/>
    </row>
    <row r="307" spans="2:4" x14ac:dyDescent="0.25">
      <c r="B307"/>
      <c r="C307" s="33"/>
      <c r="D307" s="47"/>
    </row>
    <row r="308" spans="2:4" x14ac:dyDescent="0.25">
      <c r="B308"/>
      <c r="C308" s="33"/>
      <c r="D308" s="47"/>
    </row>
    <row r="309" spans="2:4" x14ac:dyDescent="0.25">
      <c r="B309"/>
    </row>
    <row r="310" spans="2:4" x14ac:dyDescent="0.25">
      <c r="B310"/>
    </row>
    <row r="311" spans="2:4" x14ac:dyDescent="0.25">
      <c r="B311"/>
    </row>
    <row r="312" spans="2:4" x14ac:dyDescent="0.25">
      <c r="B312"/>
    </row>
    <row r="313" spans="2:4" x14ac:dyDescent="0.25">
      <c r="B313"/>
    </row>
    <row r="314" spans="2:4" x14ac:dyDescent="0.25">
      <c r="B314"/>
    </row>
    <row r="315" spans="2:4" x14ac:dyDescent="0.25">
      <c r="B315"/>
    </row>
    <row r="316" spans="2:4" x14ac:dyDescent="0.25">
      <c r="B316"/>
    </row>
    <row r="317" spans="2:4" x14ac:dyDescent="0.25">
      <c r="B317"/>
    </row>
    <row r="318" spans="2:4" x14ac:dyDescent="0.25">
      <c r="B318"/>
    </row>
    <row r="319" spans="2:4" x14ac:dyDescent="0.25">
      <c r="B319"/>
    </row>
    <row r="320" spans="2:4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</sheetData>
  <autoFilter ref="W4:X14" xr:uid="{CFE1550B-6E4A-410A-AD10-02B9E3C5AC26}"/>
  <mergeCells count="4">
    <mergeCell ref="A1:V1"/>
    <mergeCell ref="G3:I3"/>
    <mergeCell ref="K3:M3"/>
    <mergeCell ref="S3:U3"/>
  </mergeCells>
  <conditionalFormatting sqref="T5:U16">
    <cfRule type="iconSet" priority="4">
      <iconSet iconSet="3Arrows">
        <cfvo type="percent" val="0"/>
        <cfvo type="percent" val="33"/>
        <cfvo type="percent" val="67"/>
      </iconSet>
    </cfRule>
    <cfRule type="containsText" dxfId="1" priority="5" operator="containsText" text="Diminuiu">
      <formula>NOT(ISERROR(SEARCH("Diminuiu",T5)))</formula>
    </cfRule>
    <cfRule type="containsText" dxfId="0" priority="6" operator="containsText" text="Aumentou">
      <formula>NOT(ISERROR(SEARCH("Aumentou",T5)))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Capa</vt:lpstr>
      <vt:lpstr>Email_Regional_Tabela</vt:lpstr>
      <vt:lpstr>TD ATACADO</vt:lpstr>
      <vt:lpstr>ListaEnvio</vt:lpstr>
      <vt:lpstr>BASE_MES_ATUAL</vt:lpstr>
      <vt:lpstr>BASE_MES_ANTERIOR</vt:lpstr>
      <vt:lpstr>EVOLUÇÃO REGIONAL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Larissa Lacerda</dc:creator>
  <cp:lastModifiedBy>Higor Fialho</cp:lastModifiedBy>
  <dcterms:created xsi:type="dcterms:W3CDTF">2020-07-27T13:27:43Z</dcterms:created>
  <dcterms:modified xsi:type="dcterms:W3CDTF">2022-01-05T21:41:03Z</dcterms:modified>
</cp:coreProperties>
</file>